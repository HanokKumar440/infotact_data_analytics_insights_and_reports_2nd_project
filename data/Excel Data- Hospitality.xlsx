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302a1d015e9cf4/Desktop/"/>
    </mc:Choice>
  </mc:AlternateContent>
  <xr:revisionPtr revIDLastSave="323" documentId="8_{718DFE6F-7F3C-4A65-80D6-C02124FF0EE1}" xr6:coauthVersionLast="47" xr6:coauthVersionMax="47" xr10:uidLastSave="{B12965A5-2F4D-45DE-A076-B50B37B49B51}"/>
  <bookViews>
    <workbookView xWindow="-110" yWindow="-110" windowWidth="19420" windowHeight="11500" activeTab="1" xr2:uid="{C5BB9B82-2D48-45EA-8761-D7B679C012CD}"/>
  </bookViews>
  <sheets>
    <sheet name="Raw Data" sheetId="2" r:id="rId1"/>
    <sheet name="Cleaned Data" sheetId="1" r:id="rId2"/>
    <sheet name="Master Pivots" sheetId="3" r:id="rId3"/>
    <sheet name="Sub-Pivots" sheetId="4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" i="1"/>
  <c r="E36" i="4"/>
  <c r="E35" i="4"/>
  <c r="E34" i="4"/>
  <c r="E33" i="4"/>
  <c r="E32" i="4"/>
</calcChain>
</file>

<file path=xl/sharedStrings.xml><?xml version="1.0" encoding="utf-8"?>
<sst xmlns="http://schemas.openxmlformats.org/spreadsheetml/2006/main" count="28166" uniqueCount="1240">
  <si>
    <t>Booking_id</t>
  </si>
  <si>
    <t>Customer_id</t>
  </si>
  <si>
    <t>Booking_date</t>
  </si>
  <si>
    <t>Duration from booking to stay</t>
  </si>
  <si>
    <t>Check_in_date</t>
  </si>
  <si>
    <t>Check_out_date</t>
  </si>
  <si>
    <t>Duration of stay(days)</t>
  </si>
  <si>
    <t>City</t>
  </si>
  <si>
    <t>Customer_type</t>
  </si>
  <si>
    <t>Room_type</t>
  </si>
  <si>
    <t>Lead_time</t>
  </si>
  <si>
    <t>stay_duration</t>
  </si>
  <si>
    <t>Avg_daily_rate</t>
  </si>
  <si>
    <t>Total_price</t>
  </si>
  <si>
    <t>Acutal Revenue (Non-Cancelled bookings)</t>
  </si>
  <si>
    <t>Booking_channel</t>
  </si>
  <si>
    <t>Canceled</t>
  </si>
  <si>
    <t>Group</t>
  </si>
  <si>
    <t>C1127</t>
  </si>
  <si>
    <t>22 days</t>
  </si>
  <si>
    <t>3 days</t>
  </si>
  <si>
    <t>Bangalore</t>
  </si>
  <si>
    <t>Returning</t>
  </si>
  <si>
    <t>Suite</t>
  </si>
  <si>
    <t>Agent</t>
  </si>
  <si>
    <t>A</t>
  </si>
  <si>
    <t>C1460</t>
  </si>
  <si>
    <t>18 days</t>
  </si>
  <si>
    <t>2 days</t>
  </si>
  <si>
    <t>Hyderabad</t>
  </si>
  <si>
    <t>Standard</t>
  </si>
  <si>
    <t>B</t>
  </si>
  <si>
    <t>C0861</t>
  </si>
  <si>
    <t>14 days</t>
  </si>
  <si>
    <t>1 days</t>
  </si>
  <si>
    <t>Mumbai</t>
  </si>
  <si>
    <t>C1295</t>
  </si>
  <si>
    <t>10 days</t>
  </si>
  <si>
    <t>Chennai</t>
  </si>
  <si>
    <t>New</t>
  </si>
  <si>
    <t>C1131</t>
  </si>
  <si>
    <t>46 days</t>
  </si>
  <si>
    <t>4 days</t>
  </si>
  <si>
    <t>C1096</t>
  </si>
  <si>
    <t>13 days</t>
  </si>
  <si>
    <t>5 days</t>
  </si>
  <si>
    <t>Deluxe</t>
  </si>
  <si>
    <t>C1045</t>
  </si>
  <si>
    <t>31 days</t>
  </si>
  <si>
    <t>C0122</t>
  </si>
  <si>
    <t>30 days</t>
  </si>
  <si>
    <t>Online</t>
  </si>
  <si>
    <t>C0467</t>
  </si>
  <si>
    <t>C1239</t>
  </si>
  <si>
    <t>C0331</t>
  </si>
  <si>
    <t>6 days</t>
  </si>
  <si>
    <t>C1483</t>
  </si>
  <si>
    <t>29 days</t>
  </si>
  <si>
    <t>C0088</t>
  </si>
  <si>
    <t>8 days</t>
  </si>
  <si>
    <t>Delhi</t>
  </si>
  <si>
    <t>C1397</t>
  </si>
  <si>
    <t>44 days</t>
  </si>
  <si>
    <t>C1124</t>
  </si>
  <si>
    <t>45 days</t>
  </si>
  <si>
    <t>C0872</t>
  </si>
  <si>
    <t>43 days</t>
  </si>
  <si>
    <t>C0131</t>
  </si>
  <si>
    <t>C1333</t>
  </si>
  <si>
    <t>33 days</t>
  </si>
  <si>
    <t>C0770</t>
  </si>
  <si>
    <t>17 days</t>
  </si>
  <si>
    <t>C0344</t>
  </si>
  <si>
    <t>48 days</t>
  </si>
  <si>
    <t>C1438</t>
  </si>
  <si>
    <t>11 days</t>
  </si>
  <si>
    <t>C0806</t>
  </si>
  <si>
    <t>C0386</t>
  </si>
  <si>
    <t>50 days</t>
  </si>
  <si>
    <t>C1216</t>
  </si>
  <si>
    <t>C0956</t>
  </si>
  <si>
    <t>C0277</t>
  </si>
  <si>
    <t>28 days</t>
  </si>
  <si>
    <t>C1185</t>
  </si>
  <si>
    <t>C0460</t>
  </si>
  <si>
    <t>C1338</t>
  </si>
  <si>
    <t>41 days</t>
  </si>
  <si>
    <t>C0022</t>
  </si>
  <si>
    <t>16 days</t>
  </si>
  <si>
    <t>C0253</t>
  </si>
  <si>
    <t>C0748</t>
  </si>
  <si>
    <t>35 days</t>
  </si>
  <si>
    <t>C0857</t>
  </si>
  <si>
    <t>C0475</t>
  </si>
  <si>
    <t>56 days</t>
  </si>
  <si>
    <t>C1083</t>
  </si>
  <si>
    <t>59 days</t>
  </si>
  <si>
    <t>C0511</t>
  </si>
  <si>
    <t>26 days</t>
  </si>
  <si>
    <t>C0700</t>
  </si>
  <si>
    <t>57 days</t>
  </si>
  <si>
    <t>C0976</t>
  </si>
  <si>
    <t>12 days</t>
  </si>
  <si>
    <t>C0190</t>
  </si>
  <si>
    <t>C0958</t>
  </si>
  <si>
    <t>37 days</t>
  </si>
  <si>
    <t>C0687</t>
  </si>
  <si>
    <t>25 days</t>
  </si>
  <si>
    <t>C0563</t>
  </si>
  <si>
    <t>19 days</t>
  </si>
  <si>
    <t>C1268</t>
  </si>
  <si>
    <t>23 days</t>
  </si>
  <si>
    <t>C0832</t>
  </si>
  <si>
    <t>55 days</t>
  </si>
  <si>
    <t>C1155</t>
  </si>
  <si>
    <t>38 days</t>
  </si>
  <si>
    <t>C0647</t>
  </si>
  <si>
    <t>54 days</t>
  </si>
  <si>
    <t>C0021</t>
  </si>
  <si>
    <t>C0841</t>
  </si>
  <si>
    <t>C0167</t>
  </si>
  <si>
    <t>C1298</t>
  </si>
  <si>
    <t>C0388</t>
  </si>
  <si>
    <t>C0601</t>
  </si>
  <si>
    <t>51 days</t>
  </si>
  <si>
    <t>C0316</t>
  </si>
  <si>
    <t>C0014</t>
  </si>
  <si>
    <t>C0242</t>
  </si>
  <si>
    <t>34 days</t>
  </si>
  <si>
    <t>C0777</t>
  </si>
  <si>
    <t>C1370</t>
  </si>
  <si>
    <t>C0565</t>
  </si>
  <si>
    <t>C0898</t>
  </si>
  <si>
    <t>53 days</t>
  </si>
  <si>
    <t>C1364</t>
  </si>
  <si>
    <t>C0092</t>
  </si>
  <si>
    <t>C1391</t>
  </si>
  <si>
    <t>C1479</t>
  </si>
  <si>
    <t>C1452</t>
  </si>
  <si>
    <t>C0509</t>
  </si>
  <si>
    <t>42 days</t>
  </si>
  <si>
    <t>C0776</t>
  </si>
  <si>
    <t>C0035</t>
  </si>
  <si>
    <t>C0206</t>
  </si>
  <si>
    <t>32 days</t>
  </si>
  <si>
    <t>C1105</t>
  </si>
  <si>
    <t>36 days</t>
  </si>
  <si>
    <t>C1412</t>
  </si>
  <si>
    <t>47 days</t>
  </si>
  <si>
    <t>C1026</t>
  </si>
  <si>
    <t>C1022</t>
  </si>
  <si>
    <t>C1414</t>
  </si>
  <si>
    <t>C0566</t>
  </si>
  <si>
    <t>39 days</t>
  </si>
  <si>
    <t>C1130</t>
  </si>
  <si>
    <t>C0703</t>
  </si>
  <si>
    <t>C0402</t>
  </si>
  <si>
    <t>20 days</t>
  </si>
  <si>
    <t>C0730</t>
  </si>
  <si>
    <t>24 days</t>
  </si>
  <si>
    <t>C0162</t>
  </si>
  <si>
    <t>C0202</t>
  </si>
  <si>
    <t>C0996</t>
  </si>
  <si>
    <t>C0270</t>
  </si>
  <si>
    <t>C0816</t>
  </si>
  <si>
    <t>9 days</t>
  </si>
  <si>
    <t>C0456</t>
  </si>
  <si>
    <t>C1486</t>
  </si>
  <si>
    <t>C1276</t>
  </si>
  <si>
    <t>C1017</t>
  </si>
  <si>
    <t>C0296</t>
  </si>
  <si>
    <t>C0720</t>
  </si>
  <si>
    <t>C0338</t>
  </si>
  <si>
    <t>C0879</t>
  </si>
  <si>
    <t>C1077</t>
  </si>
  <si>
    <t>21 days</t>
  </si>
  <si>
    <t>C0792</t>
  </si>
  <si>
    <t>C0217</t>
  </si>
  <si>
    <t>C0764</t>
  </si>
  <si>
    <t>40 days</t>
  </si>
  <si>
    <t>C0188</t>
  </si>
  <si>
    <t>C0380</t>
  </si>
  <si>
    <t>C0493</t>
  </si>
  <si>
    <t>C1065</t>
  </si>
  <si>
    <t>C1181</t>
  </si>
  <si>
    <t>27 days</t>
  </si>
  <si>
    <t>C0015</t>
  </si>
  <si>
    <t>C0065</t>
  </si>
  <si>
    <t>C0521</t>
  </si>
  <si>
    <t>C1368</t>
  </si>
  <si>
    <t>C1153</t>
  </si>
  <si>
    <t>C0648</t>
  </si>
  <si>
    <t>C1496</t>
  </si>
  <si>
    <t>C1087</t>
  </si>
  <si>
    <t>C1163</t>
  </si>
  <si>
    <t>C0593</t>
  </si>
  <si>
    <t>C0392</t>
  </si>
  <si>
    <t>C0419</t>
  </si>
  <si>
    <t>C0289</t>
  </si>
  <si>
    <t>C0379</t>
  </si>
  <si>
    <t>C0231</t>
  </si>
  <si>
    <t>C1018</t>
  </si>
  <si>
    <t>C0041</t>
  </si>
  <si>
    <t>C1052</t>
  </si>
  <si>
    <t>C0135</t>
  </si>
  <si>
    <t>C0201</t>
  </si>
  <si>
    <t>C0780</t>
  </si>
  <si>
    <t>C0930</t>
  </si>
  <si>
    <t>C1057</t>
  </si>
  <si>
    <t>7 days</t>
  </si>
  <si>
    <t>C1072</t>
  </si>
  <si>
    <t>49 days</t>
  </si>
  <si>
    <t>C0503</t>
  </si>
  <si>
    <t>C0407</t>
  </si>
  <si>
    <t>C0805</t>
  </si>
  <si>
    <t>C0099</t>
  </si>
  <si>
    <t>C0684</t>
  </si>
  <si>
    <t>C0726</t>
  </si>
  <si>
    <t>C0961</t>
  </si>
  <si>
    <t>C0613</t>
  </si>
  <si>
    <t>C0643</t>
  </si>
  <si>
    <t>C1029</t>
  </si>
  <si>
    <t>C1242</t>
  </si>
  <si>
    <t>C0767</t>
  </si>
  <si>
    <t>C0398</t>
  </si>
  <si>
    <t>C0871</t>
  </si>
  <si>
    <t>52 days</t>
  </si>
  <si>
    <t>C0795</t>
  </si>
  <si>
    <t>C0393</t>
  </si>
  <si>
    <t>C0207</t>
  </si>
  <si>
    <t>C1039</t>
  </si>
  <si>
    <t>C0892</t>
  </si>
  <si>
    <t>C1485</t>
  </si>
  <si>
    <t>C0864</t>
  </si>
  <si>
    <t>C0743</t>
  </si>
  <si>
    <t>C1265</t>
  </si>
  <si>
    <t>C0564</t>
  </si>
  <si>
    <t>58 days</t>
  </si>
  <si>
    <t>C1021</t>
  </si>
  <si>
    <t>C0096</t>
  </si>
  <si>
    <t>C0485</t>
  </si>
  <si>
    <t>C1431</t>
  </si>
  <si>
    <t>C0749</t>
  </si>
  <si>
    <t>C1195</t>
  </si>
  <si>
    <t>C0541</t>
  </si>
  <si>
    <t>C1060</t>
  </si>
  <si>
    <t>C0525</t>
  </si>
  <si>
    <t>C1184</t>
  </si>
  <si>
    <t>C1267</t>
  </si>
  <si>
    <t>C1110</t>
  </si>
  <si>
    <t>C0578</t>
  </si>
  <si>
    <t>C0682</t>
  </si>
  <si>
    <t>C0557</t>
  </si>
  <si>
    <t>C1013</t>
  </si>
  <si>
    <t>C0646</t>
  </si>
  <si>
    <t>C0796</t>
  </si>
  <si>
    <t>C1355</t>
  </si>
  <si>
    <t>C1372</t>
  </si>
  <si>
    <t>C1497</t>
  </si>
  <si>
    <t>C1255</t>
  </si>
  <si>
    <t>C1249</t>
  </si>
  <si>
    <t>C1409</t>
  </si>
  <si>
    <t>C1401</t>
  </si>
  <si>
    <t>C1307</t>
  </si>
  <si>
    <t>C0633</t>
  </si>
  <si>
    <t>C0628</t>
  </si>
  <si>
    <t>C0973</t>
  </si>
  <si>
    <t>C1283</t>
  </si>
  <si>
    <t>C1383</t>
  </si>
  <si>
    <t>C0710</t>
  </si>
  <si>
    <t>C1480</t>
  </si>
  <si>
    <t>C1435</t>
  </si>
  <si>
    <t>C0649</t>
  </si>
  <si>
    <t>C0318</t>
  </si>
  <si>
    <t>C1258</t>
  </si>
  <si>
    <t>C0664</t>
  </si>
  <si>
    <t>C1398</t>
  </si>
  <si>
    <t>15 days</t>
  </si>
  <si>
    <t>C1257</t>
  </si>
  <si>
    <t>C1137</t>
  </si>
  <si>
    <t>C0442</t>
  </si>
  <si>
    <t>C1292</t>
  </si>
  <si>
    <t>C1410</t>
  </si>
  <si>
    <t>C1411</t>
  </si>
  <si>
    <t>C0952</t>
  </si>
  <si>
    <t>C0699</t>
  </si>
  <si>
    <t>C0113</t>
  </si>
  <si>
    <t>C0002</t>
  </si>
  <si>
    <t>C0642</t>
  </si>
  <si>
    <t>C0220</t>
  </si>
  <si>
    <t>C0855</t>
  </si>
  <si>
    <t>C0385</t>
  </si>
  <si>
    <t>C1427</t>
  </si>
  <si>
    <t>C1154</t>
  </si>
  <si>
    <t>C1440</t>
  </si>
  <si>
    <t>C0247</t>
  </si>
  <si>
    <t>C0836</t>
  </si>
  <si>
    <t>C1463</t>
  </si>
  <si>
    <t>C0203</t>
  </si>
  <si>
    <t>C1208</t>
  </si>
  <si>
    <t>C0123</t>
  </si>
  <si>
    <t>C0401</t>
  </si>
  <si>
    <t>C0294</t>
  </si>
  <si>
    <t>C0280</t>
  </si>
  <si>
    <t>C0884</t>
  </si>
  <si>
    <t>C0198</t>
  </si>
  <si>
    <t>C0982</t>
  </si>
  <si>
    <t>C0752</t>
  </si>
  <si>
    <t>C0144</t>
  </si>
  <si>
    <t>C0609</t>
  </si>
  <si>
    <t>C1225</t>
  </si>
  <si>
    <t>C1148</t>
  </si>
  <si>
    <t>C0187</t>
  </si>
  <si>
    <t>C1350</t>
  </si>
  <si>
    <t>C0464</t>
  </si>
  <si>
    <t>C1373</t>
  </si>
  <si>
    <t>C0660</t>
  </si>
  <si>
    <t>C0955</t>
  </si>
  <si>
    <t>C0403</t>
  </si>
  <si>
    <t>C0147</t>
  </si>
  <si>
    <t>C1172</t>
  </si>
  <si>
    <t>C0489</t>
  </si>
  <si>
    <t>C0929</t>
  </si>
  <si>
    <t>C0551</t>
  </si>
  <si>
    <t>C0641</t>
  </si>
  <si>
    <t>C0473</t>
  </si>
  <si>
    <t>C0151</t>
  </si>
  <si>
    <t>C1439</t>
  </si>
  <si>
    <t>C1322</t>
  </si>
  <si>
    <t>C0263</t>
  </si>
  <si>
    <t>C0346</t>
  </si>
  <si>
    <t>C0624</t>
  </si>
  <si>
    <t>C0881</t>
  </si>
  <si>
    <t>C0897</t>
  </si>
  <si>
    <t>C1328</t>
  </si>
  <si>
    <t>C0254</t>
  </si>
  <si>
    <t>C0453</t>
  </si>
  <si>
    <t>C1061</t>
  </si>
  <si>
    <t>C1015</t>
  </si>
  <si>
    <t>C0009</t>
  </si>
  <si>
    <t>C1123</t>
  </si>
  <si>
    <t>C0208</t>
  </si>
  <si>
    <t>C0404</t>
  </si>
  <si>
    <t>C0152</t>
  </si>
  <si>
    <t>C0054</t>
  </si>
  <si>
    <t>C1144</t>
  </si>
  <si>
    <t>C0587</t>
  </si>
  <si>
    <t>C1444</t>
  </si>
  <si>
    <t>C1446</t>
  </si>
  <si>
    <t>C0104</t>
  </si>
  <si>
    <t>C1251</t>
  </si>
  <si>
    <t>C1136</t>
  </si>
  <si>
    <t>C0510</t>
  </si>
  <si>
    <t>C0153</t>
  </si>
  <si>
    <t>C0914</t>
  </si>
  <si>
    <t>C0878</t>
  </si>
  <si>
    <t>C0822</t>
  </si>
  <si>
    <t>C1187</t>
  </si>
  <si>
    <t>C0957</t>
  </si>
  <si>
    <t>C0161</t>
  </si>
  <si>
    <t>C0801</t>
  </si>
  <si>
    <t>C1301</t>
  </si>
  <si>
    <t>C1416</t>
  </si>
  <si>
    <t>C1159</t>
  </si>
  <si>
    <t>C1219</t>
  </si>
  <si>
    <t>C0640</t>
  </si>
  <si>
    <t>C0688</t>
  </si>
  <si>
    <t>C0470</t>
  </si>
  <si>
    <t>C1399</t>
  </si>
  <si>
    <t>C1046</t>
  </si>
  <si>
    <t>C0750</t>
  </si>
  <si>
    <t>C0038</t>
  </si>
  <si>
    <t>C0230</t>
  </si>
  <si>
    <t>C1389</t>
  </si>
  <si>
    <t>C0438</t>
  </si>
  <si>
    <t>C0027</t>
  </si>
  <si>
    <t>C0226</t>
  </si>
  <si>
    <t>C0798</t>
  </si>
  <si>
    <t>C0284</t>
  </si>
  <si>
    <t>C0960</t>
  </si>
  <si>
    <t>C1020</t>
  </si>
  <si>
    <t>C0659</t>
  </si>
  <si>
    <t>C0547</t>
  </si>
  <si>
    <t>C1073</t>
  </si>
  <si>
    <t>C0017</t>
  </si>
  <si>
    <t>C1196</t>
  </si>
  <si>
    <t>C1244</t>
  </si>
  <si>
    <t>C0158</t>
  </si>
  <si>
    <t>C0477</t>
  </si>
  <si>
    <t>C1070</t>
  </si>
  <si>
    <t>C0518</t>
  </si>
  <si>
    <t>C0497</t>
  </si>
  <si>
    <t>C0302</t>
  </si>
  <si>
    <t>C0181</t>
  </si>
  <si>
    <t>C0607</t>
  </si>
  <si>
    <t>C0993</t>
  </si>
  <si>
    <t>C1140</t>
  </si>
  <si>
    <t>C0191</t>
  </si>
  <si>
    <t>C0981</t>
  </si>
  <si>
    <t>C0928</t>
  </si>
  <si>
    <t>C1280</t>
  </si>
  <si>
    <t>C1347</t>
  </si>
  <si>
    <t>C0128</t>
  </si>
  <si>
    <t>C0018</t>
  </si>
  <si>
    <t>C0570</t>
  </si>
  <si>
    <t>C0686</t>
  </si>
  <si>
    <t>C0626</t>
  </si>
  <si>
    <t>C1312</t>
  </si>
  <si>
    <t>C0854</t>
  </si>
  <si>
    <t>C0962</t>
  </si>
  <si>
    <t>C0155</t>
  </si>
  <si>
    <t>C0490</t>
  </si>
  <si>
    <t>C0785</t>
  </si>
  <si>
    <t>C1128</t>
  </si>
  <si>
    <t>C1417</t>
  </si>
  <si>
    <t>C0246</t>
  </si>
  <si>
    <t>C1200</t>
  </si>
  <si>
    <t>C1063</t>
  </si>
  <si>
    <t>C0759</t>
  </si>
  <si>
    <t>C0538</t>
  </si>
  <si>
    <t>C0921</t>
  </si>
  <si>
    <t>C0408</t>
  </si>
  <si>
    <t>C0828</t>
  </si>
  <si>
    <t>C0903</t>
  </si>
  <si>
    <t>C0036</t>
  </si>
  <si>
    <t>C0685</t>
  </si>
  <si>
    <t>C0020</t>
  </si>
  <si>
    <t>C0321</t>
  </si>
  <si>
    <t>C0512</t>
  </si>
  <si>
    <t>C0400</t>
  </si>
  <si>
    <t>C0654</t>
  </si>
  <si>
    <t>C0972</t>
  </si>
  <si>
    <t>C0471</t>
  </si>
  <si>
    <t>C1167</t>
  </si>
  <si>
    <t>C1116</t>
  </si>
  <si>
    <t>C1378</t>
  </si>
  <si>
    <t>C0834</t>
  </si>
  <si>
    <t>C0727</t>
  </si>
  <si>
    <t>C0051</t>
  </si>
  <si>
    <t>C0575</t>
  </si>
  <si>
    <t>C1214</t>
  </si>
  <si>
    <t>C1149</t>
  </si>
  <si>
    <t>C0150</t>
  </si>
  <si>
    <t>C0314</t>
  </si>
  <si>
    <t>C1366</t>
  </si>
  <si>
    <t>C0305</t>
  </si>
  <si>
    <t>C0838</t>
  </si>
  <si>
    <t>C1078</t>
  </si>
  <si>
    <t>C1003</t>
  </si>
  <si>
    <t>C0444</t>
  </si>
  <si>
    <t>C0264</t>
  </si>
  <si>
    <t>C1004</t>
  </si>
  <si>
    <t>C0005</t>
  </si>
  <si>
    <t>C1220</t>
  </si>
  <si>
    <t>C0774</t>
  </si>
  <si>
    <t>C0877</t>
  </si>
  <si>
    <t>C0992</t>
  </si>
  <si>
    <t>C1374</t>
  </si>
  <si>
    <t>C0047</t>
  </si>
  <si>
    <t>C0867</t>
  </si>
  <si>
    <t>C0823</t>
  </si>
  <si>
    <t>C0936</t>
  </si>
  <si>
    <t>C0656</t>
  </si>
  <si>
    <t>C0269</t>
  </si>
  <si>
    <t>C0370</t>
  </si>
  <si>
    <t>C0636</t>
  </si>
  <si>
    <t>C0657</t>
  </si>
  <si>
    <t>C0120</t>
  </si>
  <si>
    <t>C0831</t>
  </si>
  <si>
    <t>C1082</t>
  </si>
  <si>
    <t>C0741</t>
  </si>
  <si>
    <t>C1498</t>
  </si>
  <si>
    <t>C0117</t>
  </si>
  <si>
    <t>C0791</t>
  </si>
  <si>
    <t>C1151</t>
  </si>
  <si>
    <t>C0634</t>
  </si>
  <si>
    <t>C0513</t>
  </si>
  <si>
    <t>C0802</t>
  </si>
  <si>
    <t>C1120</t>
  </si>
  <si>
    <t>C1142</t>
  </si>
  <si>
    <t>C0560</t>
  </si>
  <si>
    <t>C0488</t>
  </si>
  <si>
    <t>C1261</t>
  </si>
  <si>
    <t>C1296</t>
  </si>
  <si>
    <t>C1213</t>
  </si>
  <si>
    <t>C0704</t>
  </si>
  <si>
    <t>C1471</t>
  </si>
  <si>
    <t>C0581</t>
  </si>
  <si>
    <t>C0790</t>
  </si>
  <si>
    <t>C1100</t>
  </si>
  <si>
    <t>C0154</t>
  </si>
  <si>
    <t>C1459</t>
  </si>
  <si>
    <t>C0997</t>
  </si>
  <si>
    <t>C0697</t>
  </si>
  <si>
    <t>C1309</t>
  </si>
  <si>
    <t>C1093</t>
  </si>
  <si>
    <t>C1071</t>
  </si>
  <si>
    <t>C1009</t>
  </si>
  <si>
    <t>C0094</t>
  </si>
  <si>
    <t>C1012</t>
  </si>
  <si>
    <t>C1228</t>
  </si>
  <si>
    <t>C0912</t>
  </si>
  <si>
    <t>C0218</t>
  </si>
  <si>
    <t>C0474</t>
  </si>
  <si>
    <t>C0432</t>
  </si>
  <si>
    <t>C0341</t>
  </si>
  <si>
    <t>C1313</t>
  </si>
  <si>
    <t>C1278</t>
  </si>
  <si>
    <t>C0357</t>
  </si>
  <si>
    <t>C0023</t>
  </si>
  <si>
    <t>C0522</t>
  </si>
  <si>
    <t>C1204</t>
  </si>
  <si>
    <t>C1247</t>
  </si>
  <si>
    <t>C0762</t>
  </si>
  <si>
    <t>C0769</t>
  </si>
  <si>
    <t>C1016</t>
  </si>
  <si>
    <t>C1349</t>
  </si>
  <si>
    <t>C0516</t>
  </si>
  <si>
    <t>C1040</t>
  </si>
  <si>
    <t>C0336</t>
  </si>
  <si>
    <t>C0258</t>
  </si>
  <si>
    <t>C0896</t>
  </si>
  <si>
    <t>C0160</t>
  </si>
  <si>
    <t>C1499</t>
  </si>
  <si>
    <t>C0852</t>
  </si>
  <si>
    <t>C0690</t>
  </si>
  <si>
    <t>C0691</t>
  </si>
  <si>
    <t>C1451</t>
  </si>
  <si>
    <t>C1441</t>
  </si>
  <si>
    <t>C1192</t>
  </si>
  <si>
    <t>C1067</t>
  </si>
  <si>
    <t>C0285</t>
  </si>
  <si>
    <t>C0397</t>
  </si>
  <si>
    <t>C0012</t>
  </si>
  <si>
    <t>C1326</t>
  </si>
  <si>
    <t>C1277</t>
  </si>
  <si>
    <t>C0499</t>
  </si>
  <si>
    <t>C0754</t>
  </si>
  <si>
    <t>C0849</t>
  </si>
  <si>
    <t>C0090</t>
  </si>
  <si>
    <t>C0605</t>
  </si>
  <si>
    <t>C0970</t>
  </si>
  <si>
    <t>C0418</t>
  </si>
  <si>
    <t>C0115</t>
  </si>
  <si>
    <t>C0617</t>
  </si>
  <si>
    <t>C0826</t>
  </si>
  <si>
    <t>C1099</t>
  </si>
  <si>
    <t>C0413</t>
  </si>
  <si>
    <t>C1400</t>
  </si>
  <si>
    <t>C0729</t>
  </si>
  <si>
    <t>C0761</t>
  </si>
  <si>
    <t>C0676</t>
  </si>
  <si>
    <t>C1418</t>
  </si>
  <si>
    <t>C0457</t>
  </si>
  <si>
    <t>C0920</t>
  </si>
  <si>
    <t>C0192</t>
  </si>
  <si>
    <t>C0739</t>
  </si>
  <si>
    <t>C0978</t>
  </si>
  <si>
    <t>C0663</t>
  </si>
  <si>
    <t>C0037</t>
  </si>
  <si>
    <t>C1393</t>
  </si>
  <si>
    <t>C0279</t>
  </si>
  <si>
    <t>C0873</t>
  </si>
  <si>
    <t>C1297</t>
  </si>
  <si>
    <t>C0062</t>
  </si>
  <si>
    <t>C0596</t>
  </si>
  <si>
    <t>C1043</t>
  </si>
  <si>
    <t>C0177</t>
  </si>
  <si>
    <t>C0396</t>
  </si>
  <si>
    <t>C0445</t>
  </si>
  <si>
    <t>C0076</t>
  </si>
  <si>
    <t>C0265</t>
  </si>
  <si>
    <t>C0455</t>
  </si>
  <si>
    <t>C0718</t>
  </si>
  <si>
    <t>C0735</t>
  </si>
  <si>
    <t>C1408</t>
  </si>
  <si>
    <t>C0851</t>
  </si>
  <si>
    <t>C0885</t>
  </si>
  <si>
    <t>C1049</t>
  </si>
  <si>
    <t>C0948</t>
  </si>
  <si>
    <t>C0891</t>
  </si>
  <si>
    <t>C1493</t>
  </si>
  <si>
    <t>C1175</t>
  </si>
  <si>
    <t>C1168</t>
  </si>
  <si>
    <t>C0569</t>
  </si>
  <si>
    <t>C0109</t>
  </si>
  <si>
    <t>C1066</t>
  </si>
  <si>
    <t>C1210</t>
  </si>
  <si>
    <t>C0935</t>
  </si>
  <si>
    <t>C1157</t>
  </si>
  <si>
    <t>C0733</t>
  </si>
  <si>
    <t>C0235</t>
  </si>
  <si>
    <t>C0658</t>
  </si>
  <si>
    <t>C0751</t>
  </si>
  <si>
    <t>C0588</t>
  </si>
  <si>
    <t>C1033</t>
  </si>
  <si>
    <t>C1098</t>
  </si>
  <si>
    <t>C0954</t>
  </si>
  <si>
    <t>C0492</t>
  </si>
  <si>
    <t>C0913</t>
  </si>
  <si>
    <t>C1254</t>
  </si>
  <si>
    <t>C1198</t>
  </si>
  <si>
    <t>C0170</t>
  </si>
  <si>
    <t>C0946</t>
  </si>
  <si>
    <t>C1218</t>
  </si>
  <si>
    <t>C0029</t>
  </si>
  <si>
    <t>C1189</t>
  </si>
  <si>
    <t>C0339</t>
  </si>
  <si>
    <t>C0500</t>
  </si>
  <si>
    <t>C1351</t>
  </si>
  <si>
    <t>C1325</t>
  </si>
  <si>
    <t>C1156</t>
  </si>
  <si>
    <t>C1094</t>
  </si>
  <si>
    <t>C0876</t>
  </si>
  <si>
    <t>C1206</t>
  </si>
  <si>
    <t>C0091</t>
  </si>
  <si>
    <t>C0714</t>
  </si>
  <si>
    <t>C0039</t>
  </si>
  <si>
    <t>C1150</t>
  </si>
  <si>
    <t>C1475</t>
  </si>
  <si>
    <t>C0173</t>
  </si>
  <si>
    <t>C0653</t>
  </si>
  <si>
    <t>C0476</t>
  </si>
  <si>
    <t>C0829</t>
  </si>
  <si>
    <t>C0895</t>
  </si>
  <si>
    <t>C1385</t>
  </si>
  <si>
    <t>C1025</t>
  </si>
  <si>
    <t>C0387</t>
  </si>
  <si>
    <t>C0348</t>
  </si>
  <si>
    <t>C0505</t>
  </si>
  <si>
    <t>C1215</t>
  </si>
  <si>
    <t>C1433</t>
  </si>
  <si>
    <t>C0824</t>
  </si>
  <si>
    <t>C0934</t>
  </si>
  <si>
    <t>C1141</t>
  </si>
  <si>
    <t>C0134</t>
  </si>
  <si>
    <t>C0058</t>
  </si>
  <si>
    <t>C0672</t>
  </si>
  <si>
    <t>C0815</t>
  </si>
  <si>
    <t>C1173</t>
  </si>
  <si>
    <t>C0080</t>
  </si>
  <si>
    <t>C0886</t>
  </si>
  <si>
    <t>C1237</t>
  </si>
  <si>
    <t>C1253</t>
  </si>
  <si>
    <t>C1465</t>
  </si>
  <si>
    <t>C1426</t>
  </si>
  <si>
    <t>C1329</t>
  </si>
  <si>
    <t>C0971</t>
  </si>
  <si>
    <t>C1036</t>
  </si>
  <si>
    <t>C1354</t>
  </si>
  <si>
    <t>C0736</t>
  </si>
  <si>
    <t>C0784</t>
  </si>
  <si>
    <t>C0968</t>
  </si>
  <si>
    <t>C0358</t>
  </si>
  <si>
    <t>C1432</t>
  </si>
  <si>
    <t>C0668</t>
  </si>
  <si>
    <t>C0373</t>
  </si>
  <si>
    <t>C1032</t>
  </si>
  <si>
    <t>C1146</t>
  </si>
  <si>
    <t>C0698</t>
  </si>
  <si>
    <t>C1340</t>
  </si>
  <si>
    <t>C1202</t>
  </si>
  <si>
    <t>C0540</t>
  </si>
  <si>
    <t>C0732</t>
  </si>
  <si>
    <t>C0869</t>
  </si>
  <si>
    <t>C0740</t>
  </si>
  <si>
    <t>C0502</t>
  </si>
  <si>
    <t>C0959</t>
  </si>
  <si>
    <t>C1169</t>
  </si>
  <si>
    <t>C0461</t>
  </si>
  <si>
    <t>C0925</t>
  </si>
  <si>
    <t>C0909</t>
  </si>
  <si>
    <t>C0390</t>
  </si>
  <si>
    <t>C0883</t>
  </si>
  <si>
    <t>C0256</t>
  </si>
  <si>
    <t>C0709</t>
  </si>
  <si>
    <t>C0450</t>
  </si>
  <si>
    <t>C0010</t>
  </si>
  <si>
    <t>C1266</t>
  </si>
  <si>
    <t>C1275</t>
  </si>
  <si>
    <t>C1143</t>
  </si>
  <si>
    <t>C0374</t>
  </si>
  <si>
    <t>C1089</t>
  </si>
  <si>
    <t>C0146</t>
  </si>
  <si>
    <t>C0224</t>
  </si>
  <si>
    <t>C1263</t>
  </si>
  <si>
    <t>C0853</t>
  </si>
  <si>
    <t>C1306</t>
  </si>
  <si>
    <t>C0063</t>
  </si>
  <si>
    <t>C1241</t>
  </si>
  <si>
    <t>C0827</t>
  </si>
  <si>
    <t>C0689</t>
  </si>
  <si>
    <t>C0105</t>
  </si>
  <si>
    <t>C0405</t>
  </si>
  <si>
    <t>C0771</t>
  </si>
  <si>
    <t>C1461</t>
  </si>
  <si>
    <t>C1047</t>
  </si>
  <si>
    <t>C0677</t>
  </si>
  <si>
    <t>C1482</t>
  </si>
  <si>
    <t>C0083</t>
  </si>
  <si>
    <t>C1109</t>
  </si>
  <si>
    <t>C1102</t>
  </si>
  <si>
    <t>C0001</t>
  </si>
  <si>
    <t>C0717</t>
  </si>
  <si>
    <t>C1470</t>
  </si>
  <si>
    <t>C0449</t>
  </si>
  <si>
    <t>C0034</t>
  </si>
  <si>
    <t>C0095</t>
  </si>
  <si>
    <t>C0250</t>
  </si>
  <si>
    <t>C0674</t>
  </si>
  <si>
    <t>C0118</t>
  </si>
  <si>
    <t>C1330</t>
  </si>
  <si>
    <t>C0268</t>
  </si>
  <si>
    <t>C0236</t>
  </si>
  <si>
    <t>C0389</t>
  </si>
  <si>
    <t>C0990</t>
  </si>
  <si>
    <t>C0763</t>
  </si>
  <si>
    <t>C1327</t>
  </si>
  <si>
    <t>C0919</t>
  </si>
  <si>
    <t>C1231</t>
  </si>
  <si>
    <t>C0075</t>
  </si>
  <si>
    <t>C0435</t>
  </si>
  <si>
    <t>C0103</t>
  </si>
  <si>
    <t>C0738</t>
  </si>
  <si>
    <t>C0098</t>
  </si>
  <si>
    <t>C1359</t>
  </si>
  <si>
    <t>C0859</t>
  </si>
  <si>
    <t>C0447</t>
  </si>
  <si>
    <t>C1332</t>
  </si>
  <si>
    <t>C0249</t>
  </si>
  <si>
    <t>C0166</t>
  </si>
  <si>
    <t>C0984</t>
  </si>
  <si>
    <t>C0542</t>
  </si>
  <si>
    <t>C0081</t>
  </si>
  <si>
    <t>C0133</t>
  </si>
  <si>
    <t>C0797</t>
  </si>
  <si>
    <t>C0900</t>
  </si>
  <si>
    <t>C0138</t>
  </si>
  <si>
    <t>C0184</t>
  </si>
  <si>
    <t>C1425</t>
  </si>
  <si>
    <t>C0069</t>
  </si>
  <si>
    <t>C0546</t>
  </si>
  <si>
    <t>C0053</t>
  </si>
  <si>
    <t>C1474</t>
  </si>
  <si>
    <t>C0205</t>
  </si>
  <si>
    <t>C0126</t>
  </si>
  <si>
    <t>C0043</t>
  </si>
  <si>
    <t>C0111</t>
  </si>
  <si>
    <t>C1207</t>
  </si>
  <si>
    <t>C0848</t>
  </si>
  <si>
    <t>C0360</t>
  </si>
  <si>
    <t>C0281</t>
  </si>
  <si>
    <t>C0667</t>
  </si>
  <si>
    <t>C0093</t>
  </si>
  <si>
    <t>C0061</t>
  </si>
  <si>
    <t>C1075</t>
  </si>
  <si>
    <t>C1490</t>
  </si>
  <si>
    <t>C0604</t>
  </si>
  <si>
    <t>C0534</t>
  </si>
  <si>
    <t>C1429</t>
  </si>
  <si>
    <t>C0645</t>
  </si>
  <si>
    <t>C0233</t>
  </si>
  <si>
    <t>C0524</t>
  </si>
  <si>
    <t>C1097</t>
  </si>
  <si>
    <t>C0794</t>
  </si>
  <si>
    <t>C1145</t>
  </si>
  <si>
    <t>C0214</t>
  </si>
  <si>
    <t>C0239</t>
  </si>
  <si>
    <t>C1080</t>
  </si>
  <si>
    <t>C0350</t>
  </si>
  <si>
    <t>C0107</t>
  </si>
  <si>
    <t>C0048</t>
  </si>
  <si>
    <t>C0337</t>
  </si>
  <si>
    <t>C1050</t>
  </si>
  <si>
    <t>C0804</t>
  </si>
  <si>
    <t>C1281</t>
  </si>
  <si>
    <t>C0008</t>
  </si>
  <si>
    <t>C0625</t>
  </si>
  <si>
    <t>C0719</t>
  </si>
  <si>
    <t>C0303</t>
  </si>
  <si>
    <t>C0639</t>
  </si>
  <si>
    <t>C0056</t>
  </si>
  <si>
    <t>C0526</t>
  </si>
  <si>
    <t>C0028</t>
  </si>
  <si>
    <t>C0078</t>
  </si>
  <si>
    <t>C1240</t>
  </si>
  <si>
    <t>C0365</t>
  </si>
  <si>
    <t>C0666</t>
  </si>
  <si>
    <t>C1336</t>
  </si>
  <si>
    <t>C1031</t>
  </si>
  <si>
    <t>C1027</t>
  </si>
  <si>
    <t>C0363</t>
  </si>
  <si>
    <t>C0086</t>
  </si>
  <si>
    <t>C0812</t>
  </si>
  <si>
    <t>C0537</t>
  </si>
  <si>
    <t>C0145</t>
  </si>
  <si>
    <t>C1236</t>
  </si>
  <si>
    <t>C0025</t>
  </si>
  <si>
    <t>C0067</t>
  </si>
  <si>
    <t>C1170</t>
  </si>
  <si>
    <t>C0228</t>
  </si>
  <si>
    <t>C1494</t>
  </si>
  <si>
    <t>C0623</t>
  </si>
  <si>
    <t>C0595</t>
  </si>
  <si>
    <t>C0425</t>
  </si>
  <si>
    <t>C0692</t>
  </si>
  <si>
    <t>C1344</t>
  </si>
  <si>
    <t>C1467</t>
  </si>
  <si>
    <t>C0315</t>
  </si>
  <si>
    <t>C0662</t>
  </si>
  <si>
    <t>C0843</t>
  </si>
  <si>
    <t>C1161</t>
  </si>
  <si>
    <t>C0899</t>
  </si>
  <si>
    <t>C0243</t>
  </si>
  <si>
    <t>C0543</t>
  </si>
  <si>
    <t>C1064</t>
  </si>
  <si>
    <t>C0229</t>
  </si>
  <si>
    <t>C0548</t>
  </si>
  <si>
    <t>C0006</t>
  </si>
  <si>
    <t>C1346</t>
  </si>
  <si>
    <t>C0468</t>
  </si>
  <si>
    <t>C0004</t>
  </si>
  <si>
    <t>C0504</t>
  </si>
  <si>
    <t>C0947</t>
  </si>
  <si>
    <t>C0574</t>
  </si>
  <si>
    <t>C0194</t>
  </si>
  <si>
    <t>C0847</t>
  </si>
  <si>
    <t>C0715</t>
  </si>
  <si>
    <t>C1324</t>
  </si>
  <si>
    <t>C0326</t>
  </si>
  <si>
    <t>C1434</t>
  </si>
  <si>
    <t>C0724</t>
  </si>
  <si>
    <t>C0225</t>
  </si>
  <si>
    <t>C0532</t>
  </si>
  <si>
    <t>C0140</t>
  </si>
  <si>
    <t>C0559</t>
  </si>
  <si>
    <t>C0320</t>
  </si>
  <si>
    <t>C0139</t>
  </si>
  <si>
    <t>C0845</t>
  </si>
  <si>
    <t>C0259</t>
  </si>
  <si>
    <t>C0902</t>
  </si>
  <si>
    <t>C0261</t>
  </si>
  <si>
    <t>C0172</t>
  </si>
  <si>
    <t>C0013</t>
  </si>
  <si>
    <t>C1343</t>
  </si>
  <si>
    <t>C0329</t>
  </si>
  <si>
    <t>C0911</t>
  </si>
  <si>
    <t>C1443</t>
  </si>
  <si>
    <t>C1119</t>
  </si>
  <si>
    <t>C0334</t>
  </si>
  <si>
    <t>C0376</t>
  </si>
  <si>
    <t>C1320</t>
  </si>
  <si>
    <t>C0918</t>
  </si>
  <si>
    <t>C1315</t>
  </si>
  <si>
    <t>C0725</t>
  </si>
  <si>
    <t>C1403</t>
  </si>
  <si>
    <t>C0132</t>
  </si>
  <si>
    <t>C0089</t>
  </si>
  <si>
    <t>C1319</t>
  </si>
  <si>
    <t>C0616</t>
  </si>
  <si>
    <t>C0800</t>
  </si>
  <si>
    <t>C0422</t>
  </si>
  <si>
    <t>C0143</t>
  </si>
  <si>
    <t>C0665</t>
  </si>
  <si>
    <t>C1007</t>
  </si>
  <si>
    <t>C0821</t>
  </si>
  <si>
    <t>C0579</t>
  </si>
  <si>
    <t>C0391</t>
  </si>
  <si>
    <t>C1203</t>
  </si>
  <si>
    <t>C0554</t>
  </si>
  <si>
    <t>C1472</t>
  </si>
  <si>
    <t>C0478</t>
  </si>
  <si>
    <t>C0923</t>
  </si>
  <si>
    <t>C0420</t>
  </si>
  <si>
    <t>C0157</t>
  </si>
  <si>
    <t>C0550</t>
  </si>
  <si>
    <t>C1121</t>
  </si>
  <si>
    <t>C0951</t>
  </si>
  <si>
    <t>C0196</t>
  </si>
  <si>
    <t>C0598</t>
  </si>
  <si>
    <t>C0517</t>
  </si>
  <si>
    <t>C0865</t>
  </si>
  <si>
    <t>C1183</t>
  </si>
  <si>
    <t>C0216</t>
  </si>
  <si>
    <t>C1285</t>
  </si>
  <si>
    <t>C0324</t>
  </si>
  <si>
    <t>C0844</t>
  </si>
  <si>
    <t>C0130</t>
  </si>
  <si>
    <t>C0627</t>
  </si>
  <si>
    <t>C0755</t>
  </si>
  <si>
    <t>C1316</t>
  </si>
  <si>
    <t>C0011</t>
  </si>
  <si>
    <t>C1158</t>
  </si>
  <si>
    <t>C0712</t>
  </si>
  <si>
    <t>C0141</t>
  </si>
  <si>
    <t>C1234</t>
  </si>
  <si>
    <t>C0985</t>
  </si>
  <si>
    <t>C0683</t>
  </si>
  <si>
    <t>C1484</t>
  </si>
  <si>
    <t>C0356</t>
  </si>
  <si>
    <t>C1008</t>
  </si>
  <si>
    <t>C1348</t>
  </si>
  <si>
    <t>C0888</t>
  </si>
  <si>
    <t>C0127</t>
  </si>
  <si>
    <t>C1402</t>
  </si>
  <si>
    <t>C1014</t>
  </si>
  <si>
    <t>C1053</t>
  </si>
  <si>
    <t>C1321</t>
  </si>
  <si>
    <t>C0779</t>
  </si>
  <si>
    <t>C0814</t>
  </si>
  <si>
    <t>C0983</t>
  </si>
  <si>
    <t>C0825</t>
  </si>
  <si>
    <t>C0567</t>
  </si>
  <si>
    <t>C0371</t>
  </si>
  <si>
    <t>C0661</t>
  </si>
  <si>
    <t>C1455</t>
  </si>
  <si>
    <t>C0969</t>
  </si>
  <si>
    <t>C0313</t>
  </si>
  <si>
    <t>C0937</t>
  </si>
  <si>
    <t>C0244</t>
  </si>
  <si>
    <t>C0347</t>
  </si>
  <si>
    <t>C0939</t>
  </si>
  <si>
    <t>C0156</t>
  </si>
  <si>
    <t>C0967</t>
  </si>
  <si>
    <t>C1108</t>
  </si>
  <si>
    <t>C0148</t>
  </si>
  <si>
    <t>C0342</t>
  </si>
  <si>
    <t>C1384</t>
  </si>
  <si>
    <t>C0561</t>
  </si>
  <si>
    <t>C0327</t>
  </si>
  <si>
    <t>C1165</t>
  </si>
  <si>
    <t>C0215</t>
  </si>
  <si>
    <t>C0723</t>
  </si>
  <si>
    <t>C1342</t>
  </si>
  <si>
    <t>C0032</t>
  </si>
  <si>
    <t>C0670</t>
  </si>
  <si>
    <t>C0429</t>
  </si>
  <si>
    <t>C0286</t>
  </si>
  <si>
    <t>C1448</t>
  </si>
  <si>
    <t>C0590</t>
  </si>
  <si>
    <t>C1395</t>
  </si>
  <si>
    <t>C1199</t>
  </si>
  <si>
    <t>C1010</t>
  </si>
  <si>
    <t>C0988</t>
  </si>
  <si>
    <t>C0114</t>
  </si>
  <si>
    <t>C1246</t>
  </si>
  <si>
    <t>C1288</t>
  </si>
  <si>
    <t>C0055</t>
  </si>
  <si>
    <t>C0778</t>
  </si>
  <si>
    <t>C1404</t>
  </si>
  <si>
    <t>C0087</t>
  </si>
  <si>
    <t>C1415</t>
  </si>
  <si>
    <t>C0833</t>
  </si>
  <si>
    <t>C0443</t>
  </si>
  <si>
    <t>C0328</t>
  </si>
  <si>
    <t>C1442</t>
  </si>
  <si>
    <t>C1112</t>
  </si>
  <si>
    <t>C0491</t>
  </si>
  <si>
    <t>C0452</t>
  </si>
  <si>
    <t>C0165</t>
  </si>
  <si>
    <t>C0182</t>
  </si>
  <si>
    <t>C0469</t>
  </si>
  <si>
    <t>C0910</t>
  </si>
  <si>
    <t>C0944</t>
  </si>
  <si>
    <t>C0007</t>
  </si>
  <si>
    <t>C0330</t>
  </si>
  <si>
    <t>C0775</t>
  </si>
  <si>
    <t>C1405</t>
  </si>
  <si>
    <t>C0915</t>
  </si>
  <si>
    <t>C0082</t>
  </si>
  <si>
    <t>C0514</t>
  </si>
  <si>
    <t>C0746</t>
  </si>
  <si>
    <t>C1023</t>
  </si>
  <si>
    <t>C0707</t>
  </si>
  <si>
    <t>C0905</t>
  </si>
  <si>
    <t>C1250</t>
  </si>
  <si>
    <t>C0940</t>
  </si>
  <si>
    <t>C1388</t>
  </si>
  <si>
    <t>C1304</t>
  </si>
  <si>
    <t>C1182</t>
  </si>
  <si>
    <t>C0632</t>
  </si>
  <si>
    <t>C0059</t>
  </si>
  <si>
    <t>C0721</t>
  </si>
  <si>
    <t>C1139</t>
  </si>
  <si>
    <t>C1233</t>
  </si>
  <si>
    <t>C0552</t>
  </si>
  <si>
    <t>C0237</t>
  </si>
  <si>
    <t>C1305</t>
  </si>
  <si>
    <t>C1302</t>
  </si>
  <si>
    <t>C1259</t>
  </si>
  <si>
    <t>C0494</t>
  </si>
  <si>
    <t>C1133</t>
  </si>
  <si>
    <t>C0610</t>
  </si>
  <si>
    <t>C0042</t>
  </si>
  <si>
    <t>C1380</t>
  </si>
  <si>
    <t>C1041</t>
  </si>
  <si>
    <t>C1177</t>
  </si>
  <si>
    <t>C0998</t>
  </si>
  <si>
    <t>C1311</t>
  </si>
  <si>
    <t>C0731</t>
  </si>
  <si>
    <t>C0168</t>
  </si>
  <si>
    <t>C0906</t>
  </si>
  <si>
    <t>C0922</t>
  </si>
  <si>
    <t>C0702</t>
  </si>
  <si>
    <t>C1387</t>
  </si>
  <si>
    <t>C0819</t>
  </si>
  <si>
    <t>C0693</t>
  </si>
  <si>
    <t>C0149</t>
  </si>
  <si>
    <t>C0807</t>
  </si>
  <si>
    <t>C0744</t>
  </si>
  <si>
    <t>C1334</t>
  </si>
  <si>
    <t>C0758</t>
  </si>
  <si>
    <t>C0406</t>
  </si>
  <si>
    <t>C1491</t>
  </si>
  <si>
    <t>C0482</t>
  </si>
  <si>
    <t>C0073</t>
  </si>
  <si>
    <t>C0713</t>
  </si>
  <si>
    <t>C0108</t>
  </si>
  <si>
    <t>C0102</t>
  </si>
  <si>
    <t>C0866</t>
  </si>
  <si>
    <t>C0275</t>
  </si>
  <si>
    <t>C1068</t>
  </si>
  <si>
    <t>C0817</t>
  </si>
  <si>
    <t>C1224</t>
  </si>
  <si>
    <t>C0466</t>
  </si>
  <si>
    <t>C1113</t>
  </si>
  <si>
    <t>C0711</t>
  </si>
  <si>
    <t>C0335</t>
  </si>
  <si>
    <t>C0629</t>
  </si>
  <si>
    <t>C0137</t>
  </si>
  <si>
    <t>C0594</t>
  </si>
  <si>
    <t>C0372</t>
  </si>
  <si>
    <t>C0995</t>
  </si>
  <si>
    <t>C0615</t>
  </si>
  <si>
    <t>C1176</t>
  </si>
  <si>
    <t>C0620</t>
  </si>
  <si>
    <t>C1122</t>
  </si>
  <si>
    <t>C0986</t>
  </si>
  <si>
    <t>C0183</t>
  </si>
  <si>
    <t>C0364</t>
  </si>
  <si>
    <t>C1421</t>
  </si>
  <si>
    <t>C0722</t>
  </si>
  <si>
    <t>C0016</t>
  </si>
  <si>
    <t>C1450</t>
  </si>
  <si>
    <t>C1132</t>
  </si>
  <si>
    <t>C0894</t>
  </si>
  <si>
    <t>C0311</t>
  </si>
  <si>
    <t>C1194</t>
  </si>
  <si>
    <t>C0414</t>
  </si>
  <si>
    <t>C0251</t>
  </si>
  <si>
    <t>C0245</t>
  </si>
  <si>
    <t>C0272</t>
  </si>
  <si>
    <t>C1464</t>
  </si>
  <si>
    <t>C0377</t>
  </si>
  <si>
    <t>C0266</t>
  </si>
  <si>
    <t>C0926</t>
  </si>
  <si>
    <t>C0340</t>
  </si>
  <si>
    <t>C0577</t>
  </si>
  <si>
    <t>C0003</t>
  </si>
  <si>
    <t>C1453</t>
  </si>
  <si>
    <t>C1166</t>
  </si>
  <si>
    <t>C0293</t>
  </si>
  <si>
    <t>C0705</t>
  </si>
  <si>
    <t>C0949</t>
  </si>
  <si>
    <t>C0585</t>
  </si>
  <si>
    <t>C0399</t>
  </si>
  <si>
    <t>C0964</t>
  </si>
  <si>
    <t>C1164</t>
  </si>
  <si>
    <t>C1086</t>
  </si>
  <si>
    <t>C0772</t>
  </si>
  <si>
    <t>C1390</t>
  </si>
  <si>
    <t>C0753</t>
  </si>
  <si>
    <t>C0506</t>
  </si>
  <si>
    <t>C1044</t>
  </si>
  <si>
    <t>C0850</t>
  </si>
  <si>
    <t>C0781</t>
  </si>
  <si>
    <t>C0893</t>
  </si>
  <si>
    <t>C0580</t>
  </si>
  <si>
    <t>C1381</t>
  </si>
  <si>
    <t>C1291</t>
  </si>
  <si>
    <t>C0635</t>
  </si>
  <si>
    <t>C1356</t>
  </si>
  <si>
    <t>C1487</t>
  </si>
  <si>
    <t>C0040</t>
  </si>
  <si>
    <t>C1419</t>
  </si>
  <si>
    <t>C0975</t>
  </si>
  <si>
    <t>C0454</t>
  </si>
  <si>
    <t>C1138</t>
  </si>
  <si>
    <t>C0349</t>
  </si>
  <si>
    <t>C1286</t>
  </si>
  <si>
    <t>C1171</t>
  </si>
  <si>
    <t>C0353</t>
  </si>
  <si>
    <t>C0571</t>
  </si>
  <si>
    <t>C1369</t>
  </si>
  <si>
    <t>C1055</t>
  </si>
  <si>
    <t>C0535</t>
  </si>
  <si>
    <t>C0426</t>
  </si>
  <si>
    <t>C1282</t>
  </si>
  <si>
    <t>C0589</t>
  </si>
  <si>
    <t>C0295</t>
  </si>
  <si>
    <t>C1248</t>
  </si>
  <si>
    <t>C0448</t>
  </si>
  <si>
    <t>C0856</t>
  </si>
  <si>
    <t>C0675</t>
  </si>
  <si>
    <t>C0586</t>
  </si>
  <si>
    <t>C0994</t>
  </si>
  <si>
    <t>C1436</t>
  </si>
  <si>
    <t>C0572</t>
  </si>
  <si>
    <t>C0989</t>
  </si>
  <si>
    <t>C0278</t>
  </si>
  <si>
    <t>C0916</t>
  </si>
  <si>
    <t>C0484</t>
  </si>
  <si>
    <t>C0210</t>
  </si>
  <si>
    <t>C0306</t>
  </si>
  <si>
    <t>C1294</t>
  </si>
  <si>
    <t>C0716</t>
  </si>
  <si>
    <t>C0381</t>
  </si>
  <si>
    <t>C0907</t>
  </si>
  <si>
    <t>C0079</t>
  </si>
  <si>
    <t>C0459</t>
  </si>
  <si>
    <t>C1454</t>
  </si>
  <si>
    <t>C0887</t>
  </si>
  <si>
    <t>C0974</t>
  </si>
  <si>
    <t>C1406</t>
  </si>
  <si>
    <t>C0084</t>
  </si>
  <si>
    <t>C1477</t>
  </si>
  <si>
    <t>C1186</t>
  </si>
  <si>
    <t>C0793</t>
  </si>
  <si>
    <t>C1084</t>
  </si>
  <si>
    <t>C0430</t>
  </si>
  <si>
    <t>C0520</t>
  </si>
  <si>
    <t>C0591</t>
  </si>
  <si>
    <t>C1051</t>
  </si>
  <si>
    <t>C0199</t>
  </si>
  <si>
    <t>C0378</t>
  </si>
  <si>
    <t>C0527</t>
  </si>
  <si>
    <t>C0734</t>
  </si>
  <si>
    <t>C1260</t>
  </si>
  <si>
    <t>C0501</t>
  </si>
  <si>
    <t>C0584</t>
  </si>
  <si>
    <t>C0395</t>
  </si>
  <si>
    <t>C1088</t>
  </si>
  <si>
    <t>C0072</t>
  </si>
  <si>
    <t>C0274</t>
  </si>
  <si>
    <t>C1449</t>
  </si>
  <si>
    <t>C0889</t>
  </si>
  <si>
    <t>C0592</t>
  </si>
  <si>
    <t>C0673</t>
  </si>
  <si>
    <t>C0116</t>
  </si>
  <si>
    <t>C1190</t>
  </si>
  <si>
    <t>C0106</t>
  </si>
  <si>
    <t>C0428</t>
  </si>
  <si>
    <t>C0317</t>
  </si>
  <si>
    <t>C0223</t>
  </si>
  <si>
    <t>C0553</t>
  </si>
  <si>
    <t>C1394</t>
  </si>
  <si>
    <t>C0383</t>
  </si>
  <si>
    <t>C0410</t>
  </si>
  <si>
    <t>C0515</t>
  </si>
  <si>
    <t>C0809</t>
  </si>
  <si>
    <t>C0874</t>
  </si>
  <si>
    <t>C0309</t>
  </si>
  <si>
    <t>C0695</t>
  </si>
  <si>
    <t>C0288</t>
  </si>
  <si>
    <t>C0307</t>
  </si>
  <si>
    <t>C0549</t>
  </si>
  <si>
    <t>C1376</t>
  </si>
  <si>
    <t>C0312</t>
  </si>
  <si>
    <t>C0924</t>
  </si>
  <si>
    <t>C0862</t>
  </si>
  <si>
    <t>C0159</t>
  </si>
  <si>
    <t>C0024</t>
  </si>
  <si>
    <t>C0608</t>
  </si>
  <si>
    <t>C1274</t>
  </si>
  <si>
    <t>booking_id</t>
  </si>
  <si>
    <t>customer_id</t>
  </si>
  <si>
    <t>booking_date</t>
  </si>
  <si>
    <t>check_in_date</t>
  </si>
  <si>
    <t>check_out_date</t>
  </si>
  <si>
    <t>hotel_city</t>
  </si>
  <si>
    <t>customer_type</t>
  </si>
  <si>
    <t>room_type</t>
  </si>
  <si>
    <t>lead_time</t>
  </si>
  <si>
    <t>avg_daily_rate</t>
  </si>
  <si>
    <t>total_price</t>
  </si>
  <si>
    <t>booking_channel</t>
  </si>
  <si>
    <t>is_canceled</t>
  </si>
  <si>
    <t>group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</si>
  <si>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</si>
  <si>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</si>
  <si>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</si>
  <si>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</si>
  <si>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</si>
  <si>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</si>
  <si>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</si>
  <si>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</si>
  <si>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</si>
  <si>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</si>
  <si>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</si>
  <si>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</si>
  <si>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</si>
  <si>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</si>
  <si>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</si>
  <si>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Total Projected Revenue</t>
  </si>
  <si>
    <t>Count of Canceled</t>
  </si>
  <si>
    <t>MASTER PIVOT TABLE</t>
  </si>
  <si>
    <t>Qtr1</t>
  </si>
  <si>
    <t>Qtr2</t>
  </si>
  <si>
    <t>Projected Revenue</t>
  </si>
  <si>
    <t>Acutal Revenue. (Non-Cancelled bookings)</t>
  </si>
  <si>
    <t>Total Bookings</t>
  </si>
  <si>
    <t>Total Total Bookings</t>
  </si>
  <si>
    <t>Total Acutal Revenue. (Non-Cancelled bookings)</t>
  </si>
  <si>
    <t>Booking Channels</t>
  </si>
  <si>
    <t>Month Wise Bookings</t>
  </si>
  <si>
    <t>No. of Bookings</t>
  </si>
  <si>
    <t>Qtr3</t>
  </si>
  <si>
    <t>Qtr4</t>
  </si>
  <si>
    <t>Month Wise Check-ins</t>
  </si>
  <si>
    <t>Month wise Average Stay Duration</t>
  </si>
  <si>
    <t xml:space="preserve">Month </t>
  </si>
  <si>
    <t>No.of Check ins</t>
  </si>
  <si>
    <t xml:space="preserve">Month  </t>
  </si>
  <si>
    <t>Average Days of Stay</t>
  </si>
  <si>
    <t>Quarter wise Estimated and Actual Revenue</t>
  </si>
  <si>
    <t>Difference</t>
  </si>
  <si>
    <t>Acutal Revenue</t>
  </si>
  <si>
    <t>City Wise Revenue</t>
  </si>
  <si>
    <t xml:space="preserve">City  </t>
  </si>
  <si>
    <t>Quarters</t>
  </si>
  <si>
    <t>Count of Cancelled Bookings</t>
  </si>
  <si>
    <t>Cancelled</t>
  </si>
  <si>
    <t>Not Cancelled</t>
  </si>
  <si>
    <t>Cahnnel wise Revenue</t>
  </si>
  <si>
    <t>Channels</t>
  </si>
  <si>
    <t>No of bookings</t>
  </si>
  <si>
    <t>Actual Revenue</t>
  </si>
  <si>
    <t>Month Wise Revenue</t>
  </si>
  <si>
    <t>No of Bookings</t>
  </si>
  <si>
    <t>Segment Wise Bookings and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</si>
</sst>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0"/>
      <color rgb="FF000000"/>
      <name val="Aptos Narrow"/>
      <family val="1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0" fillId="0" borderId="0" xfId="0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15" xfId="0" pivotButton="1" applyBorder="1"/>
    <xf numFmtId="0" fontId="0" fillId="0" borderId="15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0" fillId="0" borderId="0" xfId="0" pivotButton="1" applyAlignment="1">
      <alignment horizontal="center"/>
    </xf>
    <xf numFmtId="2" fontId="0" fillId="0" borderId="0" xfId="0" applyNumberFormat="1"/>
    <xf numFmtId="164" fontId="0" fillId="0" borderId="0" xfId="42" applyNumberFormat="1" applyFont="1"/>
    <xf numFmtId="164" fontId="16" fillId="33" borderId="11" xfId="42" applyNumberFormat="1" applyFont="1" applyFill="1" applyBorder="1"/>
    <xf numFmtId="164" fontId="0" fillId="0" borderId="0" xfId="0" applyNumberFormat="1"/>
    <xf numFmtId="0" fontId="18" fillId="34" borderId="12" xfId="0" applyFont="1" applyFill="1" applyBorder="1" applyAlignment="1">
      <alignment horizontal="center" vertical="center"/>
    </xf>
    <xf numFmtId="0" fontId="18" fillId="34" borderId="13" xfId="0" applyFont="1" applyFill="1" applyBorder="1" applyAlignment="1">
      <alignment horizontal="center" vertical="center"/>
    </xf>
    <xf numFmtId="0" fontId="18" fillId="34" borderId="14" xfId="0" applyFont="1" applyFill="1" applyBorder="1" applyAlignment="1">
      <alignment horizontal="center" vertical="center"/>
    </xf>
    <xf numFmtId="0" fontId="18" fillId="34" borderId="15" xfId="0" applyFont="1" applyFill="1" applyBorder="1" applyAlignment="1">
      <alignment horizontal="center" vertical="center"/>
    </xf>
    <xf numFmtId="0" fontId="18" fillId="34" borderId="0" xfId="0" applyFont="1" applyFill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8" fillId="34" borderId="17" xfId="0" applyFont="1" applyFill="1" applyBorder="1" applyAlignment="1">
      <alignment horizontal="center" vertical="center"/>
    </xf>
    <xf numFmtId="0" fontId="18" fillId="34" borderId="18" xfId="0" applyFont="1" applyFill="1" applyBorder="1" applyAlignment="1">
      <alignment horizontal="center" vertical="center"/>
    </xf>
    <xf numFmtId="0" fontId="18" fillId="34" borderId="19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19" fillId="34" borderId="14" xfId="0" applyFont="1" applyFill="1" applyBorder="1" applyAlignment="1">
      <alignment horizontal="center" vertical="center"/>
    </xf>
    <xf numFmtId="0" fontId="19" fillId="34" borderId="17" xfId="0" applyFont="1" applyFill="1" applyBorder="1" applyAlignment="1">
      <alignment horizontal="center" vertical="center"/>
    </xf>
    <xf numFmtId="0" fontId="19" fillId="34" borderId="18" xfId="0" applyFont="1" applyFill="1" applyBorder="1" applyAlignment="1">
      <alignment horizontal="center" vertical="center"/>
    </xf>
    <xf numFmtId="0" fontId="19" fillId="34" borderId="19" xfId="0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164" formatCode="_ * #,##0_ ;_ * \-#,##0_ ;_ * &quot;-&quot;??_ ;_ @_ "/>
    </dxf>
    <dxf>
      <numFmt numFmtId="2" formatCode="0.00"/>
    </dxf>
    <dxf>
      <numFmt numFmtId="164" formatCode="_ * #,##0_ ;_ * \-#,##0_ ;_ * &quot;-&quot;??_ ;_ @_ "/>
    </dxf>
    <dxf>
      <alignment horizontal="center"/>
    </dxf>
    <dxf>
      <alignment horizontal="center"/>
    </dxf>
    <dxf>
      <numFmt numFmtId="164" formatCode="_ * #,##0_ ;_ * \-#,##0_ ;_ * &quot;-&quot;??_ ;_ @_ 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bhojit Dutta" refreshedDate="46145.737920486114" createdVersion="8" refreshedVersion="8" minRefreshableVersion="3" recordCount="2000" xr:uid="{311822AC-1EF0-49D5-ACD3-2F87C1E21174}">
  <cacheSource type="worksheet">
    <worksheetSource ref="A1:S2001" sheet="Cleaned Data"/>
  </cacheSource>
  <cacheFields count="27">
    <cacheField name="Booking_id" numFmtId="0">
      <sharedItems containsSemiMixedTypes="0" containsString="0" containsNumber="1" containsInteger="1" minValue="1001" maxValue="3000"/>
    </cacheField>
    <cacheField name="Customer_id" numFmtId="0">
      <sharedItems/>
    </cacheField>
    <cacheField name="Booking_date" numFmtId="14">
      <sharedItems containsSemiMixedTypes="0" containsNonDate="0" containsDate="1" containsString="0" minDate="2024-01-01T00:00:00" maxDate="2024-12-31T00:00:00" count="364">
        <d v="2024-08-15T00:00:00"/>
        <d v="2024-03-06T00:00:00"/>
        <d v="2024-11-30T00:00:00"/>
        <d v="2024-09-18T00:00:00"/>
        <d v="2024-10-21T00:00:00"/>
        <d v="2024-08-30T00:00:00"/>
        <d v="2024-07-04T00:00:00"/>
        <d v="2024-09-02T00:00:00"/>
        <d v="2024-05-04T00:00:00"/>
        <d v="2024-09-24T00:00:00"/>
        <d v="2024-05-10T00:00:00"/>
        <d v="2024-08-24T00:00:00"/>
        <d v="2024-01-18T00:00:00"/>
        <d v="2024-02-09T00:00:00"/>
        <d v="2024-01-21T00:00:00"/>
        <d v="2024-08-12T00:00:00"/>
        <d v="2024-12-20T00:00:00"/>
        <d v="2024-10-08T00:00:00"/>
        <d v="2024-01-08T00:00:00"/>
        <d v="2024-04-09T00:00:00"/>
        <d v="2024-08-27T00:00:00"/>
        <d v="2024-03-27T00:00:00"/>
        <d v="2024-10-24T00:00:00"/>
        <d v="2024-01-14T00:00:00"/>
        <d v="2024-11-29T00:00:00"/>
        <d v="2024-01-02T00:00:00"/>
        <d v="2024-10-19T00:00:00"/>
        <d v="2024-11-20T00:00:00"/>
        <d v="2024-02-10T00:00:00"/>
        <d v="2024-11-13T00:00:00"/>
        <d v="2024-11-11T00:00:00"/>
        <d v="2024-04-20T00:00:00"/>
        <d v="2024-08-18T00:00:00"/>
        <d v="2024-03-24T00:00:00"/>
        <d v="2024-05-09T00:00:00"/>
        <d v="2024-11-21T00:00:00"/>
        <d v="2024-05-24T00:00:00"/>
        <d v="2024-12-10T00:00:00"/>
        <d v="2024-01-28T00:00:00"/>
        <d v="2024-06-11T00:00:00"/>
        <d v="2024-08-16T00:00:00"/>
        <d v="2024-09-17T00:00:00"/>
        <d v="2024-06-12T00:00:00"/>
        <d v="2024-10-27T00:00:00"/>
        <d v="2024-10-29T00:00:00"/>
        <d v="2024-10-13T00:00:00"/>
        <d v="2024-01-10T00:00:00"/>
        <d v="2024-07-13T00:00:00"/>
        <d v="2024-04-27T00:00:00"/>
        <d v="2024-09-26T00:00:00"/>
        <d v="2024-03-20T00:00:00"/>
        <d v="2024-04-02T00:00:00"/>
        <d v="2024-09-22T00:00:00"/>
        <d v="2024-11-27T00:00:00"/>
        <d v="2024-12-15T00:00:00"/>
        <d v="2024-12-26T00:00:00"/>
        <d v="2024-09-13T00:00:00"/>
        <d v="2024-05-12T00:00:00"/>
        <d v="2024-10-02T00:00:00"/>
        <d v="2024-09-20T00:00:00"/>
        <d v="2024-06-19T00:00:00"/>
        <d v="2024-01-01T00:00:00"/>
        <d v="2024-11-08T00:00:00"/>
        <d v="2024-03-04T00:00:00"/>
        <d v="2024-10-10T00:00:00"/>
        <d v="2024-04-30T00:00:00"/>
        <d v="2024-04-16T00:00:00"/>
        <d v="2024-06-23T00:00:00"/>
        <d v="2024-07-22T00:00:00"/>
        <d v="2024-06-13T00:00:00"/>
        <d v="2024-10-31T00:00:00"/>
        <d v="2024-04-29T00:00:00"/>
        <d v="2024-02-13T00:00:00"/>
        <d v="2024-11-07T00:00:00"/>
        <d v="2024-06-04T00:00:00"/>
        <d v="2024-07-25T00:00:00"/>
        <d v="2024-04-17T00:00:00"/>
        <d v="2024-09-07T00:00:00"/>
        <d v="2024-01-20T00:00:00"/>
        <d v="2024-10-11T00:00:00"/>
        <d v="2024-04-28T00:00:00"/>
        <d v="2024-02-04T00:00:00"/>
        <d v="2024-07-16T00:00:00"/>
        <d v="2024-09-01T00:00:00"/>
        <d v="2024-02-28T00:00:00"/>
        <d v="2024-06-09T00:00:00"/>
        <d v="2024-06-27T00:00:00"/>
        <d v="2024-07-24T00:00:00"/>
        <d v="2024-01-12T00:00:00"/>
        <d v="2024-06-29T00:00:00"/>
        <d v="2024-08-29T00:00:00"/>
        <d v="2024-08-03T00:00:00"/>
        <d v="2024-10-25T00:00:00"/>
        <d v="2024-05-05T00:00:00"/>
        <d v="2024-08-04T00:00:00"/>
        <d v="2024-11-01T00:00:00"/>
        <d v="2024-07-03T00:00:00"/>
        <d v="2024-02-08T00:00:00"/>
        <d v="2024-08-10T00:00:00"/>
        <d v="2024-07-02T00:00:00"/>
        <d v="2024-06-26T00:00:00"/>
        <d v="2024-10-20T00:00:00"/>
        <d v="2024-12-05T00:00:00"/>
        <d v="2024-05-30T00:00:00"/>
        <d v="2024-11-03T00:00:00"/>
        <d v="2024-12-01T00:00:00"/>
        <d v="2024-08-21T00:00:00"/>
        <d v="2024-12-06T00:00:00"/>
        <d v="2024-05-08T00:00:00"/>
        <d v="2024-06-05T00:00:00"/>
        <d v="2024-12-17T00:00:00"/>
        <d v="2024-12-23T00:00:00"/>
        <d v="2024-01-05T00:00:00"/>
        <d v="2024-03-26T00:00:00"/>
        <d v="2024-10-16T00:00:00"/>
        <d v="2024-07-11T00:00:00"/>
        <d v="2024-11-06T00:00:00"/>
        <d v="2024-08-05T00:00:00"/>
        <d v="2024-04-23T00:00:00"/>
        <d v="2024-01-26T00:00:00"/>
        <d v="2024-05-15T00:00:00"/>
        <d v="2024-08-19T00:00:00"/>
        <d v="2024-03-16T00:00:00"/>
        <d v="2024-11-23T00:00:00"/>
        <d v="2024-10-28T00:00:00"/>
        <d v="2024-10-15T00:00:00"/>
        <d v="2024-05-26T00:00:00"/>
        <d v="2024-05-21T00:00:00"/>
        <d v="2024-02-22T00:00:00"/>
        <d v="2024-10-30T00:00:00"/>
        <d v="2024-03-09T00:00:00"/>
        <d v="2024-03-30T00:00:00"/>
        <d v="2024-08-07T00:00:00"/>
        <d v="2024-07-10T00:00:00"/>
        <d v="2024-03-03T00:00:00"/>
        <d v="2024-03-13T00:00:00"/>
        <d v="2024-06-17T00:00:00"/>
        <d v="2024-03-29T00:00:00"/>
        <d v="2024-06-24T00:00:00"/>
        <d v="2024-09-25T00:00:00"/>
        <d v="2024-03-17T00:00:00"/>
        <d v="2024-06-07T00:00:00"/>
        <d v="2024-11-19T00:00:00"/>
        <d v="2024-04-07T00:00:00"/>
        <d v="2024-04-11T00:00:00"/>
        <d v="2024-05-11T00:00:00"/>
        <d v="2024-01-19T00:00:00"/>
        <d v="2024-03-22T00:00:00"/>
        <d v="2024-10-05T00:00:00"/>
        <d v="2024-12-04T00:00:00"/>
        <d v="2024-12-30T00:00:00"/>
        <d v="2024-11-26T00:00:00"/>
        <d v="2024-12-09T00:00:00"/>
        <d v="2024-11-05T00:00:00"/>
        <d v="2024-07-31T00:00:00"/>
        <d v="2024-05-22T00:00:00"/>
        <d v="2024-03-05T00:00:00"/>
        <d v="2024-07-17T00:00:00"/>
        <d v="2024-08-11T00:00:00"/>
        <d v="2024-10-17T00:00:00"/>
        <d v="2024-09-23T00:00:00"/>
        <d v="2024-04-19T00:00:00"/>
        <d v="2024-11-25T00:00:00"/>
        <d v="2024-09-21T00:00:00"/>
        <d v="2024-01-03T00:00:00"/>
        <d v="2024-03-25T00:00:00"/>
        <d v="2024-04-26T00:00:00"/>
        <d v="2024-08-08T00:00:00"/>
        <d v="2024-06-02T00:00:00"/>
        <d v="2024-06-01T00:00:00"/>
        <d v="2024-10-26T00:00:00"/>
        <d v="2024-09-27T00:00:00"/>
        <d v="2024-02-12T00:00:00"/>
        <d v="2024-12-08T00:00:00"/>
        <d v="2024-12-29T00:00:00"/>
        <d v="2024-05-03T00:00:00"/>
        <d v="2024-10-07T00:00:00"/>
        <d v="2024-10-18T00:00:00"/>
        <d v="2024-07-21T00:00:00"/>
        <d v="2024-02-20T00:00:00"/>
        <d v="2024-10-03T00:00:00"/>
        <d v="2024-05-20T00:00:00"/>
        <d v="2024-10-01T00:00:00"/>
        <d v="2024-02-21T00:00:00"/>
        <d v="2024-01-27T00:00:00"/>
        <d v="2024-08-26T00:00:00"/>
        <d v="2024-05-23T00:00:00"/>
        <d v="2024-04-15T00:00:00"/>
        <d v="2024-06-06T00:00:00"/>
        <d v="2024-05-25T00:00:00"/>
        <d v="2024-09-19T00:00:00"/>
        <d v="2024-12-16T00:00:00"/>
        <d v="2024-03-14T00:00:00"/>
        <d v="2024-03-11T00:00:00"/>
        <d v="2024-08-28T00:00:00"/>
        <d v="2024-02-05T00:00:00"/>
        <d v="2024-06-20T00:00:00"/>
        <d v="2024-06-21T00:00:00"/>
        <d v="2024-12-27T00:00:00"/>
        <d v="2024-02-16T00:00:00"/>
        <d v="2024-08-01T00:00:00"/>
        <d v="2024-01-09T00:00:00"/>
        <d v="2024-06-18T00:00:00"/>
        <d v="2024-03-12T00:00:00"/>
        <d v="2024-05-31T00:00:00"/>
        <d v="2024-07-26T00:00:00"/>
        <d v="2024-02-18T00:00:00"/>
        <d v="2024-12-12T00:00:00"/>
        <d v="2024-03-08T00:00:00"/>
        <d v="2024-02-19T00:00:00"/>
        <d v="2024-02-29T00:00:00"/>
        <d v="2024-06-15T00:00:00"/>
        <d v="2024-07-20T00:00:00"/>
        <d v="2024-08-13T00:00:00"/>
        <d v="2024-05-28T00:00:00"/>
        <d v="2024-05-29T00:00:00"/>
        <d v="2024-06-08T00:00:00"/>
        <d v="2024-01-11T00:00:00"/>
        <d v="2024-05-17T00:00:00"/>
        <d v="2024-03-18T00:00:00"/>
        <d v="2024-09-10T00:00:00"/>
        <d v="2024-09-14T00:00:00"/>
        <d v="2024-11-15T00:00:00"/>
        <d v="2024-11-18T00:00:00"/>
        <d v="2024-02-11T00:00:00"/>
        <d v="2024-10-06T00:00:00"/>
        <d v="2024-07-06T00:00:00"/>
        <d v="2024-10-14T00:00:00"/>
        <d v="2024-04-18T00:00:00"/>
        <d v="2024-12-18T00:00:00"/>
        <d v="2024-03-10T00:00:00"/>
        <d v="2024-07-14T00:00:00"/>
        <d v="2024-08-17T00:00:00"/>
        <d v="2024-07-18T00:00:00"/>
        <d v="2024-03-07T00:00:00"/>
        <d v="2024-02-27T00:00:00"/>
        <d v="2024-09-15T00:00:00"/>
        <d v="2024-12-07T00:00:00"/>
        <d v="2024-08-02T00:00:00"/>
        <d v="2024-07-27T00:00:00"/>
        <d v="2024-12-19T00:00:00"/>
        <d v="2024-10-12T00:00:00"/>
        <d v="2024-04-25T00:00:00"/>
        <d v="2024-11-28T00:00:00"/>
        <d v="2024-02-24T00:00:00"/>
        <d v="2024-01-30T00:00:00"/>
        <d v="2024-12-13T00:00:00"/>
        <d v="2024-04-24T00:00:00"/>
        <d v="2024-04-13T00:00:00"/>
        <d v="2024-12-25T00:00:00"/>
        <d v="2024-09-04T00:00:00"/>
        <d v="2024-11-16T00:00:00"/>
        <d v="2024-09-28T00:00:00"/>
        <d v="2024-02-07T00:00:00"/>
        <d v="2024-09-05T00:00:00"/>
        <d v="2024-06-28T00:00:00"/>
        <d v="2024-07-08T00:00:00"/>
        <d v="2024-04-10T00:00:00"/>
        <d v="2024-08-31T00:00:00"/>
        <d v="2024-06-14T00:00:00"/>
        <d v="2024-05-13T00:00:00"/>
        <d v="2024-01-07T00:00:00"/>
        <d v="2024-09-12T00:00:00"/>
        <d v="2024-01-25T00:00:00"/>
        <d v="2024-09-09T00:00:00"/>
        <d v="2024-04-04T00:00:00"/>
        <d v="2024-08-25T00:00:00"/>
        <d v="2024-03-19T00:00:00"/>
        <d v="2024-05-07T00:00:00"/>
        <d v="2024-04-05T00:00:00"/>
        <d v="2024-04-01T00:00:00"/>
        <d v="2024-01-31T00:00:00"/>
        <d v="2024-12-14T00:00:00"/>
        <d v="2024-02-25T00:00:00"/>
        <d v="2024-03-23T00:00:00"/>
        <d v="2024-04-08T00:00:00"/>
        <d v="2024-11-24T00:00:00"/>
        <d v="2024-09-08T00:00:00"/>
        <d v="2024-04-06T00:00:00"/>
        <d v="2024-09-16T00:00:00"/>
        <d v="2024-04-12T00:00:00"/>
        <d v="2024-09-29T00:00:00"/>
        <d v="2024-12-24T00:00:00"/>
        <d v="2024-07-09T00:00:00"/>
        <d v="2024-03-02T00:00:00"/>
        <d v="2024-06-03T00:00:00"/>
        <d v="2024-07-01T00:00:00"/>
        <d v="2024-08-06T00:00:00"/>
        <d v="2024-11-09T00:00:00"/>
        <d v="2024-01-13T00:00:00"/>
        <d v="2024-12-03T00:00:00"/>
        <d v="2024-02-03T00:00:00"/>
        <d v="2024-04-21T00:00:00"/>
        <d v="2024-08-14T00:00:00"/>
        <d v="2024-08-20T00:00:00"/>
        <d v="2024-04-22T00:00:00"/>
        <d v="2024-04-14T00:00:00"/>
        <d v="2024-01-17T00:00:00"/>
        <d v="2024-02-17T00:00:00"/>
        <d v="2024-01-29T00:00:00"/>
        <d v="2024-09-03T00:00:00"/>
        <d v="2024-05-27T00:00:00"/>
        <d v="2024-05-18T00:00:00"/>
        <d v="2024-07-29T00:00:00"/>
        <d v="2024-12-02T00:00:00"/>
        <d v="2024-09-11T00:00:00"/>
        <d v="2024-05-19T00:00:00"/>
        <d v="2024-11-10T00:00:00"/>
        <d v="2024-10-04T00:00:00"/>
        <d v="2024-06-22T00:00:00"/>
        <d v="2024-05-01T00:00:00"/>
        <d v="2024-02-01T00:00:00"/>
        <d v="2024-08-09T00:00:00"/>
        <d v="2024-05-14T00:00:00"/>
        <d v="2024-08-23T00:00:00"/>
        <d v="2024-08-22T00:00:00"/>
        <d v="2024-01-22T00:00:00"/>
        <d v="2024-10-09T00:00:00"/>
        <d v="2024-03-28T00:00:00"/>
        <d v="2024-07-07T00:00:00"/>
        <d v="2024-01-23T00:00:00"/>
        <d v="2024-02-23T00:00:00"/>
        <d v="2024-03-15T00:00:00"/>
        <d v="2024-01-24T00:00:00"/>
        <d v="2024-02-26T00:00:00"/>
        <d v="2024-01-04T00:00:00"/>
        <d v="2024-06-10T00:00:00"/>
        <d v="2024-11-14T00:00:00"/>
        <d v="2024-12-21T00:00:00"/>
        <d v="2024-05-16T00:00:00"/>
        <d v="2024-03-01T00:00:00"/>
        <d v="2024-10-23T00:00:00"/>
        <d v="2024-06-30T00:00:00"/>
        <d v="2024-07-23T00:00:00"/>
        <d v="2024-09-06T00:00:00"/>
        <d v="2024-12-28T00:00:00"/>
        <d v="2024-05-06T00:00:00"/>
        <d v="2024-11-22T00:00:00"/>
        <d v="2024-03-21T00:00:00"/>
        <d v="2024-06-25T00:00:00"/>
        <d v="2024-06-16T00:00:00"/>
        <d v="2024-07-15T00:00:00"/>
        <d v="2024-11-02T00:00:00"/>
        <d v="2024-07-28T00:00:00"/>
        <d v="2024-01-16T00:00:00"/>
        <d v="2024-07-30T00:00:00"/>
        <d v="2024-07-19T00:00:00"/>
        <d v="2024-03-31T00:00:00"/>
        <d v="2024-02-15T00:00:00"/>
        <d v="2024-11-12T00:00:00"/>
        <d v="2024-11-04T00:00:00"/>
        <d v="2024-12-22T00:00:00"/>
        <d v="2024-01-15T00:00:00"/>
        <d v="2024-07-12T00:00:00"/>
        <d v="2024-02-06T00:00:00"/>
        <d v="2024-02-14T00:00:00"/>
        <d v="2024-10-22T00:00:00"/>
        <d v="2024-09-30T00:00:00"/>
        <d v="2024-05-02T00:00:00"/>
        <d v="2024-11-17T00:00:00"/>
        <d v="2024-04-03T00:00:00"/>
        <d v="2024-12-11T00:00:00"/>
        <d v="2024-07-05T00:00:00"/>
        <d v="2024-02-02T00:00:00"/>
      </sharedItems>
      <fieldGroup par="20"/>
    </cacheField>
    <cacheField name="Duration from booking to stay" numFmtId="0">
      <sharedItems/>
    </cacheField>
    <cacheField name="Check_in_date" numFmtId="14">
      <sharedItems containsSemiMixedTypes="0" containsNonDate="0" containsDate="1" containsString="0" minDate="2024-01-06T00:00:00" maxDate="2025-02-26T00:00:00" count="402">
        <d v="2024-09-06T00:00:00"/>
        <d v="2024-03-24T00:00:00"/>
        <d v="2024-12-14T00:00:00"/>
        <d v="2024-09-28T00:00:00"/>
        <d v="2024-12-06T00:00:00"/>
        <d v="2024-09-12T00:00:00"/>
        <d v="2024-08-04T00:00:00"/>
        <d v="2024-10-02T00:00:00"/>
        <d v="2024-05-07T00:00:00"/>
        <d v="2024-10-24T00:00:00"/>
        <d v="2024-05-16T00:00:00"/>
        <d v="2024-09-22T00:00:00"/>
        <d v="2024-01-26T00:00:00"/>
        <d v="2024-03-06T00:00:00"/>
        <d v="2024-09-24T00:00:00"/>
        <d v="2025-02-02T00:00:00"/>
        <d v="2024-11-10T00:00:00"/>
        <d v="2024-01-25T00:00:00"/>
        <d v="2024-05-27T00:00:00"/>
        <d v="2024-09-07T00:00:00"/>
        <d v="2024-04-09T00:00:00"/>
        <d v="2024-12-13T00:00:00"/>
        <d v="2024-12-30T00:00:00"/>
        <d v="2024-01-30T00:00:00"/>
        <d v="2024-12-02T00:00:00"/>
        <d v="2024-11-26T00:00:00"/>
        <d v="2024-03-22T00:00:00"/>
        <d v="2024-11-29T00:00:00"/>
        <d v="2024-11-15T00:00:00"/>
        <d v="2024-05-25T00:00:00"/>
        <d v="2024-03-02T00:00:00"/>
        <d v="2024-10-13T00:00:00"/>
        <d v="2024-05-22T00:00:00"/>
        <d v="2024-06-04T00:00:00"/>
        <d v="2024-10-14T00:00:00"/>
        <d v="2024-12-03T00:00:00"/>
        <d v="2025-01-16T00:00:00"/>
        <d v="2024-02-22T00:00:00"/>
        <d v="2024-06-30T00:00:00"/>
        <d v="2024-09-08T00:00:00"/>
        <d v="2024-11-11T00:00:00"/>
        <d v="2024-07-20T00:00:00"/>
        <d v="2024-12-20T00:00:00"/>
        <d v="2024-11-16T00:00:00"/>
        <d v="2024-11-08T00:00:00"/>
        <d v="2024-01-16T00:00:00"/>
        <d v="2024-07-17T00:00:00"/>
        <d v="2024-06-10T00:00:00"/>
        <d v="2024-04-18T00:00:00"/>
        <d v="2024-05-31T00:00:00"/>
        <d v="2024-10-26T00:00:00"/>
        <d v="2025-01-27T00:00:00"/>
        <d v="2025-02-07T00:00:00"/>
        <d v="2024-11-05T00:00:00"/>
        <d v="2024-05-28T00:00:00"/>
        <d v="2024-10-04T00:00:00"/>
        <d v="2024-08-13T00:00:00"/>
        <d v="2024-01-09T00:00:00"/>
        <d v="2024-11-21T00:00:00"/>
        <d v="2024-04-15T00:00:00"/>
        <d v="2024-10-18T00:00:00"/>
        <d v="2024-05-30T00:00:00"/>
        <d v="2024-05-18T00:00:00"/>
        <d v="2024-07-29T00:00:00"/>
        <d v="2024-07-13T00:00:00"/>
        <d v="2024-11-01T00:00:00"/>
        <d v="2024-06-11T00:00:00"/>
        <d v="2024-03-23T00:00:00"/>
        <d v="2024-11-24T00:00:00"/>
        <d v="2024-08-02T00:00:00"/>
        <d v="2024-08-14T00:00:00"/>
        <d v="2024-05-11T00:00:00"/>
        <d v="2024-10-27T00:00:00"/>
        <d v="2024-12-21T00:00:00"/>
        <d v="2024-06-07T00:00:00"/>
        <d v="2024-03-04T00:00:00"/>
        <d v="2024-10-17T00:00:00"/>
        <d v="2024-11-17T00:00:00"/>
        <d v="2024-01-11T00:00:00"/>
        <d v="2024-06-03T00:00:00"/>
        <d v="2024-03-12T00:00:00"/>
        <d v="2024-09-29T00:00:00"/>
        <d v="2024-04-10T00:00:00"/>
        <d v="2025-01-02T00:00:00"/>
        <d v="2024-07-21T00:00:00"/>
        <d v="2024-09-04T00:00:00"/>
        <d v="2024-02-21T00:00:00"/>
        <d v="2024-08-23T00:00:00"/>
        <d v="2024-09-20T00:00:00"/>
        <d v="2024-08-31T00:00:00"/>
        <d v="2024-12-28T00:00:00"/>
        <d v="2024-11-09T00:00:00"/>
        <d v="2024-07-06T00:00:00"/>
        <d v="2024-08-16T00:00:00"/>
        <d v="2024-11-25T00:00:00"/>
        <d v="2024-07-23T00:00:00"/>
        <d v="2024-11-30T00:00:00"/>
        <d v="2025-01-04T00:00:00"/>
        <d v="2024-10-11T00:00:00"/>
        <d v="2025-01-07T00:00:00"/>
        <d v="2024-06-02T00:00:00"/>
        <d v="2024-10-19T00:00:00"/>
        <d v="2024-06-12T00:00:00"/>
        <d v="2025-02-04T00:00:00"/>
        <d v="2024-12-26T00:00:00"/>
        <d v="2024-08-15T00:00:00"/>
        <d v="2024-12-11T00:00:00"/>
        <d v="2024-06-16T00:00:00"/>
        <d v="2024-09-13T00:00:00"/>
        <d v="2024-05-20T00:00:00"/>
        <d v="2024-06-19T00:00:00"/>
        <d v="2024-02-09T00:00:00"/>
        <d v="2024-06-01T00:00:00"/>
        <d v="2024-10-03T00:00:00"/>
        <d v="2024-12-22T00:00:00"/>
        <d v="2024-01-19T00:00:00"/>
        <d v="2024-07-10T00:00:00"/>
        <d v="2024-02-23T00:00:00"/>
        <d v="2024-12-27T00:00:00"/>
        <d v="2024-04-04T00:00:00"/>
        <d v="2025-02-09T00:00:00"/>
        <d v="2024-04-19T00:00:00"/>
        <d v="2024-03-13T00:00:00"/>
        <d v="2024-06-20T00:00:00"/>
        <d v="2024-07-28T00:00:00"/>
        <d v="2024-05-09T00:00:00"/>
        <d v="2024-06-29T00:00:00"/>
        <d v="2024-11-22T00:00:00"/>
        <d v="2024-03-14T00:00:00"/>
        <d v="2024-09-18T00:00:00"/>
        <d v="2024-04-08T00:00:00"/>
        <d v="2024-07-11T00:00:00"/>
        <d v="2025-01-14T00:00:00"/>
        <d v="2024-06-09T00:00:00"/>
        <d v="2024-01-24T00:00:00"/>
        <d v="2024-04-02T00:00:00"/>
        <d v="2025-01-24T00:00:00"/>
        <d v="2025-01-20T00:00:00"/>
        <d v="2024-12-31T00:00:00"/>
        <d v="2024-04-17T00:00:00"/>
        <d v="2024-09-14T00:00:00"/>
        <d v="2024-05-29T00:00:00"/>
        <d v="2024-04-21T00:00:00"/>
        <d v="2024-05-10T00:00:00"/>
        <d v="2024-07-24T00:00:00"/>
        <d v="2024-06-17T00:00:00"/>
        <d v="2024-04-07T00:00:00"/>
        <d v="2024-08-25T00:00:00"/>
        <d v="2024-10-21T00:00:00"/>
        <d v="2024-05-04T00:00:00"/>
        <d v="2024-11-04T00:00:00"/>
        <d v="2025-01-09T00:00:00"/>
        <d v="2024-11-12T00:00:00"/>
        <d v="2024-02-17T00:00:00"/>
        <d v="2024-04-23T00:00:00"/>
        <d v="2024-10-16T00:00:00"/>
        <d v="2025-01-03T00:00:00"/>
        <d v="2024-12-17T00:00:00"/>
        <d v="2024-05-15T00:00:00"/>
        <d v="2024-09-25T00:00:00"/>
        <d v="2024-06-27T00:00:00"/>
        <d v="2024-10-30T00:00:00"/>
        <d v="2024-10-12T00:00:00"/>
        <d v="2024-03-18T00:00:00"/>
        <d v="2024-10-31T00:00:00"/>
        <d v="2025-02-14T00:00:00"/>
        <d v="2024-02-14T00:00:00"/>
        <d v="2024-05-13T00:00:00"/>
        <d v="2025-01-10T00:00:00"/>
        <d v="2024-12-04T00:00:00"/>
        <d v="2024-09-01T00:00:00"/>
        <d v="2024-02-24T00:00:00"/>
        <d v="2024-09-30T00:00:00"/>
        <d v="2024-12-23T00:00:00"/>
        <d v="2024-07-08T00:00:00"/>
        <d v="2024-12-08T00:00:00"/>
        <d v="2024-04-13T00:00:00"/>
        <d v="2024-02-19T00:00:00"/>
        <d v="2024-07-05T00:00:00"/>
        <d v="2024-12-09T00:00:00"/>
        <d v="2024-06-25T00:00:00"/>
        <d v="2024-07-19T00:00:00"/>
        <d v="2024-07-30T00:00:00"/>
        <d v="2024-02-08T00:00:00"/>
        <d v="2024-05-21T00:00:00"/>
        <d v="2025-01-23T00:00:00"/>
        <d v="2025-01-06T00:00:00"/>
        <d v="2024-03-17T00:00:00"/>
        <d v="2024-03-30T00:00:00"/>
        <d v="2024-04-27T00:00:00"/>
        <d v="2024-05-14T00:00:00"/>
        <d v="2024-10-25T00:00:00"/>
        <d v="2024-07-31T00:00:00"/>
        <d v="2024-06-26T00:00:00"/>
        <d v="2024-03-10T00:00:00"/>
        <d v="2024-11-02T00:00:00"/>
        <d v="2024-02-05T00:00:00"/>
        <d v="2024-06-21T00:00:00"/>
        <d v="2024-04-28T00:00:00"/>
        <d v="2024-03-28T00:00:00"/>
        <d v="2024-06-18T00:00:00"/>
        <d v="2025-02-06T00:00:00"/>
        <d v="2024-03-29T00:00:00"/>
        <d v="2024-01-27T00:00:00"/>
        <d v="2024-03-16T00:00:00"/>
        <d v="2024-06-22T00:00:00"/>
        <d v="2024-07-27T00:00:00"/>
        <d v="2024-02-27T00:00:00"/>
        <d v="2024-08-24T00:00:00"/>
        <d v="2024-05-08T00:00:00"/>
        <d v="2024-07-25T00:00:00"/>
        <d v="2024-05-26T00:00:00"/>
        <d v="2024-07-26T00:00:00"/>
        <d v="2024-03-03T00:00:00"/>
        <d v="2024-07-03T00:00:00"/>
        <d v="2024-04-12T00:00:00"/>
        <d v="2024-10-01T00:00:00"/>
        <d v="2024-12-05T00:00:00"/>
        <d v="2024-07-15T00:00:00"/>
        <d v="2024-12-24T00:00:00"/>
        <d v="2024-02-28T00:00:00"/>
        <d v="2024-06-14T00:00:00"/>
        <d v="2024-07-09T00:00:00"/>
        <d v="2024-08-30T00:00:00"/>
        <d v="2024-05-06T00:00:00"/>
        <d v="2024-08-11T00:00:00"/>
        <d v="2024-11-06T00:00:00"/>
        <d v="2024-08-12T00:00:00"/>
        <d v="2024-09-05T00:00:00"/>
        <d v="2024-09-19T00:00:00"/>
        <d v="2025-02-15T00:00:00"/>
        <d v="2024-04-11T00:00:00"/>
        <d v="2024-05-24T00:00:00"/>
        <d v="2024-10-15T00:00:00"/>
        <d v="2024-05-12T00:00:00"/>
        <d v="2024-01-22T00:00:00"/>
        <d v="2024-09-11T00:00:00"/>
        <d v="2024-02-20T00:00:00"/>
        <d v="2024-10-29T00:00:00"/>
        <d v="2025-01-12T00:00:00"/>
        <d v="2024-08-06T00:00:00"/>
        <d v="2024-04-30T00:00:00"/>
        <d v="2024-07-01T00:00:00"/>
        <d v="2025-01-22T00:00:00"/>
        <d v="2024-03-01T00:00:00"/>
        <d v="2024-02-25T00:00:00"/>
        <d v="2024-02-04T00:00:00"/>
        <d v="2024-12-19T00:00:00"/>
        <d v="2024-04-26T00:00:00"/>
        <d v="2025-01-13T00:00:00"/>
        <d v="2024-09-16T00:00:00"/>
        <d v="2024-10-22T00:00:00"/>
        <d v="2024-10-08T00:00:00"/>
        <d v="2025-01-31T00:00:00"/>
        <d v="2025-01-15T00:00:00"/>
        <d v="2024-08-22T00:00:00"/>
        <d v="2024-08-01T00:00:00"/>
        <d v="2024-04-22T00:00:00"/>
        <d v="2024-10-23T00:00:00"/>
        <d v="2024-01-23T00:00:00"/>
        <d v="2024-11-19T00:00:00"/>
        <d v="2024-07-04T00:00:00"/>
        <d v="2024-10-07T00:00:00"/>
        <d v="2024-11-23T00:00:00"/>
        <d v="2024-04-24T00:00:00"/>
        <d v="2024-09-17T00:00:00"/>
        <d v="2024-02-13T00:00:00"/>
        <d v="2024-03-21T00:00:00"/>
        <d v="2024-04-06T00:00:00"/>
        <d v="2024-06-15T00:00:00"/>
        <d v="2024-02-29T00:00:00"/>
        <d v="2024-02-06T00:00:00"/>
        <d v="2024-08-05T00:00:00"/>
        <d v="2024-03-11T00:00:00"/>
        <d v="2024-02-15T00:00:00"/>
        <d v="2024-10-05T00:00:00"/>
        <d v="2024-11-07T00:00:00"/>
        <d v="2024-12-29T00:00:00"/>
        <d v="2024-06-06T00:00:00"/>
        <d v="2024-03-19T00:00:00"/>
        <d v="2024-08-28T00:00:00"/>
        <d v="2024-06-13T00:00:00"/>
        <d v="2024-07-16T00:00:00"/>
        <d v="2024-04-16T00:00:00"/>
        <d v="2024-04-20T00:00:00"/>
        <d v="2024-05-23T00:00:00"/>
        <d v="2024-05-03T00:00:00"/>
        <d v="2024-02-18T00:00:00"/>
        <d v="2024-08-29T00:00:00"/>
        <d v="2024-07-07T00:00:00"/>
        <d v="2024-11-18T00:00:00"/>
        <d v="2024-04-25T00:00:00"/>
        <d v="2024-02-12T00:00:00"/>
        <d v="2024-03-27T00:00:00"/>
        <d v="2024-02-07T00:00:00"/>
        <d v="2024-10-10T00:00:00"/>
        <d v="2024-10-09T00:00:00"/>
        <d v="2024-11-27T00:00:00"/>
        <d v="2024-09-10T00:00:00"/>
        <d v="2025-01-30T00:00:00"/>
        <d v="2024-08-19T00:00:00"/>
        <d v="2024-07-22T00:00:00"/>
        <d v="2024-06-28T00:00:00"/>
        <d v="2024-09-09T00:00:00"/>
        <d v="2024-09-23T00:00:00"/>
        <d v="2024-10-06T00:00:00"/>
        <d v="2025-01-11T00:00:00"/>
        <d v="2024-01-21T00:00:00"/>
        <d v="2024-08-26T00:00:00"/>
        <d v="2024-12-07T00:00:00"/>
        <d v="2024-06-23T00:00:00"/>
        <d v="2024-06-08T00:00:00"/>
        <d v="2024-08-17T00:00:00"/>
        <d v="2024-10-20T00:00:00"/>
        <d v="2024-05-17T00:00:00"/>
        <d v="2025-02-21T00:00:00"/>
        <d v="2024-07-12T00:00:00"/>
        <d v="2024-03-26T00:00:00"/>
        <d v="2024-10-28T00:00:00"/>
        <d v="2024-02-26T00:00:00"/>
        <d v="2024-11-14T00:00:00"/>
        <d v="2024-05-19T00:00:00"/>
        <d v="2024-07-14T00:00:00"/>
        <d v="2025-01-05T00:00:00"/>
        <d v="2024-01-15T00:00:00"/>
        <d v="2024-08-18T00:00:00"/>
        <d v="2024-09-15T00:00:00"/>
        <d v="2024-08-21T00:00:00"/>
        <d v="2024-06-24T00:00:00"/>
        <d v="2024-03-15T00:00:00"/>
        <d v="2024-01-06T00:00:00"/>
        <d v="2024-09-02T00:00:00"/>
        <d v="2024-08-27T00:00:00"/>
        <d v="2024-12-18T00:00:00"/>
        <d v="2024-08-03T00:00:00"/>
        <d v="2024-07-18T00:00:00"/>
        <d v="2024-12-16T00:00:00"/>
        <d v="2024-09-21T00:00:00"/>
        <d v="2024-12-25T00:00:00"/>
        <d v="2024-04-03T00:00:00"/>
        <d v="2025-02-16T00:00:00"/>
        <d v="2024-03-09T00:00:00"/>
        <d v="2025-01-18T00:00:00"/>
        <d v="2025-02-10T00:00:00"/>
        <d v="2024-03-25T00:00:00"/>
        <d v="2024-12-01T00:00:00"/>
        <d v="2024-04-29T00:00:00"/>
        <d v="2025-01-08T00:00:00"/>
        <d v="2024-08-08T00:00:00"/>
        <d v="2024-08-10T00:00:00"/>
        <d v="2024-05-01T00:00:00"/>
        <d v="2025-01-19T00:00:00"/>
        <d v="2025-02-17T00:00:00"/>
        <d v="2024-03-05T00:00:00"/>
        <d v="2024-09-03T00:00:00"/>
        <d v="2024-08-09T00:00:00"/>
        <d v="2024-07-02T00:00:00"/>
        <d v="2024-05-05T00:00:00"/>
        <d v="2024-11-20T00:00:00"/>
        <d v="2024-04-05T00:00:00"/>
        <d v="2024-01-08T00:00:00"/>
        <d v="2024-03-31T00:00:00"/>
        <d v="2024-11-03T00:00:00"/>
        <d v="2024-11-13T00:00:00"/>
        <d v="2024-01-31T00:00:00"/>
        <d v="2024-06-05T00:00:00"/>
        <d v="2024-12-12T00:00:00"/>
        <d v="2025-02-22T00:00:00"/>
        <d v="2025-02-25T00:00:00"/>
        <d v="2024-03-07T00:00:00"/>
        <d v="2024-09-26T00:00:00"/>
        <d v="2024-02-16T00:00:00"/>
        <d v="2024-01-29T00:00:00"/>
        <d v="2024-01-18T00:00:00"/>
        <d v="2025-02-01T00:00:00"/>
        <d v="2024-05-02T00:00:00"/>
        <d v="2024-02-10T00:00:00"/>
        <d v="2024-11-28T00:00:00"/>
        <d v="2024-12-10T00:00:00"/>
        <d v="2024-02-03T00:00:00"/>
        <d v="2024-02-02T00:00:00"/>
        <d v="2024-03-08T00:00:00"/>
        <d v="2024-04-01T00:00:00"/>
        <d v="2025-01-17T00:00:00"/>
        <d v="2025-01-21T00:00:00"/>
        <d v="2025-02-20T00:00:00"/>
        <d v="2024-08-20T00:00:00"/>
        <d v="2025-02-23T00:00:00"/>
        <d v="2025-01-29T00:00:00"/>
        <d v="2025-01-25T00:00:00"/>
        <d v="2025-01-01T00:00:00"/>
        <d v="2024-01-28T00:00:00"/>
        <d v="2024-01-13T00:00:00"/>
        <d v="2024-01-20T00:00:00"/>
        <d v="2025-01-26T00:00:00"/>
        <d v="2024-12-15T00:00:00"/>
        <d v="2024-01-17T00:00:00"/>
        <d v="2024-08-07T00:00:00"/>
        <d v="2024-02-11T00:00:00"/>
        <d v="2024-09-27T00:00:00"/>
        <d v="2024-01-12T00:00:00"/>
        <d v="2024-04-14T00:00:00"/>
      </sharedItems>
      <fieldGroup par="26"/>
    </cacheField>
    <cacheField name="Check_out_date" numFmtId="14">
      <sharedItems containsSemiMixedTypes="0" containsNonDate="0" containsDate="1" containsString="0" minDate="2024-01-09T00:00:00" maxDate="2025-02-28T00:00:00" count="405">
        <d v="2024-09-09T00:00:00"/>
        <d v="2024-03-26T00:00:00"/>
        <d v="2024-12-15T00:00:00"/>
        <d v="2024-10-01T00:00:00"/>
        <d v="2024-12-10T00:00:00"/>
        <d v="2024-09-17T00:00:00"/>
        <d v="2024-08-06T00:00:00"/>
        <d v="2024-10-07T00:00:00"/>
        <d v="2024-05-11T00:00:00"/>
        <d v="2024-10-27T00:00:00"/>
        <d v="2024-05-20T00:00:00"/>
        <d v="2024-09-26T00:00:00"/>
        <d v="2024-01-31T00:00:00"/>
        <d v="2024-03-10T00:00:00"/>
        <d v="2024-09-29T00:00:00"/>
        <d v="2025-02-04T00:00:00"/>
        <d v="2024-11-13T00:00:00"/>
        <d v="2024-01-28T00:00:00"/>
        <d v="2024-05-28T00:00:00"/>
        <d v="2024-09-12T00:00:00"/>
        <d v="2024-04-11T00:00:00"/>
        <d v="2024-12-17T00:00:00"/>
        <d v="2025-01-01T00:00:00"/>
        <d v="2024-02-04T00:00:00"/>
        <d v="2024-12-03T00:00:00"/>
        <d v="2024-11-29T00:00:00"/>
        <d v="2024-03-24T00:00:00"/>
        <d v="2024-12-01T00:00:00"/>
        <d v="2024-11-17T00:00:00"/>
        <d v="2024-05-30T00:00:00"/>
        <d v="2024-03-07T00:00:00"/>
        <d v="2024-10-18T00:00:00"/>
        <d v="2024-05-26T00:00:00"/>
        <d v="2024-06-06T00:00:00"/>
        <d v="2024-10-17T00:00:00"/>
        <d v="2024-12-08T00:00:00"/>
        <d v="2024-06-09T00:00:00"/>
        <d v="2025-01-18T00:00:00"/>
        <d v="2024-02-27T00:00:00"/>
        <d v="2024-03-28T00:00:00"/>
        <d v="2024-07-04T00:00:00"/>
        <d v="2024-09-13T00:00:00"/>
        <d v="2024-07-22T00:00:00"/>
        <d v="2024-12-22T00:00:00"/>
        <d v="2024-01-18T00:00:00"/>
        <d v="2024-07-21T00:00:00"/>
        <d v="2024-06-13T00:00:00"/>
        <d v="2024-11-19T00:00:00"/>
        <d v="2024-04-20T00:00:00"/>
        <d v="2024-06-03T00:00:00"/>
        <d v="2024-10-29T00:00:00"/>
        <d v="2025-01-31T00:00:00"/>
        <d v="2025-02-11T00:00:00"/>
        <d v="2024-11-06T00:00:00"/>
        <d v="2024-05-29T00:00:00"/>
        <d v="2024-08-16T00:00:00"/>
        <d v="2024-01-10T00:00:00"/>
        <d v="2024-11-25T00:00:00"/>
        <d v="2024-04-18T00:00:00"/>
        <d v="2024-10-23T00:00:00"/>
        <d v="2024-06-02T00:00:00"/>
        <d v="2024-08-01T00:00:00"/>
        <d v="2024-09-08T00:00:00"/>
        <d v="2024-07-17T00:00:00"/>
        <d v="2024-11-05T00:00:00"/>
        <d v="2024-06-12T00:00:00"/>
        <d v="2024-03-25T00:00:00"/>
        <d v="2024-08-05T00:00:00"/>
        <d v="2024-08-15T00:00:00"/>
        <d v="2024-05-12T00:00:00"/>
        <d v="2024-12-24T00:00:00"/>
        <d v="2024-11-15T00:00:00"/>
        <d v="2024-03-08T00:00:00"/>
        <d v="2024-11-21T00:00:00"/>
        <d v="2024-01-13T00:00:00"/>
        <d v="2024-06-08T00:00:00"/>
        <d v="2024-03-13T00:00:00"/>
        <d v="2025-01-04T00:00:00"/>
        <d v="2024-07-01T00:00:00"/>
        <d v="2024-09-07T00:00:00"/>
        <d v="2024-02-25T00:00:00"/>
        <d v="2024-10-06T00:00:00"/>
        <d v="2024-08-25T00:00:00"/>
        <d v="2024-09-23T00:00:00"/>
        <d v="2024-06-16T00:00:00"/>
        <d v="2024-09-05T00:00:00"/>
        <d v="2024-12-29T00:00:00"/>
        <d v="2024-11-11T00:00:00"/>
        <d v="2024-07-10T00:00:00"/>
        <d v="2024-08-18T00:00:00"/>
        <d v="2024-07-09T00:00:00"/>
        <d v="2024-11-28T00:00:00"/>
        <d v="2024-07-26T00:00:00"/>
        <d v="2024-07-02T00:00:00"/>
        <d v="2024-12-05T00:00:00"/>
        <d v="2025-01-07T00:00:00"/>
        <d v="2024-10-13T00:00:00"/>
        <d v="2025-01-11T00:00:00"/>
        <d v="2024-06-05T00:00:00"/>
        <d v="2024-10-21T00:00:00"/>
        <d v="2025-02-08T00:00:00"/>
        <d v="2024-12-31T00:00:00"/>
        <d v="2024-01-29T00:00:00"/>
        <d v="2024-04-17T00:00:00"/>
        <d v="2024-08-17T00:00:00"/>
        <d v="2024-11-18T00:00:00"/>
        <d v="2024-12-14T00:00:00"/>
        <d v="2024-06-20T00:00:00"/>
        <d v="2024-05-25T00:00:00"/>
        <d v="2024-06-22T00:00:00"/>
        <d v="2024-02-10T00:00:00"/>
        <d v="2024-12-27T00:00:00"/>
        <d v="2024-01-24T00:00:00"/>
        <d v="2024-10-19T00:00:00"/>
        <d v="2024-07-12T00:00:00"/>
        <d v="2024-02-28T00:00:00"/>
        <d v="2024-04-08T00:00:00"/>
        <d v="2025-02-14T00:00:00"/>
        <d v="2024-04-24T00:00:00"/>
        <d v="2024-10-03T00:00:00"/>
        <d v="2024-03-17T00:00:00"/>
        <d v="2024-05-15T00:00:00"/>
        <d v="2024-06-23T00:00:00"/>
        <d v="2024-08-02T00:00:00"/>
        <d v="2024-11-27T00:00:00"/>
        <d v="2024-09-22T00:00:00"/>
        <d v="2024-04-13T00:00:00"/>
        <d v="2024-07-15T00:00:00"/>
        <d v="2025-01-15T00:00:00"/>
        <d v="2024-05-24T00:00:00"/>
        <d v="2024-06-11T00:00:00"/>
        <d v="2024-04-07T00:00:00"/>
        <d v="2025-01-26T00:00:00"/>
        <d v="2025-01-25T00:00:00"/>
        <d v="2025-01-03T00:00:00"/>
        <d v="2025-01-08T00:00:00"/>
        <d v="2024-12-30T00:00:00"/>
        <d v="2024-04-21T00:00:00"/>
        <d v="2024-09-18T00:00:00"/>
        <d v="2024-05-13T00:00:00"/>
        <d v="2024-07-28T00:00:00"/>
        <d v="2024-06-18T00:00:00"/>
        <d v="2024-12-25T00:00:00"/>
        <d v="2024-08-27T00:00:00"/>
        <d v="2024-05-09T00:00:00"/>
        <d v="2024-11-08T00:00:00"/>
        <d v="2025-01-12T00:00:00"/>
        <d v="2025-01-16T00:00:00"/>
        <d v="2024-11-16T00:00:00"/>
        <d v="2024-02-22T00:00:00"/>
        <d v="2024-04-27T00:00:00"/>
        <d v="2024-12-19T00:00:00"/>
        <d v="2024-05-16T00:00:00"/>
        <d v="2024-09-27T00:00:00"/>
        <d v="2024-07-20T00:00:00"/>
        <d v="2024-02-11T00:00:00"/>
        <d v="2024-06-30T00:00:00"/>
        <d v="2024-11-20T00:00:00"/>
        <d v="2024-11-04T00:00:00"/>
        <d v="2024-10-15T00:00:00"/>
        <d v="2024-03-20T00:00:00"/>
        <d v="2025-01-17T00:00:00"/>
        <d v="2024-11-26T00:00:00"/>
        <d v="2024-11-02T00:00:00"/>
        <d v="2025-02-16T00:00:00"/>
        <d v="2024-02-16T00:00:00"/>
        <d v="2024-05-17T00:00:00"/>
        <d v="2024-12-09T00:00:00"/>
        <d v="2024-11-03T00:00:00"/>
        <d v="2024-02-26T00:00:00"/>
        <d v="2024-10-02T00:00:00"/>
        <d v="2024-11-30T00:00:00"/>
        <d v="2024-12-12T00:00:00"/>
        <d v="2024-02-24T00:00:00"/>
        <d v="2024-09-02T00:00:00"/>
        <d v="2024-07-07T00:00:00"/>
        <d v="2024-12-13T00:00:00"/>
        <d v="2024-06-29T00:00:00"/>
        <d v="2024-12-21T00:00:00"/>
        <d v="2025-01-09T00:00:00"/>
        <d v="2024-05-08T00:00:00"/>
        <d v="2024-03-19T00:00:00"/>
        <d v="2024-03-31T00:00:00"/>
        <d v="2024-05-01T00:00:00"/>
        <d v="2025-01-10T00:00:00"/>
        <d v="2024-03-12T00:00:00"/>
        <d v="2024-06-21T00:00:00"/>
        <d v="2024-09-11T00:00:00"/>
        <d v="2024-09-03T00:00:00"/>
        <d v="2024-02-08T00:00:00"/>
        <d v="2024-01-26T00:00:00"/>
        <d v="2024-06-28T00:00:00"/>
        <d v="2024-05-02T00:00:00"/>
        <d v="2024-07-25T00:00:00"/>
        <d v="2024-09-04T00:00:00"/>
        <d v="2024-03-30T00:00:00"/>
        <d v="2024-06-19T00:00:00"/>
        <d v="2024-06-25T00:00:00"/>
        <d v="2025-01-13T00:00:00"/>
        <d v="2024-07-08T00:00:00"/>
        <d v="2024-07-31T00:00:00"/>
        <d v="2024-03-03T00:00:00"/>
        <d v="2024-08-28T00:00:00"/>
        <d v="2024-07-16T00:00:00"/>
        <d v="2024-07-30T00:00:00"/>
        <d v="2024-11-07T00:00:00"/>
        <d v="2024-05-19T00:00:00"/>
        <d v="2024-10-25T00:00:00"/>
        <d v="2024-12-06T00:00:00"/>
        <d v="2024-09-25T00:00:00"/>
        <d v="2024-04-23T00:00:00"/>
        <d v="2024-07-19T00:00:00"/>
        <d v="2024-12-26T00:00:00"/>
        <d v="2024-03-02T00:00:00"/>
        <d v="2024-12-04T00:00:00"/>
        <d v="2024-03-01T00:00:00"/>
        <d v="2024-05-10T00:00:00"/>
        <d v="2024-08-12T00:00:00"/>
        <d v="2024-04-03T00:00:00"/>
        <d v="2024-11-10T00:00:00"/>
        <d v="2024-08-13T00:00:00"/>
        <d v="2024-04-06T00:00:00"/>
        <d v="2024-09-24T00:00:00"/>
        <d v="2025-02-20T00:00:00"/>
        <d v="2024-04-15T00:00:00"/>
        <d v="2024-05-27T00:00:00"/>
        <d v="2024-01-27T00:00:00"/>
        <d v="2024-06-24T00:00:00"/>
        <d v="2024-07-18T00:00:00"/>
        <d v="2024-09-16T00:00:00"/>
        <d v="2024-02-21T00:00:00"/>
        <d v="2024-03-29T00:00:00"/>
        <d v="2024-10-04T00:00:00"/>
        <d v="2024-08-10T00:00:00"/>
        <d v="2024-05-03T00:00:00"/>
        <d v="2024-07-03T00:00:00"/>
        <d v="2024-11-14T00:00:00"/>
        <d v="2024-03-11T00:00:00"/>
        <d v="2025-01-23T00:00:00"/>
        <d v="2024-08-29T00:00:00"/>
        <d v="2024-05-07T00:00:00"/>
        <d v="2024-04-01T00:00:00"/>
        <d v="2024-03-04T00:00:00"/>
        <d v="2024-02-29T00:00:00"/>
        <d v="2024-12-20T00:00:00"/>
        <d v="2024-06-07T00:00:00"/>
        <d v="2024-04-29T00:00:00"/>
        <d v="2024-06-17T00:00:00"/>
        <d v="2024-02-12T00:00:00"/>
        <d v="2024-09-19T00:00:00"/>
        <d v="2025-01-19T00:00:00"/>
        <d v="2024-06-26T00:00:00"/>
        <d v="2024-10-24T00:00:00"/>
        <d v="2024-02-13T00:00:00"/>
        <d v="2024-10-10T00:00:00"/>
        <d v="2024-06-14T00:00:00"/>
        <d v="2024-12-11T00:00:00"/>
        <d v="2024-09-06T00:00:00"/>
        <d v="2024-12-07T00:00:00"/>
        <d v="2024-08-24T00:00:00"/>
        <d v="2024-07-29T00:00:00"/>
        <d v="2024-08-04T00:00:00"/>
        <d v="2024-04-02T00:00:00"/>
        <d v="2024-11-23T00:00:00"/>
        <d v="2024-07-06T00:00:00"/>
        <d v="2024-05-31T00:00:00"/>
        <d v="2024-03-15T00:00:00"/>
        <d v="2025-01-27T00:00:00"/>
        <d v="2024-03-18T00:00:00"/>
        <d v="2024-04-28T00:00:00"/>
        <d v="2024-10-11T00:00:00"/>
        <d v="2024-04-26T00:00:00"/>
        <d v="2024-05-05T00:00:00"/>
        <d v="2024-07-14T00:00:00"/>
        <d v="2024-04-12T00:00:00"/>
        <d v="2024-02-03T00:00:00"/>
        <d v="2024-08-07T00:00:00"/>
        <d v="2024-10-22T00:00:00"/>
        <d v="2024-06-27T00:00:00"/>
        <d v="2024-02-20T00:00:00"/>
        <d v="2024-11-12T00:00:00"/>
        <d v="2024-05-14T00:00:00"/>
        <d v="2024-07-13T00:00:00"/>
        <d v="2024-04-30T00:00:00"/>
        <d v="2024-08-31T00:00:00"/>
        <d v="2024-10-12T00:00:00"/>
        <d v="2024-05-18T00:00:00"/>
        <d v="2024-08-03T00:00:00"/>
        <d v="2024-04-09T00:00:00"/>
        <d v="2024-11-01T00:00:00"/>
        <d v="2024-01-12T00:00:00"/>
        <d v="2024-02-18T00:00:00"/>
        <d v="2024-05-22T00:00:00"/>
        <d v="2024-08-20T00:00:00"/>
        <d v="2024-09-15T00:00:00"/>
        <d v="2024-04-22T00:00:00"/>
        <d v="2024-05-04T00:00:00"/>
        <d v="2024-09-30T00:00:00"/>
        <d v="2024-09-10T00:00:00"/>
        <d v="2024-10-08T00:00:00"/>
        <d v="2024-09-01T00:00:00"/>
        <d v="2024-09-21T00:00:00"/>
        <d v="2024-12-02T00:00:00"/>
        <d v="2024-08-30T00:00:00"/>
        <d v="2024-10-28T00:00:00"/>
        <d v="2025-02-03T00:00:00"/>
        <d v="2024-08-22T00:00:00"/>
        <d v="2024-12-18T00:00:00"/>
        <d v="2024-07-27T00:00:00"/>
        <d v="2024-04-16T00:00:00"/>
        <d v="2024-02-15T00:00:00"/>
        <d v="2024-09-14T00:00:00"/>
        <d v="2024-03-21T00:00:00"/>
        <d v="2025-02-07T00:00:00"/>
        <d v="2025-02-10T00:00:00"/>
        <d v="2024-08-19T00:00:00"/>
        <d v="2024-08-08T00:00:00"/>
        <d v="2025-01-02T00:00:00"/>
        <d v="2024-08-21T00:00:00"/>
        <d v="2024-12-28T00:00:00"/>
        <d v="2024-05-21T00:00:00"/>
        <d v="2024-06-10T00:00:00"/>
        <d v="2024-04-05T00:00:00"/>
        <d v="2025-02-23T00:00:00"/>
        <d v="2024-10-09T00:00:00"/>
        <d v="2024-02-14T00:00:00"/>
        <d v="2024-03-27T00:00:00"/>
        <d v="2024-10-16T00:00:00"/>
        <d v="2024-03-14T00:00:00"/>
        <d v="2024-05-23T00:00:00"/>
        <d v="2025-02-17T00:00:00"/>
        <d v="2024-01-20T00:00:00"/>
        <d v="2024-02-07T00:00:00"/>
        <d v="2024-08-23T00:00:00"/>
        <d v="2024-03-09T00:00:00"/>
        <d v="2024-03-16T00:00:00"/>
        <d v="2025-02-09T00:00:00"/>
        <d v="2024-08-26T00:00:00"/>
        <d v="2024-04-25T00:00:00"/>
        <d v="2024-01-30T00:00:00"/>
        <d v="2024-01-21T00:00:00"/>
        <d v="2024-01-09T00:00:00"/>
        <d v="2024-10-30T00:00:00"/>
        <d v="2024-07-24T00:00:00"/>
        <d v="2024-04-19T00:00:00"/>
        <d v="2024-06-15T00:00:00"/>
        <d v="2024-02-09T00:00:00"/>
        <d v="2024-03-05T00:00:00"/>
        <d v="2025-01-20T00:00:00"/>
        <d v="2025-02-15T00:00:00"/>
        <d v="2024-10-31T00:00:00"/>
        <d v="2024-08-11T00:00:00"/>
        <d v="2025-02-18T00:00:00"/>
        <d v="2024-09-28T00:00:00"/>
        <d v="2024-08-14T00:00:00"/>
        <d v="2024-06-01T00:00:00"/>
        <d v="2025-01-14T00:00:00"/>
        <d v="2025-01-21T00:00:00"/>
        <d v="2024-08-09T00:00:00"/>
        <d v="2024-05-06T00:00:00"/>
        <d v="2025-01-06T00:00:00"/>
        <d v="2024-01-22T00:00:00"/>
        <d v="2024-04-10T00:00:00"/>
        <d v="2024-02-01T00:00:00"/>
        <d v="2024-04-04T00:00:00"/>
        <d v="2024-11-09T00:00:00"/>
        <d v="2024-10-05T00:00:00"/>
        <d v="2025-02-27T00:00:00"/>
        <d v="2024-06-04T00:00:00"/>
        <d v="2025-02-26T00:00:00"/>
        <d v="2024-04-14T00:00:00"/>
        <d v="2024-02-17T00:00:00"/>
        <d v="2024-02-02T00:00:00"/>
        <d v="2025-02-06T00:00:00"/>
        <d v="2024-07-23T00:00:00"/>
        <d v="2024-10-20T00:00:00"/>
        <d v="2024-02-19T00:00:00"/>
        <d v="2024-01-17T00:00:00"/>
        <d v="2025-01-05T00:00:00"/>
        <d v="2024-03-23T00:00:00"/>
        <d v="2024-07-11T00:00:00"/>
        <d v="2025-02-19T00:00:00"/>
        <d v="2024-11-22T00:00:00"/>
        <d v="2024-12-23T00:00:00"/>
        <d v="2025-01-29T00:00:00"/>
        <d v="2025-01-24T00:00:00"/>
        <d v="2025-02-01T00:00:00"/>
        <d v="2024-03-22T00:00:00"/>
        <d v="2024-02-23T00:00:00"/>
        <d v="2024-10-26T00:00:00"/>
        <d v="2025-02-02T00:00:00"/>
        <d v="2025-02-24T00:00:00"/>
        <d v="2024-03-06T00:00:00"/>
        <d v="2025-02-25T00:00:00"/>
        <d v="2024-10-14T00:00:00"/>
        <d v="2025-01-28T00:00:00"/>
        <d v="2024-02-06T00:00:00"/>
        <d v="2024-07-05T00:00:00"/>
        <d v="2024-01-23T00:00:00"/>
        <d v="2024-01-14T00:00:00"/>
        <d v="2024-01-25T00:00:00"/>
        <d v="2025-01-30T00:00:00"/>
        <d v="2024-12-16T00:00:00"/>
        <d v="2025-01-22T00:00:00"/>
        <d v="2024-09-20T00:00:00"/>
      </sharedItems>
      <fieldGroup par="23"/>
    </cacheField>
    <cacheField name="Duration of stay(days)" numFmtId="0">
      <sharedItems/>
    </cacheField>
    <cacheField name="City" numFmtId="0">
      <sharedItems count="5">
        <s v="Bangalore"/>
        <s v="Hyderabad"/>
        <s v="Mumbai"/>
        <s v="Chennai"/>
        <s v="Delhi"/>
      </sharedItems>
    </cacheField>
    <cacheField name="Customer_type" numFmtId="0">
      <sharedItems/>
    </cacheField>
    <cacheField name="Room_type" numFmtId="0">
      <sharedItems/>
    </cacheField>
    <cacheField name="Lead_time" numFmtId="0">
      <sharedItems containsSemiMixedTypes="0" containsString="0" containsNumber="1" containsInteger="1" minValue="1" maxValue="59"/>
    </cacheField>
    <cacheField name="stay_duration" numFmtId="0">
      <sharedItems containsSemiMixedTypes="0" containsString="0" containsNumber="1" containsInteger="1" minValue="1" maxValue="5"/>
    </cacheField>
    <cacheField name="Avg_daily_rate" numFmtId="0">
      <sharedItems containsSemiMixedTypes="0" containsString="0" containsNumber="1" containsInteger="1" minValue="2512" maxValue="8999"/>
    </cacheField>
    <cacheField name="Total_price" numFmtId="0">
      <sharedItems containsSemiMixedTypes="0" containsString="0" containsNumber="1" containsInteger="1" minValue="2528" maxValue="44995"/>
    </cacheField>
    <cacheField name="Acutal Revenue (Non-Cancelled bookings)" numFmtId="0">
      <sharedItems containsSemiMixedTypes="0" containsString="0" containsNumber="1" containsInteger="1" minValue="0" maxValue="44820"/>
    </cacheField>
    <cacheField name="Booking_channel" numFmtId="0">
      <sharedItems count="2">
        <s v="Agent"/>
        <s v="Online"/>
      </sharedItems>
    </cacheField>
    <cacheField name="Canceled" numFmtId="0">
      <sharedItems containsSemiMixedTypes="0" containsString="0" containsNumber="1" containsInteger="1" minValue="0" maxValue="1" count="2">
        <n v="0"/>
        <n v="1"/>
      </sharedItems>
    </cacheField>
    <cacheField name="Cancelled" numFmtId="0">
      <sharedItems count="2">
        <s v="Not Cancelled"/>
        <s v="Cancelled"/>
      </sharedItems>
    </cacheField>
    <cacheField name="Group" numFmtId="0">
      <sharedItems count="2">
        <s v="A"/>
        <s v="B"/>
      </sharedItems>
    </cacheField>
    <cacheField name="Days (Booking_date)" numFmtId="0" databaseField="0">
      <fieldGroup base="2">
        <rangePr groupBy="days" startDate="2024-01-01T00:00:00" endDate="2024-12-31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024"/>
        </groupItems>
      </fieldGroup>
    </cacheField>
    <cacheField name="Months (Booking_date)" numFmtId="0" databaseField="0">
      <fieldGroup base="2">
        <rangePr groupBy="months" startDate="2024-01-01T00:00:00" endDate="2024-12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4"/>
        </groupItems>
      </fieldGroup>
    </cacheField>
    <cacheField name="Months (Check_out_date)" numFmtId="0" databaseField="0">
      <fieldGroup base="5">
        <rangePr groupBy="months" startDate="2024-01-09T00:00:00" endDate="2025-02-28T00:00:00"/>
        <groupItems count="14">
          <s v="&lt;09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02-2025"/>
        </groupItems>
      </fieldGroup>
    </cacheField>
    <cacheField name="Quarters (Check_out_date)" numFmtId="0" databaseField="0">
      <fieldGroup base="5">
        <rangePr groupBy="quarters" startDate="2024-01-09T00:00:00" endDate="2025-02-28T00:00:00"/>
        <groupItems count="6">
          <s v="&lt;09-01-2024"/>
          <s v="Qtr1"/>
          <s v="Qtr2"/>
          <s v="Qtr3"/>
          <s v="Qtr4"/>
          <s v="&gt;28-02-2025"/>
        </groupItems>
      </fieldGroup>
    </cacheField>
    <cacheField name="Years (Check_out_date)" numFmtId="0" databaseField="0">
      <fieldGroup base="5">
        <rangePr groupBy="years" startDate="2024-01-09T00:00:00" endDate="2025-02-28T00:00:00"/>
        <groupItems count="4">
          <s v="&lt;09-01-2024"/>
          <s v="2024"/>
          <s v="2025"/>
          <s v="&gt;28-02-2025"/>
        </groupItems>
      </fieldGroup>
    </cacheField>
    <cacheField name="Months (Check_in_date)" numFmtId="0" databaseField="0">
      <fieldGroup base="4">
        <rangePr groupBy="months" startDate="2024-01-06T00:00:00" endDate="2025-02-26T00:00:00"/>
        <groupItems count="14">
          <s v="&lt;06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6-02-2025"/>
        </groupItems>
      </fieldGroup>
    </cacheField>
    <cacheField name="Quarters (Check_in_date)" numFmtId="0" databaseField="0">
      <fieldGroup base="4">
        <rangePr groupBy="quarters" startDate="2024-01-06T00:00:00" endDate="2025-02-26T00:00:00"/>
        <groupItems count="6">
          <s v="&lt;06-01-2024"/>
          <s v="Qtr1"/>
          <s v="Qtr2"/>
          <s v="Qtr3"/>
          <s v="Qtr4"/>
          <s v="&gt;26-02-2025"/>
        </groupItems>
      </fieldGroup>
    </cacheField>
    <cacheField name="Years (Check_in_date)" numFmtId="0" databaseField="0">
      <fieldGroup base="4">
        <rangePr groupBy="years" startDate="2024-01-06T00:00:00" endDate="2025-02-26T00:00:00"/>
        <groupItems count="4">
          <s v="&lt;06-01-2024"/>
          <s v="2024"/>
          <s v="2025"/>
          <s v="&gt;26-02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n v="1001"/>
    <s v="C1127"/>
    <x v="0"/>
    <s v="22 days"/>
    <x v="0"/>
    <x v="0"/>
    <s v="3 days"/>
    <x v="0"/>
    <s v="Returning"/>
    <s v="Suite"/>
    <n v="22"/>
    <n v="3"/>
    <n v="5867"/>
    <n v="17601"/>
    <n v="17601"/>
    <x v="0"/>
    <x v="0"/>
    <x v="0"/>
    <x v="0"/>
  </r>
  <r>
    <n v="1002"/>
    <s v="C1460"/>
    <x v="1"/>
    <s v="18 days"/>
    <x v="1"/>
    <x v="1"/>
    <s v="2 days"/>
    <x v="1"/>
    <s v="Returning"/>
    <s v="Standard"/>
    <n v="18"/>
    <n v="2"/>
    <n v="5895"/>
    <n v="11790"/>
    <n v="11790"/>
    <x v="0"/>
    <x v="0"/>
    <x v="0"/>
    <x v="1"/>
  </r>
  <r>
    <n v="1003"/>
    <s v="C0861"/>
    <x v="2"/>
    <s v="14 days"/>
    <x v="2"/>
    <x v="2"/>
    <s v="1 days"/>
    <x v="2"/>
    <s v="Returning"/>
    <s v="Standard"/>
    <n v="14"/>
    <n v="1"/>
    <n v="3313"/>
    <n v="3313"/>
    <n v="3313"/>
    <x v="0"/>
    <x v="0"/>
    <x v="0"/>
    <x v="0"/>
  </r>
  <r>
    <n v="1004"/>
    <s v="C1295"/>
    <x v="3"/>
    <s v="10 days"/>
    <x v="3"/>
    <x v="3"/>
    <s v="3 days"/>
    <x v="3"/>
    <s v="New"/>
    <s v="Suite"/>
    <n v="10"/>
    <n v="3"/>
    <n v="3345"/>
    <n v="10035"/>
    <n v="10035"/>
    <x v="0"/>
    <x v="0"/>
    <x v="0"/>
    <x v="0"/>
  </r>
  <r>
    <n v="1005"/>
    <s v="C1131"/>
    <x v="4"/>
    <s v="46 days"/>
    <x v="4"/>
    <x v="4"/>
    <s v="4 days"/>
    <x v="2"/>
    <s v="Returning"/>
    <s v="Suite"/>
    <n v="46"/>
    <n v="4"/>
    <n v="3664"/>
    <n v="14656"/>
    <n v="0"/>
    <x v="0"/>
    <x v="1"/>
    <x v="1"/>
    <x v="1"/>
  </r>
  <r>
    <n v="1006"/>
    <s v="C1096"/>
    <x v="5"/>
    <s v="13 days"/>
    <x v="5"/>
    <x v="5"/>
    <s v="5 days"/>
    <x v="1"/>
    <s v="New"/>
    <s v="Deluxe"/>
    <n v="13"/>
    <n v="5"/>
    <n v="7262"/>
    <n v="36310"/>
    <n v="36310"/>
    <x v="0"/>
    <x v="0"/>
    <x v="0"/>
    <x v="1"/>
  </r>
  <r>
    <n v="1007"/>
    <s v="C1045"/>
    <x v="6"/>
    <s v="31 days"/>
    <x v="6"/>
    <x v="6"/>
    <s v="2 days"/>
    <x v="1"/>
    <s v="New"/>
    <s v="Standard"/>
    <n v="31"/>
    <n v="2"/>
    <n v="8905"/>
    <n v="17810"/>
    <n v="0"/>
    <x v="0"/>
    <x v="1"/>
    <x v="1"/>
    <x v="1"/>
  </r>
  <r>
    <n v="1008"/>
    <s v="C0122"/>
    <x v="7"/>
    <s v="30 days"/>
    <x v="7"/>
    <x v="7"/>
    <s v="5 days"/>
    <x v="2"/>
    <s v="New"/>
    <s v="Suite"/>
    <n v="30"/>
    <n v="5"/>
    <n v="8404"/>
    <n v="42020"/>
    <n v="0"/>
    <x v="1"/>
    <x v="1"/>
    <x v="1"/>
    <x v="0"/>
  </r>
  <r>
    <n v="1009"/>
    <s v="C0467"/>
    <x v="8"/>
    <s v="3 days"/>
    <x v="8"/>
    <x v="8"/>
    <s v="4 days"/>
    <x v="3"/>
    <s v="New"/>
    <s v="Standard"/>
    <n v="3"/>
    <n v="4"/>
    <n v="8039"/>
    <n v="32156"/>
    <n v="0"/>
    <x v="0"/>
    <x v="1"/>
    <x v="1"/>
    <x v="1"/>
  </r>
  <r>
    <n v="1010"/>
    <s v="C1239"/>
    <x v="9"/>
    <s v="30 days"/>
    <x v="9"/>
    <x v="9"/>
    <s v="3 days"/>
    <x v="2"/>
    <s v="Returning"/>
    <s v="Standard"/>
    <n v="30"/>
    <n v="3"/>
    <n v="4267"/>
    <n v="12801"/>
    <n v="12801"/>
    <x v="1"/>
    <x v="0"/>
    <x v="0"/>
    <x v="0"/>
  </r>
  <r>
    <n v="1011"/>
    <s v="C0331"/>
    <x v="10"/>
    <s v="6 days"/>
    <x v="10"/>
    <x v="10"/>
    <s v="4 days"/>
    <x v="3"/>
    <s v="Returning"/>
    <s v="Standard"/>
    <n v="6"/>
    <n v="4"/>
    <n v="7860"/>
    <n v="31440"/>
    <n v="0"/>
    <x v="1"/>
    <x v="1"/>
    <x v="1"/>
    <x v="0"/>
  </r>
  <r>
    <n v="1012"/>
    <s v="C1483"/>
    <x v="11"/>
    <s v="29 days"/>
    <x v="11"/>
    <x v="11"/>
    <s v="4 days"/>
    <x v="3"/>
    <s v="New"/>
    <s v="Deluxe"/>
    <n v="29"/>
    <n v="4"/>
    <n v="2854"/>
    <n v="11416"/>
    <n v="11416"/>
    <x v="0"/>
    <x v="0"/>
    <x v="0"/>
    <x v="1"/>
  </r>
  <r>
    <n v="1013"/>
    <s v="C0088"/>
    <x v="12"/>
    <s v="8 days"/>
    <x v="12"/>
    <x v="12"/>
    <s v="5 days"/>
    <x v="4"/>
    <s v="New"/>
    <s v="Suite"/>
    <n v="8"/>
    <n v="5"/>
    <n v="4372"/>
    <n v="21860"/>
    <n v="21860"/>
    <x v="0"/>
    <x v="0"/>
    <x v="0"/>
    <x v="1"/>
  </r>
  <r>
    <n v="1014"/>
    <s v="C1397"/>
    <x v="13"/>
    <s v="44 days"/>
    <x v="1"/>
    <x v="1"/>
    <s v="2 days"/>
    <x v="0"/>
    <s v="New"/>
    <s v="Suite"/>
    <n v="44"/>
    <n v="2"/>
    <n v="4524"/>
    <n v="9048"/>
    <n v="9048"/>
    <x v="1"/>
    <x v="0"/>
    <x v="0"/>
    <x v="1"/>
  </r>
  <r>
    <n v="1015"/>
    <s v="C1124"/>
    <x v="14"/>
    <s v="45 days"/>
    <x v="13"/>
    <x v="13"/>
    <s v="4 days"/>
    <x v="0"/>
    <s v="Returning"/>
    <s v="Standard"/>
    <n v="45"/>
    <n v="4"/>
    <n v="5317"/>
    <n v="21268"/>
    <n v="0"/>
    <x v="1"/>
    <x v="1"/>
    <x v="1"/>
    <x v="1"/>
  </r>
  <r>
    <n v="1016"/>
    <s v="C0872"/>
    <x v="15"/>
    <s v="43 days"/>
    <x v="14"/>
    <x v="14"/>
    <s v="5 days"/>
    <x v="1"/>
    <s v="New"/>
    <s v="Suite"/>
    <n v="43"/>
    <n v="5"/>
    <n v="6332"/>
    <n v="31660"/>
    <n v="31660"/>
    <x v="0"/>
    <x v="0"/>
    <x v="0"/>
    <x v="1"/>
  </r>
  <r>
    <n v="1017"/>
    <s v="C0131"/>
    <x v="16"/>
    <s v="44 days"/>
    <x v="15"/>
    <x v="15"/>
    <s v="2 days"/>
    <x v="4"/>
    <s v="New"/>
    <s v="Deluxe"/>
    <n v="44"/>
    <n v="2"/>
    <n v="6775"/>
    <n v="13550"/>
    <n v="0"/>
    <x v="0"/>
    <x v="1"/>
    <x v="1"/>
    <x v="0"/>
  </r>
  <r>
    <n v="1018"/>
    <s v="C1333"/>
    <x v="17"/>
    <s v="33 days"/>
    <x v="16"/>
    <x v="16"/>
    <s v="3 days"/>
    <x v="0"/>
    <s v="Returning"/>
    <s v="Standard"/>
    <n v="33"/>
    <n v="3"/>
    <n v="2565"/>
    <n v="7695"/>
    <n v="7695"/>
    <x v="1"/>
    <x v="0"/>
    <x v="0"/>
    <x v="0"/>
  </r>
  <r>
    <n v="1019"/>
    <s v="C0770"/>
    <x v="18"/>
    <s v="17 days"/>
    <x v="17"/>
    <x v="17"/>
    <s v="3 days"/>
    <x v="3"/>
    <s v="New"/>
    <s v="Deluxe"/>
    <n v="17"/>
    <n v="3"/>
    <n v="7415"/>
    <n v="22245"/>
    <n v="22245"/>
    <x v="1"/>
    <x v="0"/>
    <x v="0"/>
    <x v="0"/>
  </r>
  <r>
    <n v="1020"/>
    <s v="C0344"/>
    <x v="19"/>
    <s v="48 days"/>
    <x v="18"/>
    <x v="18"/>
    <s v="1 days"/>
    <x v="3"/>
    <s v="Returning"/>
    <s v="Deluxe"/>
    <n v="48"/>
    <n v="1"/>
    <n v="7967"/>
    <n v="7967"/>
    <n v="0"/>
    <x v="0"/>
    <x v="1"/>
    <x v="1"/>
    <x v="1"/>
  </r>
  <r>
    <n v="1021"/>
    <s v="C1438"/>
    <x v="20"/>
    <s v="11 days"/>
    <x v="19"/>
    <x v="19"/>
    <s v="5 days"/>
    <x v="2"/>
    <s v="Returning"/>
    <s v="Suite"/>
    <n v="11"/>
    <n v="5"/>
    <n v="6766"/>
    <n v="33830"/>
    <n v="0"/>
    <x v="1"/>
    <x v="1"/>
    <x v="1"/>
    <x v="0"/>
  </r>
  <r>
    <n v="1022"/>
    <s v="C0806"/>
    <x v="21"/>
    <s v="13 days"/>
    <x v="20"/>
    <x v="20"/>
    <s v="2 days"/>
    <x v="2"/>
    <s v="New"/>
    <s v="Suite"/>
    <n v="13"/>
    <n v="2"/>
    <n v="6590"/>
    <n v="13180"/>
    <n v="13180"/>
    <x v="1"/>
    <x v="0"/>
    <x v="0"/>
    <x v="1"/>
  </r>
  <r>
    <n v="1023"/>
    <s v="C0386"/>
    <x v="22"/>
    <s v="50 days"/>
    <x v="21"/>
    <x v="21"/>
    <s v="4 days"/>
    <x v="3"/>
    <s v="New"/>
    <s v="Deluxe"/>
    <n v="50"/>
    <n v="4"/>
    <n v="5021"/>
    <n v="20084"/>
    <n v="20084"/>
    <x v="0"/>
    <x v="0"/>
    <x v="0"/>
    <x v="1"/>
  </r>
  <r>
    <n v="1024"/>
    <s v="C1216"/>
    <x v="23"/>
    <s v="11 days"/>
    <x v="17"/>
    <x v="17"/>
    <s v="3 days"/>
    <x v="3"/>
    <s v="New"/>
    <s v="Suite"/>
    <n v="11"/>
    <n v="3"/>
    <n v="5081"/>
    <n v="15243"/>
    <n v="15243"/>
    <x v="1"/>
    <x v="0"/>
    <x v="0"/>
    <x v="0"/>
  </r>
  <r>
    <n v="1025"/>
    <s v="C0956"/>
    <x v="24"/>
    <s v="31 days"/>
    <x v="22"/>
    <x v="22"/>
    <s v="2 days"/>
    <x v="2"/>
    <s v="Returning"/>
    <s v="Deluxe"/>
    <n v="31"/>
    <n v="2"/>
    <n v="3890"/>
    <n v="7780"/>
    <n v="0"/>
    <x v="0"/>
    <x v="1"/>
    <x v="1"/>
    <x v="0"/>
  </r>
  <r>
    <n v="1026"/>
    <s v="C0277"/>
    <x v="25"/>
    <s v="28 days"/>
    <x v="23"/>
    <x v="23"/>
    <s v="5 days"/>
    <x v="0"/>
    <s v="Returning"/>
    <s v="Deluxe"/>
    <n v="28"/>
    <n v="5"/>
    <n v="3630"/>
    <n v="18150"/>
    <n v="0"/>
    <x v="0"/>
    <x v="1"/>
    <x v="1"/>
    <x v="1"/>
  </r>
  <r>
    <n v="1027"/>
    <s v="C1185"/>
    <x v="26"/>
    <s v="44 days"/>
    <x v="24"/>
    <x v="24"/>
    <s v="1 days"/>
    <x v="1"/>
    <s v="Returning"/>
    <s v="Standard"/>
    <n v="44"/>
    <n v="1"/>
    <n v="4986"/>
    <n v="4986"/>
    <n v="0"/>
    <x v="0"/>
    <x v="1"/>
    <x v="1"/>
    <x v="0"/>
  </r>
  <r>
    <n v="1028"/>
    <s v="C0460"/>
    <x v="27"/>
    <s v="6 days"/>
    <x v="25"/>
    <x v="25"/>
    <s v="3 days"/>
    <x v="2"/>
    <s v="New"/>
    <s v="Deluxe"/>
    <n v="6"/>
    <n v="3"/>
    <n v="3334"/>
    <n v="10002"/>
    <n v="10002"/>
    <x v="1"/>
    <x v="0"/>
    <x v="0"/>
    <x v="1"/>
  </r>
  <r>
    <n v="1029"/>
    <s v="C1338"/>
    <x v="28"/>
    <s v="41 days"/>
    <x v="26"/>
    <x v="26"/>
    <s v="2 days"/>
    <x v="0"/>
    <s v="New"/>
    <s v="Deluxe"/>
    <n v="41"/>
    <n v="2"/>
    <n v="2726"/>
    <n v="5452"/>
    <n v="0"/>
    <x v="0"/>
    <x v="1"/>
    <x v="1"/>
    <x v="0"/>
  </r>
  <r>
    <n v="1030"/>
    <s v="C0022"/>
    <x v="29"/>
    <s v="16 days"/>
    <x v="27"/>
    <x v="27"/>
    <s v="2 days"/>
    <x v="0"/>
    <s v="New"/>
    <s v="Suite"/>
    <n v="16"/>
    <n v="2"/>
    <n v="6015"/>
    <n v="12030"/>
    <n v="12030"/>
    <x v="1"/>
    <x v="0"/>
    <x v="0"/>
    <x v="0"/>
  </r>
  <r>
    <n v="1031"/>
    <s v="C0253"/>
    <x v="30"/>
    <s v="4 days"/>
    <x v="28"/>
    <x v="28"/>
    <s v="2 days"/>
    <x v="0"/>
    <s v="New"/>
    <s v="Standard"/>
    <n v="4"/>
    <n v="2"/>
    <n v="7037"/>
    <n v="14074"/>
    <n v="14074"/>
    <x v="0"/>
    <x v="0"/>
    <x v="0"/>
    <x v="0"/>
  </r>
  <r>
    <n v="1032"/>
    <s v="C0748"/>
    <x v="31"/>
    <s v="35 days"/>
    <x v="29"/>
    <x v="29"/>
    <s v="5 days"/>
    <x v="4"/>
    <s v="New"/>
    <s v="Suite"/>
    <n v="35"/>
    <n v="5"/>
    <n v="4943"/>
    <n v="24715"/>
    <n v="0"/>
    <x v="0"/>
    <x v="1"/>
    <x v="1"/>
    <x v="0"/>
  </r>
  <r>
    <n v="1033"/>
    <s v="C0857"/>
    <x v="23"/>
    <s v="48 days"/>
    <x v="30"/>
    <x v="30"/>
    <s v="5 days"/>
    <x v="4"/>
    <s v="New"/>
    <s v="Standard"/>
    <n v="48"/>
    <n v="5"/>
    <n v="3227"/>
    <n v="16135"/>
    <n v="0"/>
    <x v="1"/>
    <x v="1"/>
    <x v="1"/>
    <x v="0"/>
  </r>
  <r>
    <n v="1034"/>
    <s v="C0475"/>
    <x v="32"/>
    <s v="56 days"/>
    <x v="31"/>
    <x v="31"/>
    <s v="5 days"/>
    <x v="0"/>
    <s v="Returning"/>
    <s v="Suite"/>
    <n v="56"/>
    <n v="5"/>
    <n v="8200"/>
    <n v="41000"/>
    <n v="0"/>
    <x v="1"/>
    <x v="1"/>
    <x v="1"/>
    <x v="1"/>
  </r>
  <r>
    <n v="1035"/>
    <s v="C1083"/>
    <x v="33"/>
    <s v="59 days"/>
    <x v="32"/>
    <x v="32"/>
    <s v="4 days"/>
    <x v="3"/>
    <s v="Returning"/>
    <s v="Deluxe"/>
    <n v="59"/>
    <n v="4"/>
    <n v="8727"/>
    <n v="34908"/>
    <n v="0"/>
    <x v="1"/>
    <x v="1"/>
    <x v="1"/>
    <x v="0"/>
  </r>
  <r>
    <n v="1036"/>
    <s v="C0511"/>
    <x v="34"/>
    <s v="26 days"/>
    <x v="33"/>
    <x v="33"/>
    <s v="2 days"/>
    <x v="4"/>
    <s v="Returning"/>
    <s v="Standard"/>
    <n v="26"/>
    <n v="2"/>
    <n v="6186"/>
    <n v="12372"/>
    <n v="0"/>
    <x v="0"/>
    <x v="1"/>
    <x v="1"/>
    <x v="0"/>
  </r>
  <r>
    <n v="1037"/>
    <s v="C0700"/>
    <x v="32"/>
    <s v="57 days"/>
    <x v="34"/>
    <x v="34"/>
    <s v="3 days"/>
    <x v="2"/>
    <s v="New"/>
    <s v="Standard"/>
    <n v="57"/>
    <n v="3"/>
    <n v="6122"/>
    <n v="18366"/>
    <n v="0"/>
    <x v="1"/>
    <x v="1"/>
    <x v="1"/>
    <x v="0"/>
  </r>
  <r>
    <n v="1038"/>
    <s v="C0976"/>
    <x v="35"/>
    <s v="12 days"/>
    <x v="35"/>
    <x v="35"/>
    <s v="5 days"/>
    <x v="4"/>
    <s v="Returning"/>
    <s v="Standard"/>
    <n v="12"/>
    <n v="5"/>
    <n v="3536"/>
    <n v="17680"/>
    <n v="0"/>
    <x v="0"/>
    <x v="1"/>
    <x v="1"/>
    <x v="1"/>
  </r>
  <r>
    <n v="1039"/>
    <s v="C0190"/>
    <x v="36"/>
    <s v="11 days"/>
    <x v="33"/>
    <x v="36"/>
    <s v="5 days"/>
    <x v="3"/>
    <s v="Returning"/>
    <s v="Standard"/>
    <n v="11"/>
    <n v="5"/>
    <n v="4332"/>
    <n v="21660"/>
    <n v="21660"/>
    <x v="1"/>
    <x v="0"/>
    <x v="0"/>
    <x v="1"/>
  </r>
  <r>
    <n v="1040"/>
    <s v="C0958"/>
    <x v="37"/>
    <s v="37 days"/>
    <x v="36"/>
    <x v="37"/>
    <s v="2 days"/>
    <x v="1"/>
    <s v="Returning"/>
    <s v="Suite"/>
    <n v="37"/>
    <n v="2"/>
    <n v="8444"/>
    <n v="16888"/>
    <n v="16888"/>
    <x v="0"/>
    <x v="0"/>
    <x v="0"/>
    <x v="1"/>
  </r>
  <r>
    <n v="1041"/>
    <s v="C0687"/>
    <x v="38"/>
    <s v="25 days"/>
    <x v="37"/>
    <x v="38"/>
    <s v="5 days"/>
    <x v="4"/>
    <s v="New"/>
    <s v="Suite"/>
    <n v="25"/>
    <n v="5"/>
    <n v="5240"/>
    <n v="26200"/>
    <n v="0"/>
    <x v="0"/>
    <x v="1"/>
    <x v="1"/>
    <x v="1"/>
  </r>
  <r>
    <n v="1042"/>
    <s v="C0958"/>
    <x v="1"/>
    <s v="18 days"/>
    <x v="1"/>
    <x v="39"/>
    <s v="4 days"/>
    <x v="0"/>
    <s v="New"/>
    <s v="Standard"/>
    <n v="18"/>
    <n v="4"/>
    <n v="2992"/>
    <n v="11968"/>
    <n v="11968"/>
    <x v="0"/>
    <x v="0"/>
    <x v="0"/>
    <x v="1"/>
  </r>
  <r>
    <n v="1043"/>
    <s v="C0563"/>
    <x v="39"/>
    <s v="19 days"/>
    <x v="38"/>
    <x v="40"/>
    <s v="4 days"/>
    <x v="0"/>
    <s v="Returning"/>
    <s v="Standard"/>
    <n v="19"/>
    <n v="4"/>
    <n v="4048"/>
    <n v="16192"/>
    <n v="0"/>
    <x v="0"/>
    <x v="1"/>
    <x v="1"/>
    <x v="0"/>
  </r>
  <r>
    <n v="1044"/>
    <s v="C1268"/>
    <x v="40"/>
    <s v="23 days"/>
    <x v="39"/>
    <x v="41"/>
    <s v="5 days"/>
    <x v="0"/>
    <s v="New"/>
    <s v="Standard"/>
    <n v="23"/>
    <n v="5"/>
    <n v="3643"/>
    <n v="18215"/>
    <n v="18215"/>
    <x v="1"/>
    <x v="0"/>
    <x v="0"/>
    <x v="0"/>
  </r>
  <r>
    <n v="1045"/>
    <s v="C0832"/>
    <x v="41"/>
    <s v="55 days"/>
    <x v="40"/>
    <x v="16"/>
    <s v="2 days"/>
    <x v="1"/>
    <s v="New"/>
    <s v="Suite"/>
    <n v="55"/>
    <n v="2"/>
    <n v="7565"/>
    <n v="15130"/>
    <n v="0"/>
    <x v="1"/>
    <x v="1"/>
    <x v="1"/>
    <x v="0"/>
  </r>
  <r>
    <n v="1046"/>
    <s v="C1155"/>
    <x v="42"/>
    <s v="38 days"/>
    <x v="41"/>
    <x v="42"/>
    <s v="2 days"/>
    <x v="3"/>
    <s v="New"/>
    <s v="Standard"/>
    <n v="38"/>
    <n v="2"/>
    <n v="8996"/>
    <n v="17992"/>
    <n v="17992"/>
    <x v="0"/>
    <x v="0"/>
    <x v="0"/>
    <x v="1"/>
  </r>
  <r>
    <n v="1047"/>
    <s v="C0647"/>
    <x v="43"/>
    <s v="54 days"/>
    <x v="42"/>
    <x v="43"/>
    <s v="2 days"/>
    <x v="2"/>
    <s v="New"/>
    <s v="Standard"/>
    <n v="54"/>
    <n v="2"/>
    <n v="8683"/>
    <n v="17366"/>
    <n v="0"/>
    <x v="0"/>
    <x v="1"/>
    <x v="1"/>
    <x v="1"/>
  </r>
  <r>
    <n v="1048"/>
    <s v="C0021"/>
    <x v="44"/>
    <s v="18 days"/>
    <x v="43"/>
    <x v="28"/>
    <s v="1 days"/>
    <x v="3"/>
    <s v="Returning"/>
    <s v="Standard"/>
    <n v="18"/>
    <n v="1"/>
    <n v="6457"/>
    <n v="6457"/>
    <n v="0"/>
    <x v="1"/>
    <x v="1"/>
    <x v="1"/>
    <x v="0"/>
  </r>
  <r>
    <n v="1049"/>
    <s v="C0841"/>
    <x v="45"/>
    <s v="26 days"/>
    <x v="44"/>
    <x v="16"/>
    <s v="5 days"/>
    <x v="1"/>
    <s v="New"/>
    <s v="Suite"/>
    <n v="26"/>
    <n v="5"/>
    <n v="5907"/>
    <n v="29535"/>
    <n v="0"/>
    <x v="1"/>
    <x v="1"/>
    <x v="1"/>
    <x v="1"/>
  </r>
  <r>
    <n v="1050"/>
    <s v="C0167"/>
    <x v="46"/>
    <s v="6 days"/>
    <x v="45"/>
    <x v="44"/>
    <s v="2 days"/>
    <x v="0"/>
    <s v="Returning"/>
    <s v="Deluxe"/>
    <n v="6"/>
    <n v="2"/>
    <n v="3139"/>
    <n v="6278"/>
    <n v="6278"/>
    <x v="1"/>
    <x v="0"/>
    <x v="0"/>
    <x v="1"/>
  </r>
  <r>
    <n v="1051"/>
    <s v="C1298"/>
    <x v="47"/>
    <s v="4 days"/>
    <x v="46"/>
    <x v="45"/>
    <s v="4 days"/>
    <x v="3"/>
    <s v="Returning"/>
    <s v="Deluxe"/>
    <n v="4"/>
    <n v="4"/>
    <n v="2672"/>
    <n v="10688"/>
    <n v="10688"/>
    <x v="1"/>
    <x v="0"/>
    <x v="0"/>
    <x v="1"/>
  </r>
  <r>
    <n v="1052"/>
    <s v="C0388"/>
    <x v="48"/>
    <s v="44 days"/>
    <x v="47"/>
    <x v="46"/>
    <s v="3 days"/>
    <x v="2"/>
    <s v="New"/>
    <s v="Suite"/>
    <n v="44"/>
    <n v="3"/>
    <n v="8166"/>
    <n v="24498"/>
    <n v="24498"/>
    <x v="1"/>
    <x v="0"/>
    <x v="0"/>
    <x v="0"/>
  </r>
  <r>
    <n v="1053"/>
    <s v="C0601"/>
    <x v="49"/>
    <s v="51 days"/>
    <x v="43"/>
    <x v="47"/>
    <s v="3 days"/>
    <x v="0"/>
    <s v="New"/>
    <s v="Deluxe"/>
    <n v="51"/>
    <n v="3"/>
    <n v="6854"/>
    <n v="20562"/>
    <n v="20562"/>
    <x v="1"/>
    <x v="0"/>
    <x v="0"/>
    <x v="0"/>
  </r>
  <r>
    <n v="1054"/>
    <s v="C0316"/>
    <x v="50"/>
    <s v="29 days"/>
    <x v="48"/>
    <x v="48"/>
    <s v="2 days"/>
    <x v="2"/>
    <s v="New"/>
    <s v="Standard"/>
    <n v="29"/>
    <n v="2"/>
    <n v="6459"/>
    <n v="12918"/>
    <n v="0"/>
    <x v="0"/>
    <x v="1"/>
    <x v="1"/>
    <x v="1"/>
  </r>
  <r>
    <n v="1055"/>
    <s v="C0014"/>
    <x v="51"/>
    <s v="59 days"/>
    <x v="49"/>
    <x v="49"/>
    <s v="3 days"/>
    <x v="4"/>
    <s v="Returning"/>
    <s v="Standard"/>
    <n v="59"/>
    <n v="3"/>
    <n v="3016"/>
    <n v="9048"/>
    <n v="0"/>
    <x v="1"/>
    <x v="1"/>
    <x v="1"/>
    <x v="1"/>
  </r>
  <r>
    <n v="1056"/>
    <s v="C0242"/>
    <x v="52"/>
    <s v="34 days"/>
    <x v="50"/>
    <x v="50"/>
    <s v="3 days"/>
    <x v="2"/>
    <s v="Returning"/>
    <s v="Suite"/>
    <n v="34"/>
    <n v="3"/>
    <n v="3022"/>
    <n v="9066"/>
    <n v="0"/>
    <x v="1"/>
    <x v="1"/>
    <x v="1"/>
    <x v="1"/>
  </r>
  <r>
    <n v="1057"/>
    <s v="C0777"/>
    <x v="53"/>
    <s v="17 days"/>
    <x v="2"/>
    <x v="2"/>
    <s v="1 days"/>
    <x v="0"/>
    <s v="Returning"/>
    <s v="Suite"/>
    <n v="17"/>
    <n v="1"/>
    <n v="4417"/>
    <n v="4417"/>
    <n v="4417"/>
    <x v="0"/>
    <x v="0"/>
    <x v="0"/>
    <x v="1"/>
  </r>
  <r>
    <n v="1058"/>
    <s v="C1370"/>
    <x v="54"/>
    <s v="43 days"/>
    <x v="51"/>
    <x v="51"/>
    <s v="4 days"/>
    <x v="4"/>
    <s v="Returning"/>
    <s v="Deluxe"/>
    <n v="43"/>
    <n v="4"/>
    <n v="5386"/>
    <n v="21544"/>
    <n v="21544"/>
    <x v="1"/>
    <x v="0"/>
    <x v="0"/>
    <x v="0"/>
  </r>
  <r>
    <n v="1059"/>
    <s v="C0565"/>
    <x v="55"/>
    <s v="43 days"/>
    <x v="52"/>
    <x v="52"/>
    <s v="4 days"/>
    <x v="0"/>
    <s v="Returning"/>
    <s v="Deluxe"/>
    <n v="43"/>
    <n v="4"/>
    <n v="4664"/>
    <n v="18656"/>
    <n v="18656"/>
    <x v="1"/>
    <x v="0"/>
    <x v="0"/>
    <x v="1"/>
  </r>
  <r>
    <n v="1060"/>
    <s v="C0898"/>
    <x v="56"/>
    <s v="53 days"/>
    <x v="53"/>
    <x v="53"/>
    <s v="1 days"/>
    <x v="0"/>
    <s v="Returning"/>
    <s v="Standard"/>
    <n v="53"/>
    <n v="1"/>
    <n v="8827"/>
    <n v="8827"/>
    <n v="0"/>
    <x v="1"/>
    <x v="1"/>
    <x v="1"/>
    <x v="0"/>
  </r>
  <r>
    <n v="1061"/>
    <s v="C1364"/>
    <x v="57"/>
    <s v="16 days"/>
    <x v="54"/>
    <x v="54"/>
    <s v="1 days"/>
    <x v="4"/>
    <s v="Returning"/>
    <s v="Suite"/>
    <n v="16"/>
    <n v="1"/>
    <n v="4429"/>
    <n v="4429"/>
    <n v="0"/>
    <x v="0"/>
    <x v="1"/>
    <x v="1"/>
    <x v="0"/>
  </r>
  <r>
    <n v="1062"/>
    <s v="C0092"/>
    <x v="58"/>
    <s v="2 days"/>
    <x v="55"/>
    <x v="7"/>
    <s v="3 days"/>
    <x v="2"/>
    <s v="New"/>
    <s v="Deluxe"/>
    <n v="2"/>
    <n v="3"/>
    <n v="6445"/>
    <n v="19335"/>
    <n v="19335"/>
    <x v="1"/>
    <x v="0"/>
    <x v="0"/>
    <x v="0"/>
  </r>
  <r>
    <n v="1063"/>
    <s v="C1391"/>
    <x v="59"/>
    <s v="34 days"/>
    <x v="9"/>
    <x v="50"/>
    <s v="5 days"/>
    <x v="1"/>
    <s v="Returning"/>
    <s v="Deluxe"/>
    <n v="34"/>
    <n v="5"/>
    <n v="7735"/>
    <n v="38675"/>
    <n v="0"/>
    <x v="0"/>
    <x v="1"/>
    <x v="1"/>
    <x v="1"/>
  </r>
  <r>
    <n v="1064"/>
    <s v="C0956"/>
    <x v="60"/>
    <s v="55 days"/>
    <x v="56"/>
    <x v="55"/>
    <s v="3 days"/>
    <x v="1"/>
    <s v="Returning"/>
    <s v="Standard"/>
    <n v="55"/>
    <n v="3"/>
    <n v="4709"/>
    <n v="14127"/>
    <n v="0"/>
    <x v="1"/>
    <x v="1"/>
    <x v="1"/>
    <x v="0"/>
  </r>
  <r>
    <n v="1065"/>
    <s v="C1479"/>
    <x v="61"/>
    <s v="8 days"/>
    <x v="57"/>
    <x v="56"/>
    <s v="1 days"/>
    <x v="1"/>
    <s v="Returning"/>
    <s v="Standard"/>
    <n v="8"/>
    <n v="1"/>
    <n v="6283"/>
    <n v="6283"/>
    <n v="6283"/>
    <x v="0"/>
    <x v="0"/>
    <x v="0"/>
    <x v="0"/>
  </r>
  <r>
    <n v="1066"/>
    <s v="C1452"/>
    <x v="62"/>
    <s v="13 days"/>
    <x v="58"/>
    <x v="57"/>
    <s v="4 days"/>
    <x v="1"/>
    <s v="Returning"/>
    <s v="Standard"/>
    <n v="13"/>
    <n v="4"/>
    <n v="5090"/>
    <n v="20360"/>
    <n v="20360"/>
    <x v="1"/>
    <x v="0"/>
    <x v="0"/>
    <x v="1"/>
  </r>
  <r>
    <n v="1067"/>
    <s v="C0509"/>
    <x v="63"/>
    <s v="42 days"/>
    <x v="59"/>
    <x v="58"/>
    <s v="3 days"/>
    <x v="3"/>
    <s v="New"/>
    <s v="Standard"/>
    <n v="42"/>
    <n v="3"/>
    <n v="7434"/>
    <n v="22302"/>
    <n v="0"/>
    <x v="1"/>
    <x v="1"/>
    <x v="1"/>
    <x v="1"/>
  </r>
  <r>
    <n v="1068"/>
    <s v="C0776"/>
    <x v="64"/>
    <s v="8 days"/>
    <x v="60"/>
    <x v="59"/>
    <s v="5 days"/>
    <x v="1"/>
    <s v="Returning"/>
    <s v="Deluxe"/>
    <n v="8"/>
    <n v="5"/>
    <n v="6576"/>
    <n v="32880"/>
    <n v="32880"/>
    <x v="1"/>
    <x v="0"/>
    <x v="0"/>
    <x v="1"/>
  </r>
  <r>
    <n v="1069"/>
    <s v="C0035"/>
    <x v="65"/>
    <s v="30 days"/>
    <x v="61"/>
    <x v="60"/>
    <s v="3 days"/>
    <x v="4"/>
    <s v="Returning"/>
    <s v="Suite"/>
    <n v="30"/>
    <n v="3"/>
    <n v="7685"/>
    <n v="23055"/>
    <n v="0"/>
    <x v="0"/>
    <x v="1"/>
    <x v="1"/>
    <x v="0"/>
  </r>
  <r>
    <n v="1070"/>
    <s v="C0206"/>
    <x v="66"/>
    <s v="32 days"/>
    <x v="62"/>
    <x v="10"/>
    <s v="2 days"/>
    <x v="1"/>
    <s v="New"/>
    <s v="Suite"/>
    <n v="32"/>
    <n v="2"/>
    <n v="3593"/>
    <n v="7186"/>
    <n v="0"/>
    <x v="1"/>
    <x v="1"/>
    <x v="1"/>
    <x v="1"/>
  </r>
  <r>
    <n v="1071"/>
    <s v="C1105"/>
    <x v="67"/>
    <s v="36 days"/>
    <x v="63"/>
    <x v="61"/>
    <s v="3 days"/>
    <x v="0"/>
    <s v="New"/>
    <s v="Standard"/>
    <n v="36"/>
    <n v="3"/>
    <n v="6380"/>
    <n v="19140"/>
    <n v="0"/>
    <x v="1"/>
    <x v="1"/>
    <x v="1"/>
    <x v="0"/>
  </r>
  <r>
    <n v="1072"/>
    <s v="C1412"/>
    <x v="68"/>
    <s v="47 days"/>
    <x v="19"/>
    <x v="62"/>
    <s v="1 days"/>
    <x v="1"/>
    <s v="Returning"/>
    <s v="Standard"/>
    <n v="47"/>
    <n v="1"/>
    <n v="4994"/>
    <n v="4994"/>
    <n v="4994"/>
    <x v="0"/>
    <x v="0"/>
    <x v="0"/>
    <x v="0"/>
  </r>
  <r>
    <n v="1073"/>
    <s v="C1026"/>
    <x v="69"/>
    <s v="30 days"/>
    <x v="64"/>
    <x v="63"/>
    <s v="4 days"/>
    <x v="2"/>
    <s v="Returning"/>
    <s v="Deluxe"/>
    <n v="30"/>
    <n v="4"/>
    <n v="5079"/>
    <n v="20316"/>
    <n v="20316"/>
    <x v="0"/>
    <x v="0"/>
    <x v="0"/>
    <x v="1"/>
  </r>
  <r>
    <n v="1074"/>
    <s v="C1022"/>
    <x v="70"/>
    <s v="1 days"/>
    <x v="65"/>
    <x v="64"/>
    <s v="4 days"/>
    <x v="4"/>
    <s v="Returning"/>
    <s v="Standard"/>
    <n v="1"/>
    <n v="4"/>
    <n v="4988"/>
    <n v="19952"/>
    <n v="19952"/>
    <x v="0"/>
    <x v="0"/>
    <x v="0"/>
    <x v="0"/>
  </r>
  <r>
    <n v="1075"/>
    <s v="C1414"/>
    <x v="71"/>
    <s v="43 days"/>
    <x v="66"/>
    <x v="65"/>
    <s v="1 days"/>
    <x v="4"/>
    <s v="Returning"/>
    <s v="Suite"/>
    <n v="43"/>
    <n v="1"/>
    <n v="5285"/>
    <n v="5285"/>
    <n v="0"/>
    <x v="1"/>
    <x v="1"/>
    <x v="1"/>
    <x v="0"/>
  </r>
  <r>
    <n v="1076"/>
    <s v="C0566"/>
    <x v="72"/>
    <s v="39 days"/>
    <x v="67"/>
    <x v="66"/>
    <s v="2 days"/>
    <x v="3"/>
    <s v="Returning"/>
    <s v="Standard"/>
    <n v="39"/>
    <n v="2"/>
    <n v="8565"/>
    <n v="17130"/>
    <n v="0"/>
    <x v="0"/>
    <x v="1"/>
    <x v="1"/>
    <x v="0"/>
  </r>
  <r>
    <n v="1077"/>
    <s v="C1130"/>
    <x v="73"/>
    <s v="17 days"/>
    <x v="68"/>
    <x v="57"/>
    <s v="1 days"/>
    <x v="0"/>
    <s v="Returning"/>
    <s v="Suite"/>
    <n v="17"/>
    <n v="1"/>
    <n v="5258"/>
    <n v="5258"/>
    <n v="5258"/>
    <x v="1"/>
    <x v="0"/>
    <x v="0"/>
    <x v="0"/>
  </r>
  <r>
    <n v="1078"/>
    <s v="C0703"/>
    <x v="74"/>
    <s v="59 days"/>
    <x v="69"/>
    <x v="67"/>
    <s v="3 days"/>
    <x v="4"/>
    <s v="New"/>
    <s v="Standard"/>
    <n v="59"/>
    <n v="3"/>
    <n v="4074"/>
    <n v="12222"/>
    <n v="0"/>
    <x v="0"/>
    <x v="1"/>
    <x v="1"/>
    <x v="1"/>
  </r>
  <r>
    <n v="1079"/>
    <s v="C0402"/>
    <x v="75"/>
    <s v="20 days"/>
    <x v="70"/>
    <x v="68"/>
    <s v="1 days"/>
    <x v="2"/>
    <s v="New"/>
    <s v="Standard"/>
    <n v="20"/>
    <n v="1"/>
    <n v="8176"/>
    <n v="8176"/>
    <n v="8176"/>
    <x v="0"/>
    <x v="0"/>
    <x v="0"/>
    <x v="0"/>
  </r>
  <r>
    <n v="1080"/>
    <s v="C0730"/>
    <x v="76"/>
    <s v="24 days"/>
    <x v="71"/>
    <x v="69"/>
    <s v="1 days"/>
    <x v="1"/>
    <s v="Returning"/>
    <s v="Suite"/>
    <n v="24"/>
    <n v="1"/>
    <n v="4873"/>
    <n v="4873"/>
    <n v="4873"/>
    <x v="1"/>
    <x v="0"/>
    <x v="0"/>
    <x v="1"/>
  </r>
  <r>
    <n v="1081"/>
    <s v="C0162"/>
    <x v="77"/>
    <s v="50 days"/>
    <x v="72"/>
    <x v="50"/>
    <s v="2 days"/>
    <x v="4"/>
    <s v="Returning"/>
    <s v="Deluxe"/>
    <n v="50"/>
    <n v="2"/>
    <n v="6490"/>
    <n v="12980"/>
    <n v="0"/>
    <x v="1"/>
    <x v="1"/>
    <x v="1"/>
    <x v="0"/>
  </r>
  <r>
    <n v="1082"/>
    <s v="C0202"/>
    <x v="24"/>
    <s v="22 days"/>
    <x v="73"/>
    <x v="70"/>
    <s v="3 days"/>
    <x v="2"/>
    <s v="Returning"/>
    <s v="Deluxe"/>
    <n v="22"/>
    <n v="3"/>
    <n v="7710"/>
    <n v="23130"/>
    <n v="23130"/>
    <x v="1"/>
    <x v="0"/>
    <x v="0"/>
    <x v="0"/>
  </r>
  <r>
    <n v="1083"/>
    <s v="C0996"/>
    <x v="34"/>
    <s v="29 days"/>
    <x v="74"/>
    <x v="65"/>
    <s v="5 days"/>
    <x v="1"/>
    <s v="New"/>
    <s v="Standard"/>
    <n v="29"/>
    <n v="5"/>
    <n v="7345"/>
    <n v="36725"/>
    <n v="0"/>
    <x v="1"/>
    <x v="1"/>
    <x v="1"/>
    <x v="1"/>
  </r>
  <r>
    <n v="1084"/>
    <s v="C0270"/>
    <x v="26"/>
    <s v="22 days"/>
    <x v="16"/>
    <x v="71"/>
    <s v="5 days"/>
    <x v="3"/>
    <s v="Returning"/>
    <s v="Standard"/>
    <n v="22"/>
    <n v="5"/>
    <n v="3593"/>
    <n v="17965"/>
    <n v="17965"/>
    <x v="0"/>
    <x v="0"/>
    <x v="0"/>
    <x v="0"/>
  </r>
  <r>
    <n v="1085"/>
    <s v="C0816"/>
    <x v="78"/>
    <s v="44 days"/>
    <x v="75"/>
    <x v="72"/>
    <s v="4 days"/>
    <x v="4"/>
    <s v="New"/>
    <s v="Suite"/>
    <n v="44"/>
    <n v="4"/>
    <n v="3689"/>
    <n v="14756"/>
    <n v="0"/>
    <x v="0"/>
    <x v="1"/>
    <x v="1"/>
    <x v="0"/>
  </r>
  <r>
    <n v="1086"/>
    <s v="C1295"/>
    <x v="17"/>
    <s v="9 days"/>
    <x v="76"/>
    <x v="31"/>
    <s v="1 days"/>
    <x v="4"/>
    <s v="New"/>
    <s v="Suite"/>
    <n v="9"/>
    <n v="1"/>
    <n v="5189"/>
    <n v="5189"/>
    <n v="0"/>
    <x v="0"/>
    <x v="1"/>
    <x v="1"/>
    <x v="0"/>
  </r>
  <r>
    <n v="1087"/>
    <s v="C0456"/>
    <x v="79"/>
    <s v="37 days"/>
    <x v="77"/>
    <x v="73"/>
    <s v="4 days"/>
    <x v="2"/>
    <s v="Returning"/>
    <s v="Standard"/>
    <n v="37"/>
    <n v="4"/>
    <n v="6595"/>
    <n v="26380"/>
    <n v="0"/>
    <x v="1"/>
    <x v="1"/>
    <x v="1"/>
    <x v="0"/>
  </r>
  <r>
    <n v="1088"/>
    <s v="C1486"/>
    <x v="61"/>
    <s v="10 days"/>
    <x v="78"/>
    <x v="74"/>
    <s v="2 days"/>
    <x v="0"/>
    <s v="New"/>
    <s v="Suite"/>
    <n v="10"/>
    <n v="2"/>
    <n v="8857"/>
    <n v="17714"/>
    <n v="17714"/>
    <x v="1"/>
    <x v="0"/>
    <x v="0"/>
    <x v="0"/>
  </r>
  <r>
    <n v="1089"/>
    <s v="C1276"/>
    <x v="80"/>
    <s v="36 days"/>
    <x v="79"/>
    <x v="75"/>
    <s v="5 days"/>
    <x v="3"/>
    <s v="Returning"/>
    <s v="Deluxe"/>
    <n v="36"/>
    <n v="5"/>
    <n v="4375"/>
    <n v="21875"/>
    <n v="21875"/>
    <x v="0"/>
    <x v="0"/>
    <x v="0"/>
    <x v="0"/>
  </r>
  <r>
    <n v="1090"/>
    <s v="C1017"/>
    <x v="81"/>
    <s v="37 days"/>
    <x v="80"/>
    <x v="76"/>
    <s v="1 days"/>
    <x v="0"/>
    <s v="New"/>
    <s v="Deluxe"/>
    <n v="37"/>
    <n v="1"/>
    <n v="5906"/>
    <n v="5906"/>
    <n v="0"/>
    <x v="0"/>
    <x v="1"/>
    <x v="1"/>
    <x v="1"/>
  </r>
  <r>
    <n v="1091"/>
    <s v="C0296"/>
    <x v="82"/>
    <s v="28 days"/>
    <x v="56"/>
    <x v="68"/>
    <s v="2 days"/>
    <x v="4"/>
    <s v="Returning"/>
    <s v="Suite"/>
    <n v="28"/>
    <n v="2"/>
    <n v="4287"/>
    <n v="8574"/>
    <n v="8574"/>
    <x v="1"/>
    <x v="0"/>
    <x v="0"/>
    <x v="1"/>
  </r>
  <r>
    <n v="1092"/>
    <s v="C0720"/>
    <x v="83"/>
    <s v="28 days"/>
    <x v="81"/>
    <x v="3"/>
    <s v="2 days"/>
    <x v="0"/>
    <s v="Returning"/>
    <s v="Suite"/>
    <n v="28"/>
    <n v="2"/>
    <n v="6432"/>
    <n v="12864"/>
    <n v="0"/>
    <x v="0"/>
    <x v="1"/>
    <x v="1"/>
    <x v="1"/>
  </r>
  <r>
    <n v="1093"/>
    <s v="C0338"/>
    <x v="84"/>
    <s v="42 days"/>
    <x v="82"/>
    <x v="20"/>
    <s v="1 days"/>
    <x v="1"/>
    <s v="New"/>
    <s v="Suite"/>
    <n v="42"/>
    <n v="1"/>
    <n v="4107"/>
    <n v="4107"/>
    <n v="0"/>
    <x v="0"/>
    <x v="1"/>
    <x v="1"/>
    <x v="0"/>
  </r>
  <r>
    <n v="1094"/>
    <s v="C0879"/>
    <x v="27"/>
    <s v="43 days"/>
    <x v="83"/>
    <x v="77"/>
    <s v="2 days"/>
    <x v="3"/>
    <s v="New"/>
    <s v="Deluxe"/>
    <n v="43"/>
    <n v="2"/>
    <n v="6248"/>
    <n v="12496"/>
    <n v="0"/>
    <x v="0"/>
    <x v="1"/>
    <x v="1"/>
    <x v="0"/>
  </r>
  <r>
    <n v="1095"/>
    <s v="C1077"/>
    <x v="85"/>
    <s v="21 days"/>
    <x v="38"/>
    <x v="78"/>
    <s v="1 days"/>
    <x v="0"/>
    <s v="New"/>
    <s v="Standard"/>
    <n v="21"/>
    <n v="1"/>
    <n v="2548"/>
    <n v="2548"/>
    <n v="0"/>
    <x v="1"/>
    <x v="1"/>
    <x v="1"/>
    <x v="0"/>
  </r>
  <r>
    <n v="1096"/>
    <s v="C0792"/>
    <x v="86"/>
    <s v="24 days"/>
    <x v="84"/>
    <x v="42"/>
    <s v="1 days"/>
    <x v="1"/>
    <s v="Returning"/>
    <s v="Suite"/>
    <n v="24"/>
    <n v="1"/>
    <n v="7671"/>
    <n v="7671"/>
    <n v="0"/>
    <x v="0"/>
    <x v="1"/>
    <x v="1"/>
    <x v="1"/>
  </r>
  <r>
    <n v="1097"/>
    <s v="C0217"/>
    <x v="87"/>
    <s v="42 days"/>
    <x v="85"/>
    <x v="79"/>
    <s v="3 days"/>
    <x v="2"/>
    <s v="New"/>
    <s v="Suite"/>
    <n v="42"/>
    <n v="3"/>
    <n v="7908"/>
    <n v="23724"/>
    <n v="23724"/>
    <x v="1"/>
    <x v="0"/>
    <x v="0"/>
    <x v="0"/>
  </r>
  <r>
    <n v="1098"/>
    <s v="C0764"/>
    <x v="88"/>
    <s v="40 days"/>
    <x v="86"/>
    <x v="80"/>
    <s v="4 days"/>
    <x v="0"/>
    <s v="New"/>
    <s v="Suite"/>
    <n v="40"/>
    <n v="4"/>
    <n v="6361"/>
    <n v="25444"/>
    <n v="0"/>
    <x v="0"/>
    <x v="1"/>
    <x v="1"/>
    <x v="1"/>
  </r>
  <r>
    <n v="1099"/>
    <s v="C0188"/>
    <x v="58"/>
    <s v="2 days"/>
    <x v="55"/>
    <x v="81"/>
    <s v="2 days"/>
    <x v="3"/>
    <s v="Returning"/>
    <s v="Standard"/>
    <n v="2"/>
    <n v="2"/>
    <n v="8245"/>
    <n v="16490"/>
    <n v="0"/>
    <x v="1"/>
    <x v="1"/>
    <x v="1"/>
    <x v="0"/>
  </r>
  <r>
    <n v="1100"/>
    <s v="C0380"/>
    <x v="89"/>
    <s v="55 days"/>
    <x v="87"/>
    <x v="82"/>
    <s v="2 days"/>
    <x v="1"/>
    <s v="Returning"/>
    <s v="Suite"/>
    <n v="55"/>
    <n v="2"/>
    <n v="4680"/>
    <n v="9360"/>
    <n v="0"/>
    <x v="0"/>
    <x v="1"/>
    <x v="1"/>
    <x v="0"/>
  </r>
  <r>
    <n v="1101"/>
    <s v="C0493"/>
    <x v="90"/>
    <s v="8 days"/>
    <x v="0"/>
    <x v="0"/>
    <s v="3 days"/>
    <x v="0"/>
    <s v="New"/>
    <s v="Suite"/>
    <n v="8"/>
    <n v="3"/>
    <n v="5546"/>
    <n v="16638"/>
    <n v="16638"/>
    <x v="0"/>
    <x v="0"/>
    <x v="0"/>
    <x v="0"/>
  </r>
  <r>
    <n v="1102"/>
    <s v="C1065"/>
    <x v="91"/>
    <s v="48 days"/>
    <x v="88"/>
    <x v="83"/>
    <s v="3 days"/>
    <x v="2"/>
    <s v="New"/>
    <s v="Deluxe"/>
    <n v="48"/>
    <n v="3"/>
    <n v="5333"/>
    <n v="15999"/>
    <n v="15999"/>
    <x v="0"/>
    <x v="0"/>
    <x v="0"/>
    <x v="1"/>
  </r>
  <r>
    <n v="1103"/>
    <s v="C1181"/>
    <x v="77"/>
    <s v="27 days"/>
    <x v="55"/>
    <x v="7"/>
    <s v="3 days"/>
    <x v="0"/>
    <s v="New"/>
    <s v="Suite"/>
    <n v="27"/>
    <n v="3"/>
    <n v="7785"/>
    <n v="23355"/>
    <n v="0"/>
    <x v="1"/>
    <x v="1"/>
    <x v="1"/>
    <x v="0"/>
  </r>
  <r>
    <n v="1104"/>
    <s v="C0015"/>
    <x v="92"/>
    <s v="22 days"/>
    <x v="43"/>
    <x v="73"/>
    <s v="5 days"/>
    <x v="1"/>
    <s v="Returning"/>
    <s v="Deluxe"/>
    <n v="22"/>
    <n v="5"/>
    <n v="3897"/>
    <n v="19485"/>
    <n v="0"/>
    <x v="0"/>
    <x v="1"/>
    <x v="1"/>
    <x v="1"/>
  </r>
  <r>
    <n v="1105"/>
    <s v="C0065"/>
    <x v="93"/>
    <s v="37 days"/>
    <x v="66"/>
    <x v="84"/>
    <s v="5 days"/>
    <x v="0"/>
    <s v="Returning"/>
    <s v="Standard"/>
    <n v="37"/>
    <n v="5"/>
    <n v="8424"/>
    <n v="42120"/>
    <n v="0"/>
    <x v="0"/>
    <x v="1"/>
    <x v="1"/>
    <x v="0"/>
  </r>
  <r>
    <n v="1106"/>
    <s v="C0521"/>
    <x v="94"/>
    <s v="27 days"/>
    <x v="89"/>
    <x v="85"/>
    <s v="5 days"/>
    <x v="3"/>
    <s v="New"/>
    <s v="Suite"/>
    <n v="27"/>
    <n v="5"/>
    <n v="6326"/>
    <n v="31630"/>
    <n v="0"/>
    <x v="1"/>
    <x v="1"/>
    <x v="1"/>
    <x v="0"/>
  </r>
  <r>
    <n v="1107"/>
    <s v="C1368"/>
    <x v="95"/>
    <s v="57 days"/>
    <x v="90"/>
    <x v="86"/>
    <s v="1 days"/>
    <x v="4"/>
    <s v="Returning"/>
    <s v="Suite"/>
    <n v="57"/>
    <n v="1"/>
    <n v="7074"/>
    <n v="7074"/>
    <n v="0"/>
    <x v="1"/>
    <x v="1"/>
    <x v="1"/>
    <x v="1"/>
  </r>
  <r>
    <n v="1108"/>
    <s v="C1153"/>
    <x v="79"/>
    <s v="29 days"/>
    <x v="91"/>
    <x v="87"/>
    <s v="2 days"/>
    <x v="1"/>
    <s v="New"/>
    <s v="Deluxe"/>
    <n v="29"/>
    <n v="2"/>
    <n v="3331"/>
    <n v="6662"/>
    <n v="0"/>
    <x v="0"/>
    <x v="1"/>
    <x v="1"/>
    <x v="0"/>
  </r>
  <r>
    <n v="1109"/>
    <s v="C0648"/>
    <x v="96"/>
    <s v="3 days"/>
    <x v="92"/>
    <x v="88"/>
    <s v="4 days"/>
    <x v="1"/>
    <s v="New"/>
    <s v="Standard"/>
    <n v="3"/>
    <n v="4"/>
    <n v="5197"/>
    <n v="20788"/>
    <n v="0"/>
    <x v="0"/>
    <x v="1"/>
    <x v="1"/>
    <x v="0"/>
  </r>
  <r>
    <n v="1110"/>
    <s v="C1496"/>
    <x v="97"/>
    <s v="44 days"/>
    <x v="67"/>
    <x v="26"/>
    <s v="1 days"/>
    <x v="1"/>
    <s v="Returning"/>
    <s v="Standard"/>
    <n v="44"/>
    <n v="1"/>
    <n v="8210"/>
    <n v="8210"/>
    <n v="0"/>
    <x v="0"/>
    <x v="1"/>
    <x v="1"/>
    <x v="0"/>
  </r>
  <r>
    <n v="1111"/>
    <s v="C1087"/>
    <x v="98"/>
    <s v="13 days"/>
    <x v="87"/>
    <x v="82"/>
    <s v="2 days"/>
    <x v="1"/>
    <s v="New"/>
    <s v="Deluxe"/>
    <n v="13"/>
    <n v="2"/>
    <n v="7277"/>
    <n v="14554"/>
    <n v="0"/>
    <x v="0"/>
    <x v="1"/>
    <x v="1"/>
    <x v="0"/>
  </r>
  <r>
    <n v="1112"/>
    <s v="C1163"/>
    <x v="99"/>
    <s v="45 days"/>
    <x v="93"/>
    <x v="89"/>
    <s v="2 days"/>
    <x v="0"/>
    <s v="New"/>
    <s v="Standard"/>
    <n v="45"/>
    <n v="2"/>
    <n v="5235"/>
    <n v="10470"/>
    <n v="10470"/>
    <x v="0"/>
    <x v="0"/>
    <x v="0"/>
    <x v="1"/>
  </r>
  <r>
    <n v="1113"/>
    <s v="C0593"/>
    <x v="100"/>
    <s v="10 days"/>
    <x v="92"/>
    <x v="90"/>
    <s v="3 days"/>
    <x v="3"/>
    <s v="Returning"/>
    <s v="Standard"/>
    <n v="10"/>
    <n v="3"/>
    <n v="7919"/>
    <n v="23757"/>
    <n v="23757"/>
    <x v="1"/>
    <x v="0"/>
    <x v="0"/>
    <x v="1"/>
  </r>
  <r>
    <n v="1114"/>
    <s v="C0392"/>
    <x v="101"/>
    <s v="36 days"/>
    <x v="94"/>
    <x v="91"/>
    <s v="3 days"/>
    <x v="2"/>
    <s v="New"/>
    <s v="Standard"/>
    <n v="36"/>
    <n v="3"/>
    <n v="2581"/>
    <n v="7743"/>
    <n v="0"/>
    <x v="0"/>
    <x v="1"/>
    <x v="1"/>
    <x v="0"/>
  </r>
  <r>
    <n v="1115"/>
    <s v="C0419"/>
    <x v="102"/>
    <s v="9 days"/>
    <x v="2"/>
    <x v="2"/>
    <s v="1 days"/>
    <x v="3"/>
    <s v="New"/>
    <s v="Standard"/>
    <n v="9"/>
    <n v="1"/>
    <n v="2586"/>
    <n v="2586"/>
    <n v="2586"/>
    <x v="1"/>
    <x v="0"/>
    <x v="0"/>
    <x v="0"/>
  </r>
  <r>
    <n v="1116"/>
    <s v="C0289"/>
    <x v="103"/>
    <s v="54 days"/>
    <x v="95"/>
    <x v="92"/>
    <s v="3 days"/>
    <x v="1"/>
    <s v="Returning"/>
    <s v="Standard"/>
    <n v="54"/>
    <n v="3"/>
    <n v="8868"/>
    <n v="26604"/>
    <n v="0"/>
    <x v="1"/>
    <x v="1"/>
    <x v="1"/>
    <x v="1"/>
  </r>
  <r>
    <n v="1117"/>
    <s v="C0379"/>
    <x v="93"/>
    <s v="56 days"/>
    <x v="38"/>
    <x v="93"/>
    <s v="2 days"/>
    <x v="0"/>
    <s v="New"/>
    <s v="Standard"/>
    <n v="56"/>
    <n v="2"/>
    <n v="4563"/>
    <n v="9126"/>
    <n v="0"/>
    <x v="0"/>
    <x v="1"/>
    <x v="1"/>
    <x v="0"/>
  </r>
  <r>
    <n v="1118"/>
    <s v="C0231"/>
    <x v="43"/>
    <s v="55 days"/>
    <x v="73"/>
    <x v="70"/>
    <s v="3 days"/>
    <x v="0"/>
    <s v="New"/>
    <s v="Standard"/>
    <n v="55"/>
    <n v="3"/>
    <n v="3321"/>
    <n v="9963"/>
    <n v="0"/>
    <x v="1"/>
    <x v="1"/>
    <x v="1"/>
    <x v="1"/>
  </r>
  <r>
    <n v="1119"/>
    <s v="C1018"/>
    <x v="104"/>
    <s v="27 days"/>
    <x v="96"/>
    <x v="94"/>
    <s v="5 days"/>
    <x v="1"/>
    <s v="Returning"/>
    <s v="Standard"/>
    <n v="27"/>
    <n v="5"/>
    <n v="2662"/>
    <n v="13310"/>
    <n v="0"/>
    <x v="0"/>
    <x v="1"/>
    <x v="1"/>
    <x v="0"/>
  </r>
  <r>
    <n v="1120"/>
    <s v="C0041"/>
    <x v="105"/>
    <s v="34 days"/>
    <x v="97"/>
    <x v="95"/>
    <s v="3 days"/>
    <x v="0"/>
    <s v="Returning"/>
    <s v="Suite"/>
    <n v="34"/>
    <n v="3"/>
    <n v="6239"/>
    <n v="18717"/>
    <n v="18717"/>
    <x v="1"/>
    <x v="0"/>
    <x v="0"/>
    <x v="1"/>
  </r>
  <r>
    <n v="1121"/>
    <s v="C1052"/>
    <x v="106"/>
    <s v="51 days"/>
    <x v="98"/>
    <x v="96"/>
    <s v="2 days"/>
    <x v="1"/>
    <s v="Returning"/>
    <s v="Deluxe"/>
    <n v="51"/>
    <n v="2"/>
    <n v="4897"/>
    <n v="9794"/>
    <n v="9794"/>
    <x v="1"/>
    <x v="0"/>
    <x v="0"/>
    <x v="1"/>
  </r>
  <r>
    <n v="1122"/>
    <s v="C0135"/>
    <x v="18"/>
    <s v="1 days"/>
    <x v="57"/>
    <x v="56"/>
    <s v="1 days"/>
    <x v="3"/>
    <s v="New"/>
    <s v="Standard"/>
    <n v="1"/>
    <n v="1"/>
    <n v="4432"/>
    <n v="4432"/>
    <n v="4432"/>
    <x v="0"/>
    <x v="0"/>
    <x v="0"/>
    <x v="1"/>
  </r>
  <r>
    <n v="1123"/>
    <s v="C0201"/>
    <x v="107"/>
    <s v="32 days"/>
    <x v="99"/>
    <x v="97"/>
    <s v="4 days"/>
    <x v="4"/>
    <s v="Returning"/>
    <s v="Deluxe"/>
    <n v="32"/>
    <n v="4"/>
    <n v="5228"/>
    <n v="20912"/>
    <n v="20912"/>
    <x v="0"/>
    <x v="0"/>
    <x v="0"/>
    <x v="1"/>
  </r>
  <r>
    <n v="1124"/>
    <s v="C0780"/>
    <x v="108"/>
    <s v="25 days"/>
    <x v="100"/>
    <x v="98"/>
    <s v="3 days"/>
    <x v="0"/>
    <s v="New"/>
    <s v="Standard"/>
    <n v="25"/>
    <n v="3"/>
    <n v="6035"/>
    <n v="18105"/>
    <n v="0"/>
    <x v="1"/>
    <x v="1"/>
    <x v="1"/>
    <x v="0"/>
  </r>
  <r>
    <n v="1125"/>
    <s v="C0930"/>
    <x v="59"/>
    <s v="29 days"/>
    <x v="101"/>
    <x v="99"/>
    <s v="2 days"/>
    <x v="1"/>
    <s v="Returning"/>
    <s v="Standard"/>
    <n v="29"/>
    <n v="2"/>
    <n v="8446"/>
    <n v="16892"/>
    <n v="0"/>
    <x v="0"/>
    <x v="1"/>
    <x v="1"/>
    <x v="0"/>
  </r>
  <r>
    <n v="1126"/>
    <s v="C1057"/>
    <x v="109"/>
    <s v="7 days"/>
    <x v="102"/>
    <x v="84"/>
    <s v="4 days"/>
    <x v="1"/>
    <s v="New"/>
    <s v="Suite"/>
    <n v="7"/>
    <n v="4"/>
    <n v="8456"/>
    <n v="33824"/>
    <n v="33824"/>
    <x v="0"/>
    <x v="0"/>
    <x v="0"/>
    <x v="1"/>
  </r>
  <r>
    <n v="1127"/>
    <s v="C1072"/>
    <x v="110"/>
    <s v="49 days"/>
    <x v="103"/>
    <x v="100"/>
    <s v="4 days"/>
    <x v="0"/>
    <s v="New"/>
    <s v="Deluxe"/>
    <n v="49"/>
    <n v="4"/>
    <n v="5946"/>
    <n v="23784"/>
    <n v="0"/>
    <x v="1"/>
    <x v="1"/>
    <x v="1"/>
    <x v="1"/>
  </r>
  <r>
    <n v="1128"/>
    <s v="C0503"/>
    <x v="111"/>
    <s v="3 days"/>
    <x v="104"/>
    <x v="101"/>
    <s v="5 days"/>
    <x v="2"/>
    <s v="Returning"/>
    <s v="Deluxe"/>
    <n v="3"/>
    <n v="5"/>
    <n v="7711"/>
    <n v="38555"/>
    <n v="38555"/>
    <x v="1"/>
    <x v="0"/>
    <x v="0"/>
    <x v="1"/>
  </r>
  <r>
    <n v="1129"/>
    <s v="C0407"/>
    <x v="112"/>
    <s v="20 days"/>
    <x v="17"/>
    <x v="102"/>
    <s v="4 days"/>
    <x v="1"/>
    <s v="New"/>
    <s v="Suite"/>
    <n v="20"/>
    <n v="4"/>
    <n v="8824"/>
    <n v="35296"/>
    <n v="0"/>
    <x v="1"/>
    <x v="1"/>
    <x v="1"/>
    <x v="1"/>
  </r>
  <r>
    <n v="1130"/>
    <s v="C0805"/>
    <x v="113"/>
    <s v="20 days"/>
    <x v="59"/>
    <x v="103"/>
    <s v="2 days"/>
    <x v="0"/>
    <s v="New"/>
    <s v="Suite"/>
    <n v="20"/>
    <n v="2"/>
    <n v="5290"/>
    <n v="10580"/>
    <n v="10580"/>
    <x v="0"/>
    <x v="0"/>
    <x v="0"/>
    <x v="0"/>
  </r>
  <r>
    <n v="1131"/>
    <s v="C0099"/>
    <x v="67"/>
    <s v="53 days"/>
    <x v="105"/>
    <x v="104"/>
    <s v="2 days"/>
    <x v="1"/>
    <s v="Returning"/>
    <s v="Deluxe"/>
    <n v="53"/>
    <n v="2"/>
    <n v="5207"/>
    <n v="10414"/>
    <n v="0"/>
    <x v="0"/>
    <x v="1"/>
    <x v="1"/>
    <x v="1"/>
  </r>
  <r>
    <n v="1132"/>
    <s v="C0684"/>
    <x v="114"/>
    <s v="30 days"/>
    <x v="28"/>
    <x v="105"/>
    <s v="3 days"/>
    <x v="2"/>
    <s v="New"/>
    <s v="Standard"/>
    <n v="30"/>
    <n v="3"/>
    <n v="8478"/>
    <n v="25434"/>
    <n v="25434"/>
    <x v="0"/>
    <x v="0"/>
    <x v="0"/>
    <x v="1"/>
  </r>
  <r>
    <n v="1133"/>
    <s v="C0726"/>
    <x v="115"/>
    <s v="35 days"/>
    <x v="105"/>
    <x v="89"/>
    <s v="3 days"/>
    <x v="4"/>
    <s v="New"/>
    <s v="Standard"/>
    <n v="35"/>
    <n v="3"/>
    <n v="6433"/>
    <n v="19299"/>
    <n v="0"/>
    <x v="1"/>
    <x v="1"/>
    <x v="1"/>
    <x v="1"/>
  </r>
  <r>
    <n v="1134"/>
    <s v="C0961"/>
    <x v="116"/>
    <s v="35 days"/>
    <x v="106"/>
    <x v="106"/>
    <s v="3 days"/>
    <x v="2"/>
    <s v="New"/>
    <s v="Deluxe"/>
    <n v="35"/>
    <n v="3"/>
    <n v="5885"/>
    <n v="17655"/>
    <n v="17655"/>
    <x v="0"/>
    <x v="0"/>
    <x v="0"/>
    <x v="1"/>
  </r>
  <r>
    <n v="1135"/>
    <s v="C0613"/>
    <x v="80"/>
    <s v="49 days"/>
    <x v="107"/>
    <x v="107"/>
    <s v="4 days"/>
    <x v="3"/>
    <s v="Returning"/>
    <s v="Standard"/>
    <n v="49"/>
    <n v="4"/>
    <n v="3422"/>
    <n v="13688"/>
    <n v="0"/>
    <x v="1"/>
    <x v="1"/>
    <x v="1"/>
    <x v="1"/>
  </r>
  <r>
    <n v="1136"/>
    <s v="C1486"/>
    <x v="117"/>
    <s v="39 days"/>
    <x v="108"/>
    <x v="5"/>
    <s v="4 days"/>
    <x v="0"/>
    <s v="Returning"/>
    <s v="Suite"/>
    <n v="39"/>
    <n v="4"/>
    <n v="4675"/>
    <n v="18700"/>
    <n v="0"/>
    <x v="1"/>
    <x v="1"/>
    <x v="1"/>
    <x v="1"/>
  </r>
  <r>
    <n v="1137"/>
    <s v="C0643"/>
    <x v="118"/>
    <s v="27 days"/>
    <x v="109"/>
    <x v="108"/>
    <s v="5 days"/>
    <x v="2"/>
    <s v="Returning"/>
    <s v="Suite"/>
    <n v="27"/>
    <n v="5"/>
    <n v="8045"/>
    <n v="40225"/>
    <n v="0"/>
    <x v="1"/>
    <x v="1"/>
    <x v="1"/>
    <x v="1"/>
  </r>
  <r>
    <n v="1138"/>
    <s v="C1029"/>
    <x v="36"/>
    <s v="26 days"/>
    <x v="110"/>
    <x v="109"/>
    <s v="3 days"/>
    <x v="4"/>
    <s v="Returning"/>
    <s v="Suite"/>
    <n v="26"/>
    <n v="3"/>
    <n v="4082"/>
    <n v="12246"/>
    <n v="0"/>
    <x v="1"/>
    <x v="1"/>
    <x v="1"/>
    <x v="0"/>
  </r>
  <r>
    <n v="1139"/>
    <s v="C1242"/>
    <x v="119"/>
    <s v="14 days"/>
    <x v="111"/>
    <x v="110"/>
    <s v="1 days"/>
    <x v="1"/>
    <s v="Returning"/>
    <s v="Deluxe"/>
    <n v="14"/>
    <n v="1"/>
    <n v="3064"/>
    <n v="3064"/>
    <n v="3064"/>
    <x v="1"/>
    <x v="0"/>
    <x v="0"/>
    <x v="1"/>
  </r>
  <r>
    <n v="1140"/>
    <s v="C0503"/>
    <x v="120"/>
    <s v="17 days"/>
    <x v="112"/>
    <x v="33"/>
    <s v="5 days"/>
    <x v="0"/>
    <s v="Returning"/>
    <s v="Deluxe"/>
    <n v="17"/>
    <n v="5"/>
    <n v="5758"/>
    <n v="28790"/>
    <n v="28790"/>
    <x v="1"/>
    <x v="0"/>
    <x v="0"/>
    <x v="1"/>
  </r>
  <r>
    <n v="1141"/>
    <s v="C0767"/>
    <x v="44"/>
    <s v="18 days"/>
    <x v="43"/>
    <x v="28"/>
    <s v="1 days"/>
    <x v="2"/>
    <s v="Returning"/>
    <s v="Deluxe"/>
    <n v="18"/>
    <n v="1"/>
    <n v="5097"/>
    <n v="5097"/>
    <n v="5097"/>
    <x v="1"/>
    <x v="0"/>
    <x v="0"/>
    <x v="1"/>
  </r>
  <r>
    <n v="1142"/>
    <s v="C0398"/>
    <x v="121"/>
    <s v="45 days"/>
    <x v="113"/>
    <x v="7"/>
    <s v="4 days"/>
    <x v="4"/>
    <s v="Returning"/>
    <s v="Standard"/>
    <n v="45"/>
    <n v="4"/>
    <n v="5000"/>
    <n v="20000"/>
    <n v="0"/>
    <x v="0"/>
    <x v="1"/>
    <x v="1"/>
    <x v="0"/>
  </r>
  <r>
    <n v="1143"/>
    <s v="C0871"/>
    <x v="122"/>
    <s v="52 days"/>
    <x v="8"/>
    <x v="69"/>
    <s v="5 days"/>
    <x v="2"/>
    <s v="New"/>
    <s v="Deluxe"/>
    <n v="52"/>
    <n v="5"/>
    <n v="7066"/>
    <n v="35330"/>
    <n v="0"/>
    <x v="1"/>
    <x v="1"/>
    <x v="1"/>
    <x v="0"/>
  </r>
  <r>
    <n v="1144"/>
    <s v="C0795"/>
    <x v="123"/>
    <s v="29 days"/>
    <x v="114"/>
    <x v="111"/>
    <s v="5 days"/>
    <x v="3"/>
    <s v="New"/>
    <s v="Deluxe"/>
    <n v="29"/>
    <n v="5"/>
    <n v="3487"/>
    <n v="17435"/>
    <n v="0"/>
    <x v="0"/>
    <x v="1"/>
    <x v="1"/>
    <x v="0"/>
  </r>
  <r>
    <n v="1145"/>
    <s v="C0393"/>
    <x v="37"/>
    <s v="20 days"/>
    <x v="22"/>
    <x v="22"/>
    <s v="2 days"/>
    <x v="0"/>
    <s v="New"/>
    <s v="Suite"/>
    <n v="20"/>
    <n v="2"/>
    <n v="6136"/>
    <n v="12272"/>
    <n v="0"/>
    <x v="0"/>
    <x v="1"/>
    <x v="1"/>
    <x v="1"/>
  </r>
  <r>
    <n v="1146"/>
    <s v="C0207"/>
    <x v="124"/>
    <s v="53 days"/>
    <x v="42"/>
    <x v="70"/>
    <s v="4 days"/>
    <x v="1"/>
    <s v="New"/>
    <s v="Standard"/>
    <n v="53"/>
    <n v="4"/>
    <n v="8530"/>
    <n v="34120"/>
    <n v="0"/>
    <x v="0"/>
    <x v="1"/>
    <x v="1"/>
    <x v="1"/>
  </r>
  <r>
    <n v="1147"/>
    <s v="C1039"/>
    <x v="125"/>
    <s v="27 days"/>
    <x v="40"/>
    <x v="71"/>
    <s v="4 days"/>
    <x v="4"/>
    <s v="Returning"/>
    <s v="Standard"/>
    <n v="27"/>
    <n v="4"/>
    <n v="2723"/>
    <n v="10892"/>
    <n v="10892"/>
    <x v="0"/>
    <x v="0"/>
    <x v="0"/>
    <x v="1"/>
  </r>
  <r>
    <n v="1148"/>
    <s v="C0892"/>
    <x v="61"/>
    <s v="18 days"/>
    <x v="115"/>
    <x v="112"/>
    <s v="5 days"/>
    <x v="2"/>
    <s v="New"/>
    <s v="Suite"/>
    <n v="18"/>
    <n v="5"/>
    <n v="8797"/>
    <n v="43985"/>
    <n v="0"/>
    <x v="0"/>
    <x v="1"/>
    <x v="1"/>
    <x v="0"/>
  </r>
  <r>
    <n v="1149"/>
    <s v="C1485"/>
    <x v="126"/>
    <s v="4 days"/>
    <x v="61"/>
    <x v="49"/>
    <s v="4 days"/>
    <x v="0"/>
    <s v="New"/>
    <s v="Standard"/>
    <n v="4"/>
    <n v="4"/>
    <n v="2850"/>
    <n v="11400"/>
    <n v="11400"/>
    <x v="1"/>
    <x v="0"/>
    <x v="0"/>
    <x v="1"/>
  </r>
  <r>
    <n v="1150"/>
    <s v="C0864"/>
    <x v="45"/>
    <s v="1 days"/>
    <x v="34"/>
    <x v="113"/>
    <s v="5 days"/>
    <x v="2"/>
    <s v="New"/>
    <s v="Deluxe"/>
    <n v="1"/>
    <n v="5"/>
    <n v="4428"/>
    <n v="22140"/>
    <n v="22140"/>
    <x v="0"/>
    <x v="0"/>
    <x v="0"/>
    <x v="0"/>
  </r>
  <r>
    <n v="1151"/>
    <s v="C0743"/>
    <x v="127"/>
    <s v="50 days"/>
    <x v="116"/>
    <x v="114"/>
    <s v="2 days"/>
    <x v="0"/>
    <s v="New"/>
    <s v="Standard"/>
    <n v="50"/>
    <n v="2"/>
    <n v="2848"/>
    <n v="5696"/>
    <n v="0"/>
    <x v="0"/>
    <x v="1"/>
    <x v="1"/>
    <x v="0"/>
  </r>
  <r>
    <n v="1152"/>
    <s v="C1265"/>
    <x v="128"/>
    <s v="1 days"/>
    <x v="117"/>
    <x v="115"/>
    <s v="5 days"/>
    <x v="3"/>
    <s v="New"/>
    <s v="Suite"/>
    <n v="1"/>
    <n v="5"/>
    <n v="6777"/>
    <n v="33885"/>
    <n v="0"/>
    <x v="0"/>
    <x v="1"/>
    <x v="1"/>
    <x v="0"/>
  </r>
  <r>
    <n v="1153"/>
    <s v="C0564"/>
    <x v="129"/>
    <s v="58 days"/>
    <x v="118"/>
    <x v="101"/>
    <s v="4 days"/>
    <x v="2"/>
    <s v="Returning"/>
    <s v="Standard"/>
    <n v="58"/>
    <n v="4"/>
    <n v="7232"/>
    <n v="28928"/>
    <n v="0"/>
    <x v="1"/>
    <x v="1"/>
    <x v="1"/>
    <x v="0"/>
  </r>
  <r>
    <n v="1154"/>
    <s v="C1021"/>
    <x v="130"/>
    <s v="26 days"/>
    <x v="119"/>
    <x v="116"/>
    <s v="4 days"/>
    <x v="3"/>
    <s v="Returning"/>
    <s v="Suite"/>
    <n v="26"/>
    <n v="4"/>
    <n v="3517"/>
    <n v="14068"/>
    <n v="0"/>
    <x v="0"/>
    <x v="1"/>
    <x v="1"/>
    <x v="0"/>
  </r>
  <r>
    <n v="1155"/>
    <s v="C0096"/>
    <x v="55"/>
    <s v="45 days"/>
    <x v="120"/>
    <x v="117"/>
    <s v="5 days"/>
    <x v="4"/>
    <s v="New"/>
    <s v="Deluxe"/>
    <n v="45"/>
    <n v="5"/>
    <n v="4726"/>
    <n v="23630"/>
    <n v="0"/>
    <x v="0"/>
    <x v="1"/>
    <x v="1"/>
    <x v="1"/>
  </r>
  <r>
    <n v="1156"/>
    <s v="C0485"/>
    <x v="131"/>
    <s v="20 days"/>
    <x v="121"/>
    <x v="118"/>
    <s v="5 days"/>
    <x v="3"/>
    <s v="New"/>
    <s v="Deluxe"/>
    <n v="20"/>
    <n v="5"/>
    <n v="7367"/>
    <n v="36835"/>
    <n v="0"/>
    <x v="0"/>
    <x v="1"/>
    <x v="1"/>
    <x v="1"/>
  </r>
  <r>
    <n v="1157"/>
    <s v="C1431"/>
    <x v="132"/>
    <s v="52 days"/>
    <x v="3"/>
    <x v="119"/>
    <s v="5 days"/>
    <x v="0"/>
    <s v="New"/>
    <s v="Suite"/>
    <n v="52"/>
    <n v="5"/>
    <n v="7611"/>
    <n v="38055"/>
    <n v="0"/>
    <x v="0"/>
    <x v="1"/>
    <x v="1"/>
    <x v="0"/>
  </r>
  <r>
    <n v="1158"/>
    <s v="C0231"/>
    <x v="133"/>
    <s v="23 days"/>
    <x v="69"/>
    <x v="67"/>
    <s v="3 days"/>
    <x v="4"/>
    <s v="New"/>
    <s v="Deluxe"/>
    <n v="23"/>
    <n v="3"/>
    <n v="8707"/>
    <n v="26121"/>
    <n v="26121"/>
    <x v="1"/>
    <x v="0"/>
    <x v="0"/>
    <x v="1"/>
  </r>
  <r>
    <n v="1159"/>
    <s v="C0749"/>
    <x v="134"/>
    <s v="10 days"/>
    <x v="122"/>
    <x v="120"/>
    <s v="4 days"/>
    <x v="2"/>
    <s v="Returning"/>
    <s v="Deluxe"/>
    <n v="10"/>
    <n v="4"/>
    <n v="6624"/>
    <n v="26496"/>
    <n v="26496"/>
    <x v="0"/>
    <x v="0"/>
    <x v="0"/>
    <x v="1"/>
  </r>
  <r>
    <n v="1160"/>
    <s v="C1195"/>
    <x v="135"/>
    <s v="59 days"/>
    <x v="71"/>
    <x v="121"/>
    <s v="4 days"/>
    <x v="2"/>
    <s v="New"/>
    <s v="Standard"/>
    <n v="59"/>
    <n v="4"/>
    <n v="4919"/>
    <n v="19676"/>
    <n v="19676"/>
    <x v="1"/>
    <x v="0"/>
    <x v="0"/>
    <x v="0"/>
  </r>
  <r>
    <n v="1161"/>
    <s v="C0541"/>
    <x v="85"/>
    <s v="11 days"/>
    <x v="123"/>
    <x v="122"/>
    <s v="3 days"/>
    <x v="0"/>
    <s v="Returning"/>
    <s v="Deluxe"/>
    <n v="11"/>
    <n v="3"/>
    <n v="8740"/>
    <n v="26220"/>
    <n v="0"/>
    <x v="1"/>
    <x v="1"/>
    <x v="1"/>
    <x v="0"/>
  </r>
  <r>
    <n v="1162"/>
    <s v="C1060"/>
    <x v="136"/>
    <s v="41 days"/>
    <x v="124"/>
    <x v="123"/>
    <s v="5 days"/>
    <x v="1"/>
    <s v="New"/>
    <s v="Suite"/>
    <n v="41"/>
    <n v="5"/>
    <n v="4393"/>
    <n v="21965"/>
    <n v="0"/>
    <x v="0"/>
    <x v="1"/>
    <x v="1"/>
    <x v="1"/>
  </r>
  <r>
    <n v="1163"/>
    <s v="C0525"/>
    <x v="137"/>
    <s v="41 days"/>
    <x v="125"/>
    <x v="8"/>
    <s v="2 days"/>
    <x v="1"/>
    <s v="Returning"/>
    <s v="Deluxe"/>
    <n v="41"/>
    <n v="2"/>
    <n v="8061"/>
    <n v="16122"/>
    <n v="0"/>
    <x v="0"/>
    <x v="1"/>
    <x v="1"/>
    <x v="1"/>
  </r>
  <r>
    <n v="1164"/>
    <s v="C1184"/>
    <x v="138"/>
    <s v="5 days"/>
    <x v="126"/>
    <x v="40"/>
    <s v="5 days"/>
    <x v="2"/>
    <s v="Returning"/>
    <s v="Standard"/>
    <n v="5"/>
    <n v="5"/>
    <n v="7822"/>
    <n v="39110"/>
    <n v="0"/>
    <x v="1"/>
    <x v="1"/>
    <x v="1"/>
    <x v="1"/>
  </r>
  <r>
    <n v="1165"/>
    <s v="C1267"/>
    <x v="139"/>
    <s v="58 days"/>
    <x v="127"/>
    <x v="124"/>
    <s v="5 days"/>
    <x v="0"/>
    <s v="Returning"/>
    <s v="Suite"/>
    <n v="58"/>
    <n v="5"/>
    <n v="5540"/>
    <n v="27700"/>
    <n v="27700"/>
    <x v="0"/>
    <x v="0"/>
    <x v="0"/>
    <x v="1"/>
  </r>
  <r>
    <n v="1166"/>
    <s v="C1110"/>
    <x v="135"/>
    <s v="1 days"/>
    <x v="128"/>
    <x v="120"/>
    <s v="3 days"/>
    <x v="1"/>
    <s v="New"/>
    <s v="Deluxe"/>
    <n v="1"/>
    <n v="3"/>
    <n v="4568"/>
    <n v="13704"/>
    <n v="0"/>
    <x v="0"/>
    <x v="1"/>
    <x v="1"/>
    <x v="0"/>
  </r>
  <r>
    <n v="1167"/>
    <s v="C0578"/>
    <x v="83"/>
    <s v="17 days"/>
    <x v="129"/>
    <x v="125"/>
    <s v="4 days"/>
    <x v="3"/>
    <s v="New"/>
    <s v="Deluxe"/>
    <n v="17"/>
    <n v="4"/>
    <n v="3625"/>
    <n v="14500"/>
    <n v="14500"/>
    <x v="0"/>
    <x v="0"/>
    <x v="0"/>
    <x v="1"/>
  </r>
  <r>
    <n v="1168"/>
    <s v="C0682"/>
    <x v="140"/>
    <s v="22 days"/>
    <x v="130"/>
    <x v="126"/>
    <s v="5 days"/>
    <x v="2"/>
    <s v="Returning"/>
    <s v="Deluxe"/>
    <n v="22"/>
    <n v="5"/>
    <n v="5617"/>
    <n v="28085"/>
    <n v="28085"/>
    <x v="1"/>
    <x v="0"/>
    <x v="0"/>
    <x v="0"/>
  </r>
  <r>
    <n v="1169"/>
    <s v="C0557"/>
    <x v="141"/>
    <s v="34 days"/>
    <x v="131"/>
    <x v="127"/>
    <s v="4 days"/>
    <x v="3"/>
    <s v="New"/>
    <s v="Suite"/>
    <n v="34"/>
    <n v="4"/>
    <n v="6661"/>
    <n v="26644"/>
    <n v="0"/>
    <x v="1"/>
    <x v="1"/>
    <x v="1"/>
    <x v="0"/>
  </r>
  <r>
    <n v="1170"/>
    <s v="C1013"/>
    <x v="142"/>
    <s v="56 days"/>
    <x v="132"/>
    <x v="128"/>
    <s v="1 days"/>
    <x v="0"/>
    <s v="New"/>
    <s v="Standard"/>
    <n v="56"/>
    <n v="1"/>
    <n v="6542"/>
    <n v="6542"/>
    <n v="0"/>
    <x v="0"/>
    <x v="1"/>
    <x v="1"/>
    <x v="1"/>
  </r>
  <r>
    <n v="1171"/>
    <s v="C0646"/>
    <x v="143"/>
    <s v="45 days"/>
    <x v="32"/>
    <x v="32"/>
    <s v="4 days"/>
    <x v="3"/>
    <s v="Returning"/>
    <s v="Suite"/>
    <n v="45"/>
    <n v="4"/>
    <n v="7730"/>
    <n v="30920"/>
    <n v="30920"/>
    <x v="0"/>
    <x v="0"/>
    <x v="0"/>
    <x v="1"/>
  </r>
  <r>
    <n v="1172"/>
    <s v="C0796"/>
    <x v="144"/>
    <s v="41 days"/>
    <x v="32"/>
    <x v="129"/>
    <s v="2 days"/>
    <x v="1"/>
    <s v="New"/>
    <s v="Suite"/>
    <n v="41"/>
    <n v="2"/>
    <n v="6933"/>
    <n v="13866"/>
    <n v="0"/>
    <x v="1"/>
    <x v="1"/>
    <x v="1"/>
    <x v="1"/>
  </r>
  <r>
    <n v="1173"/>
    <s v="C1052"/>
    <x v="145"/>
    <s v="29 days"/>
    <x v="133"/>
    <x v="130"/>
    <s v="2 days"/>
    <x v="1"/>
    <s v="Returning"/>
    <s v="Standard"/>
    <n v="29"/>
    <n v="2"/>
    <n v="4670"/>
    <n v="9340"/>
    <n v="9340"/>
    <x v="1"/>
    <x v="0"/>
    <x v="0"/>
    <x v="0"/>
  </r>
  <r>
    <n v="1174"/>
    <s v="C1364"/>
    <x v="144"/>
    <s v="4 days"/>
    <x v="59"/>
    <x v="48"/>
    <s v="5 days"/>
    <x v="4"/>
    <s v="New"/>
    <s v="Suite"/>
    <n v="4"/>
    <n v="5"/>
    <n v="8324"/>
    <n v="41620"/>
    <n v="0"/>
    <x v="1"/>
    <x v="1"/>
    <x v="1"/>
    <x v="0"/>
  </r>
  <r>
    <n v="1175"/>
    <s v="C1355"/>
    <x v="146"/>
    <s v="5 days"/>
    <x v="134"/>
    <x v="17"/>
    <s v="4 days"/>
    <x v="2"/>
    <s v="New"/>
    <s v="Suite"/>
    <n v="5"/>
    <n v="4"/>
    <n v="2946"/>
    <n v="11784"/>
    <n v="0"/>
    <x v="1"/>
    <x v="1"/>
    <x v="1"/>
    <x v="0"/>
  </r>
  <r>
    <n v="1176"/>
    <s v="C1372"/>
    <x v="147"/>
    <s v="11 days"/>
    <x v="135"/>
    <x v="131"/>
    <s v="5 days"/>
    <x v="0"/>
    <s v="Returning"/>
    <s v="Deluxe"/>
    <n v="11"/>
    <n v="5"/>
    <n v="5158"/>
    <n v="25790"/>
    <n v="25790"/>
    <x v="1"/>
    <x v="0"/>
    <x v="0"/>
    <x v="0"/>
  </r>
  <r>
    <n v="1177"/>
    <s v="C1497"/>
    <x v="148"/>
    <s v="56 days"/>
    <x v="96"/>
    <x v="24"/>
    <s v="3 days"/>
    <x v="2"/>
    <s v="Returning"/>
    <s v="Suite"/>
    <n v="56"/>
    <n v="3"/>
    <n v="5862"/>
    <n v="17586"/>
    <n v="0"/>
    <x v="1"/>
    <x v="1"/>
    <x v="1"/>
    <x v="1"/>
  </r>
  <r>
    <n v="1178"/>
    <s v="C1255"/>
    <x v="149"/>
    <s v="51 days"/>
    <x v="136"/>
    <x v="132"/>
    <s v="2 days"/>
    <x v="3"/>
    <s v="Returning"/>
    <s v="Deluxe"/>
    <n v="51"/>
    <n v="2"/>
    <n v="5218"/>
    <n v="10436"/>
    <n v="10436"/>
    <x v="1"/>
    <x v="0"/>
    <x v="0"/>
    <x v="0"/>
  </r>
  <r>
    <n v="1179"/>
    <s v="C0190"/>
    <x v="150"/>
    <s v="21 days"/>
    <x v="137"/>
    <x v="133"/>
    <s v="5 days"/>
    <x v="0"/>
    <s v="Returning"/>
    <s v="Suite"/>
    <n v="21"/>
    <n v="5"/>
    <n v="5983"/>
    <n v="29915"/>
    <n v="0"/>
    <x v="0"/>
    <x v="1"/>
    <x v="1"/>
    <x v="0"/>
  </r>
  <r>
    <n v="1180"/>
    <s v="C1249"/>
    <x v="151"/>
    <s v="35 days"/>
    <x v="138"/>
    <x v="134"/>
    <s v="3 days"/>
    <x v="0"/>
    <s v="New"/>
    <s v="Deluxe"/>
    <n v="35"/>
    <n v="3"/>
    <n v="5444"/>
    <n v="16332"/>
    <n v="16332"/>
    <x v="1"/>
    <x v="0"/>
    <x v="0"/>
    <x v="1"/>
  </r>
  <r>
    <n v="1181"/>
    <s v="C1409"/>
    <x v="108"/>
    <s v="12 days"/>
    <x v="109"/>
    <x v="108"/>
    <s v="5 days"/>
    <x v="1"/>
    <s v="New"/>
    <s v="Deluxe"/>
    <n v="12"/>
    <n v="5"/>
    <n v="6876"/>
    <n v="34380"/>
    <n v="0"/>
    <x v="1"/>
    <x v="1"/>
    <x v="1"/>
    <x v="0"/>
  </r>
  <r>
    <n v="1182"/>
    <s v="C1401"/>
    <x v="152"/>
    <s v="26 days"/>
    <x v="97"/>
    <x v="135"/>
    <s v="4 days"/>
    <x v="3"/>
    <s v="New"/>
    <s v="Deluxe"/>
    <n v="26"/>
    <n v="4"/>
    <n v="3095"/>
    <n v="12380"/>
    <n v="0"/>
    <x v="0"/>
    <x v="1"/>
    <x v="1"/>
    <x v="0"/>
  </r>
  <r>
    <n v="1183"/>
    <s v="C1307"/>
    <x v="153"/>
    <s v="51 days"/>
    <x v="104"/>
    <x v="136"/>
    <s v="4 days"/>
    <x v="1"/>
    <s v="Returning"/>
    <s v="Standard"/>
    <n v="51"/>
    <n v="4"/>
    <n v="4486"/>
    <n v="17944"/>
    <n v="0"/>
    <x v="0"/>
    <x v="1"/>
    <x v="1"/>
    <x v="1"/>
  </r>
  <r>
    <n v="1184"/>
    <s v="C0633"/>
    <x v="137"/>
    <s v="19 days"/>
    <x v="139"/>
    <x v="137"/>
    <s v="4 days"/>
    <x v="1"/>
    <s v="New"/>
    <s v="Suite"/>
    <n v="19"/>
    <n v="4"/>
    <n v="5250"/>
    <n v="21000"/>
    <n v="0"/>
    <x v="0"/>
    <x v="1"/>
    <x v="1"/>
    <x v="0"/>
  </r>
  <r>
    <n v="1185"/>
    <s v="C0628"/>
    <x v="154"/>
    <s v="45 days"/>
    <x v="140"/>
    <x v="138"/>
    <s v="4 days"/>
    <x v="4"/>
    <s v="New"/>
    <s v="Suite"/>
    <n v="45"/>
    <n v="4"/>
    <n v="3574"/>
    <n v="14296"/>
    <n v="0"/>
    <x v="1"/>
    <x v="1"/>
    <x v="1"/>
    <x v="0"/>
  </r>
  <r>
    <n v="1186"/>
    <s v="C0973"/>
    <x v="155"/>
    <s v="7 days"/>
    <x v="141"/>
    <x v="29"/>
    <s v="1 days"/>
    <x v="1"/>
    <s v="New"/>
    <s v="Suite"/>
    <n v="7"/>
    <n v="1"/>
    <n v="6469"/>
    <n v="6469"/>
    <n v="6469"/>
    <x v="1"/>
    <x v="0"/>
    <x v="0"/>
    <x v="0"/>
  </r>
  <r>
    <n v="1187"/>
    <s v="C1283"/>
    <x v="156"/>
    <s v="47 days"/>
    <x v="142"/>
    <x v="118"/>
    <s v="3 days"/>
    <x v="2"/>
    <s v="Returning"/>
    <s v="Standard"/>
    <n v="47"/>
    <n v="3"/>
    <n v="6805"/>
    <n v="20415"/>
    <n v="20415"/>
    <x v="0"/>
    <x v="0"/>
    <x v="0"/>
    <x v="0"/>
  </r>
  <r>
    <n v="1188"/>
    <s v="C1383"/>
    <x v="122"/>
    <s v="55 days"/>
    <x v="143"/>
    <x v="139"/>
    <s v="3 days"/>
    <x v="0"/>
    <s v="Returning"/>
    <s v="Deluxe"/>
    <n v="55"/>
    <n v="3"/>
    <n v="6721"/>
    <n v="20163"/>
    <n v="0"/>
    <x v="0"/>
    <x v="1"/>
    <x v="1"/>
    <x v="1"/>
  </r>
  <r>
    <n v="1189"/>
    <s v="C0710"/>
    <x v="157"/>
    <s v="7 days"/>
    <x v="144"/>
    <x v="140"/>
    <s v="4 days"/>
    <x v="1"/>
    <s v="New"/>
    <s v="Suite"/>
    <n v="7"/>
    <n v="4"/>
    <n v="7087"/>
    <n v="28348"/>
    <n v="28348"/>
    <x v="0"/>
    <x v="0"/>
    <x v="0"/>
    <x v="0"/>
  </r>
  <r>
    <n v="1190"/>
    <s v="C1480"/>
    <x v="155"/>
    <s v="26 days"/>
    <x v="145"/>
    <x v="141"/>
    <s v="1 days"/>
    <x v="2"/>
    <s v="New"/>
    <s v="Standard"/>
    <n v="26"/>
    <n v="1"/>
    <n v="6080"/>
    <n v="6080"/>
    <n v="6080"/>
    <x v="1"/>
    <x v="0"/>
    <x v="0"/>
    <x v="1"/>
  </r>
  <r>
    <n v="1191"/>
    <s v="C1435"/>
    <x v="30"/>
    <s v="40 days"/>
    <x v="73"/>
    <x v="142"/>
    <s v="4 days"/>
    <x v="3"/>
    <s v="Returning"/>
    <s v="Standard"/>
    <n v="40"/>
    <n v="4"/>
    <n v="5507"/>
    <n v="22028"/>
    <n v="22028"/>
    <x v="0"/>
    <x v="0"/>
    <x v="0"/>
    <x v="0"/>
  </r>
  <r>
    <n v="1192"/>
    <s v="C0649"/>
    <x v="51"/>
    <s v="5 days"/>
    <x v="146"/>
    <x v="116"/>
    <s v="1 days"/>
    <x v="0"/>
    <s v="Returning"/>
    <s v="Suite"/>
    <n v="5"/>
    <n v="1"/>
    <n v="3469"/>
    <n v="3469"/>
    <n v="3469"/>
    <x v="1"/>
    <x v="0"/>
    <x v="0"/>
    <x v="1"/>
  </r>
  <r>
    <n v="1193"/>
    <s v="C0318"/>
    <x v="70"/>
    <s v="21 days"/>
    <x v="58"/>
    <x v="57"/>
    <s v="4 days"/>
    <x v="3"/>
    <s v="Returning"/>
    <s v="Deluxe"/>
    <n v="21"/>
    <n v="4"/>
    <n v="3080"/>
    <n v="12320"/>
    <n v="0"/>
    <x v="1"/>
    <x v="1"/>
    <x v="1"/>
    <x v="1"/>
  </r>
  <r>
    <n v="1194"/>
    <s v="C1249"/>
    <x v="158"/>
    <s v="14 days"/>
    <x v="147"/>
    <x v="143"/>
    <s v="2 days"/>
    <x v="2"/>
    <s v="Returning"/>
    <s v="Standard"/>
    <n v="14"/>
    <n v="2"/>
    <n v="5324"/>
    <n v="10648"/>
    <n v="10648"/>
    <x v="1"/>
    <x v="0"/>
    <x v="0"/>
    <x v="1"/>
  </r>
  <r>
    <n v="1195"/>
    <s v="C1258"/>
    <x v="159"/>
    <s v="4 days"/>
    <x v="148"/>
    <x v="59"/>
    <s v="2 days"/>
    <x v="3"/>
    <s v="New"/>
    <s v="Suite"/>
    <n v="4"/>
    <n v="2"/>
    <n v="8901"/>
    <n v="17802"/>
    <n v="17802"/>
    <x v="1"/>
    <x v="0"/>
    <x v="0"/>
    <x v="0"/>
  </r>
  <r>
    <n v="1196"/>
    <s v="C0684"/>
    <x v="144"/>
    <s v="23 days"/>
    <x v="149"/>
    <x v="144"/>
    <s v="5 days"/>
    <x v="3"/>
    <s v="Returning"/>
    <s v="Deluxe"/>
    <n v="23"/>
    <n v="5"/>
    <n v="6501"/>
    <n v="32505"/>
    <n v="0"/>
    <x v="0"/>
    <x v="1"/>
    <x v="1"/>
    <x v="0"/>
  </r>
  <r>
    <n v="1197"/>
    <s v="C0664"/>
    <x v="160"/>
    <s v="42 days"/>
    <x v="150"/>
    <x v="145"/>
    <s v="4 days"/>
    <x v="3"/>
    <s v="New"/>
    <s v="Standard"/>
    <n v="42"/>
    <n v="4"/>
    <n v="3711"/>
    <n v="14844"/>
    <n v="0"/>
    <x v="0"/>
    <x v="1"/>
    <x v="1"/>
    <x v="0"/>
  </r>
  <r>
    <n v="1198"/>
    <s v="C1398"/>
    <x v="16"/>
    <s v="20 days"/>
    <x v="151"/>
    <x v="146"/>
    <s v="3 days"/>
    <x v="1"/>
    <s v="Returning"/>
    <s v="Standard"/>
    <n v="20"/>
    <n v="3"/>
    <n v="2729"/>
    <n v="8187"/>
    <n v="8187"/>
    <x v="0"/>
    <x v="0"/>
    <x v="0"/>
    <x v="1"/>
  </r>
  <r>
    <n v="1199"/>
    <s v="C1496"/>
    <x v="161"/>
    <s v="15 days"/>
    <x v="149"/>
    <x v="144"/>
    <s v="5 days"/>
    <x v="1"/>
    <s v="New"/>
    <s v="Suite"/>
    <n v="15"/>
    <n v="5"/>
    <n v="6784"/>
    <n v="33920"/>
    <n v="0"/>
    <x v="1"/>
    <x v="1"/>
    <x v="1"/>
    <x v="0"/>
  </r>
  <r>
    <n v="1200"/>
    <s v="C1257"/>
    <x v="162"/>
    <s v="50 days"/>
    <x v="132"/>
    <x v="147"/>
    <s v="2 days"/>
    <x v="1"/>
    <s v="New"/>
    <s v="Suite"/>
    <n v="50"/>
    <n v="2"/>
    <n v="8653"/>
    <n v="17306"/>
    <n v="17306"/>
    <x v="0"/>
    <x v="0"/>
    <x v="0"/>
    <x v="0"/>
  </r>
  <r>
    <n v="1201"/>
    <s v="C1137"/>
    <x v="163"/>
    <s v="52 days"/>
    <x v="152"/>
    <x v="148"/>
    <s v="4 days"/>
    <x v="0"/>
    <s v="Returning"/>
    <s v="Deluxe"/>
    <n v="52"/>
    <n v="4"/>
    <n v="5685"/>
    <n v="22740"/>
    <n v="0"/>
    <x v="1"/>
    <x v="1"/>
    <x v="1"/>
    <x v="0"/>
  </r>
  <r>
    <n v="1202"/>
    <s v="C0442"/>
    <x v="164"/>
    <s v="45 days"/>
    <x v="153"/>
    <x v="149"/>
    <s v="5 days"/>
    <x v="2"/>
    <s v="New"/>
    <s v="Suite"/>
    <n v="45"/>
    <n v="5"/>
    <n v="3001"/>
    <n v="15005"/>
    <n v="15005"/>
    <x v="1"/>
    <x v="0"/>
    <x v="0"/>
    <x v="0"/>
  </r>
  <r>
    <n v="1203"/>
    <s v="C0564"/>
    <x v="165"/>
    <s v="29 days"/>
    <x v="154"/>
    <x v="150"/>
    <s v="4 days"/>
    <x v="1"/>
    <s v="New"/>
    <s v="Suite"/>
    <n v="29"/>
    <n v="4"/>
    <n v="4632"/>
    <n v="18528"/>
    <n v="0"/>
    <x v="1"/>
    <x v="1"/>
    <x v="1"/>
    <x v="1"/>
  </r>
  <r>
    <n v="1204"/>
    <s v="C1292"/>
    <x v="17"/>
    <s v="8 days"/>
    <x v="155"/>
    <x v="31"/>
    <s v="2 days"/>
    <x v="3"/>
    <s v="New"/>
    <s v="Deluxe"/>
    <n v="8"/>
    <n v="2"/>
    <n v="2548"/>
    <n v="5096"/>
    <n v="5096"/>
    <x v="0"/>
    <x v="0"/>
    <x v="0"/>
    <x v="1"/>
  </r>
  <r>
    <n v="1205"/>
    <s v="C1410"/>
    <x v="123"/>
    <s v="41 days"/>
    <x v="156"/>
    <x v="135"/>
    <s v="5 days"/>
    <x v="3"/>
    <s v="Returning"/>
    <s v="Suite"/>
    <n v="41"/>
    <n v="5"/>
    <n v="6066"/>
    <n v="30330"/>
    <n v="30330"/>
    <x v="1"/>
    <x v="0"/>
    <x v="0"/>
    <x v="0"/>
  </r>
  <r>
    <n v="1206"/>
    <s v="C1411"/>
    <x v="129"/>
    <s v="48 days"/>
    <x v="157"/>
    <x v="151"/>
    <s v="2 days"/>
    <x v="3"/>
    <s v="Returning"/>
    <s v="Deluxe"/>
    <n v="48"/>
    <n v="2"/>
    <n v="5555"/>
    <n v="11110"/>
    <n v="0"/>
    <x v="1"/>
    <x v="1"/>
    <x v="1"/>
    <x v="0"/>
  </r>
  <r>
    <n v="1207"/>
    <s v="C1137"/>
    <x v="166"/>
    <s v="19 days"/>
    <x v="158"/>
    <x v="152"/>
    <s v="1 days"/>
    <x v="3"/>
    <s v="Returning"/>
    <s v="Deluxe"/>
    <n v="19"/>
    <n v="1"/>
    <n v="3188"/>
    <n v="3188"/>
    <n v="3188"/>
    <x v="0"/>
    <x v="0"/>
    <x v="0"/>
    <x v="0"/>
  </r>
  <r>
    <n v="1208"/>
    <s v="C0952"/>
    <x v="167"/>
    <s v="48 days"/>
    <x v="159"/>
    <x v="153"/>
    <s v="2 days"/>
    <x v="4"/>
    <s v="New"/>
    <s v="Deluxe"/>
    <n v="48"/>
    <n v="2"/>
    <n v="2886"/>
    <n v="5772"/>
    <n v="0"/>
    <x v="0"/>
    <x v="1"/>
    <x v="1"/>
    <x v="1"/>
  </r>
  <r>
    <n v="1209"/>
    <s v="C1105"/>
    <x v="168"/>
    <s v="39 days"/>
    <x v="131"/>
    <x v="127"/>
    <s v="4 days"/>
    <x v="0"/>
    <s v="New"/>
    <s v="Suite"/>
    <n v="39"/>
    <n v="4"/>
    <n v="3469"/>
    <n v="13876"/>
    <n v="0"/>
    <x v="0"/>
    <x v="1"/>
    <x v="1"/>
    <x v="0"/>
  </r>
  <r>
    <n v="1210"/>
    <s v="C0699"/>
    <x v="169"/>
    <s v="46 days"/>
    <x v="46"/>
    <x v="154"/>
    <s v="3 days"/>
    <x v="2"/>
    <s v="New"/>
    <s v="Deluxe"/>
    <n v="46"/>
    <n v="3"/>
    <n v="5960"/>
    <n v="17880"/>
    <n v="0"/>
    <x v="1"/>
    <x v="1"/>
    <x v="1"/>
    <x v="1"/>
  </r>
  <r>
    <n v="1211"/>
    <s v="C0113"/>
    <x v="88"/>
    <s v="28 days"/>
    <x v="111"/>
    <x v="155"/>
    <s v="2 days"/>
    <x v="2"/>
    <s v="New"/>
    <s v="Suite"/>
    <n v="28"/>
    <n v="2"/>
    <n v="3505"/>
    <n v="7010"/>
    <n v="7010"/>
    <x v="1"/>
    <x v="0"/>
    <x v="0"/>
    <x v="1"/>
  </r>
  <r>
    <n v="1212"/>
    <s v="C0002"/>
    <x v="57"/>
    <s v="46 days"/>
    <x v="160"/>
    <x v="156"/>
    <s v="3 days"/>
    <x v="1"/>
    <s v="Returning"/>
    <s v="Deluxe"/>
    <n v="46"/>
    <n v="3"/>
    <n v="8861"/>
    <n v="26583"/>
    <n v="0"/>
    <x v="0"/>
    <x v="1"/>
    <x v="1"/>
    <x v="0"/>
  </r>
  <r>
    <n v="1213"/>
    <s v="C0642"/>
    <x v="129"/>
    <s v="57 days"/>
    <x v="104"/>
    <x v="111"/>
    <s v="1 days"/>
    <x v="4"/>
    <s v="New"/>
    <s v="Suite"/>
    <n v="57"/>
    <n v="1"/>
    <n v="8320"/>
    <n v="8320"/>
    <n v="0"/>
    <x v="1"/>
    <x v="1"/>
    <x v="1"/>
    <x v="0"/>
  </r>
  <r>
    <n v="1214"/>
    <s v="C0220"/>
    <x v="26"/>
    <s v="27 days"/>
    <x v="28"/>
    <x v="157"/>
    <s v="5 days"/>
    <x v="2"/>
    <s v="New"/>
    <s v="Deluxe"/>
    <n v="27"/>
    <n v="5"/>
    <n v="8600"/>
    <n v="43000"/>
    <n v="0"/>
    <x v="1"/>
    <x v="1"/>
    <x v="1"/>
    <x v="0"/>
  </r>
  <r>
    <n v="1215"/>
    <s v="C0855"/>
    <x v="170"/>
    <s v="4 days"/>
    <x v="161"/>
    <x v="158"/>
    <s v="5 days"/>
    <x v="0"/>
    <s v="New"/>
    <s v="Standard"/>
    <n v="4"/>
    <n v="5"/>
    <n v="5552"/>
    <n v="27760"/>
    <n v="27760"/>
    <x v="0"/>
    <x v="0"/>
    <x v="0"/>
    <x v="1"/>
  </r>
  <r>
    <n v="1216"/>
    <s v="C1249"/>
    <x v="0"/>
    <s v="58 days"/>
    <x v="162"/>
    <x v="159"/>
    <s v="3 days"/>
    <x v="3"/>
    <s v="Returning"/>
    <s v="Standard"/>
    <n v="58"/>
    <n v="3"/>
    <n v="5917"/>
    <n v="17751"/>
    <n v="0"/>
    <x v="0"/>
    <x v="1"/>
    <x v="1"/>
    <x v="1"/>
  </r>
  <r>
    <n v="1217"/>
    <s v="C0385"/>
    <x v="171"/>
    <s v="15 days"/>
    <x v="162"/>
    <x v="34"/>
    <s v="5 days"/>
    <x v="1"/>
    <s v="New"/>
    <s v="Standard"/>
    <n v="15"/>
    <n v="5"/>
    <n v="4802"/>
    <n v="24010"/>
    <n v="0"/>
    <x v="0"/>
    <x v="1"/>
    <x v="1"/>
    <x v="0"/>
  </r>
  <r>
    <n v="1218"/>
    <s v="C1427"/>
    <x v="172"/>
    <s v="35 days"/>
    <x v="163"/>
    <x v="160"/>
    <s v="2 days"/>
    <x v="0"/>
    <s v="Returning"/>
    <s v="Deluxe"/>
    <n v="35"/>
    <n v="2"/>
    <n v="4783"/>
    <n v="9566"/>
    <n v="0"/>
    <x v="0"/>
    <x v="1"/>
    <x v="1"/>
    <x v="1"/>
  </r>
  <r>
    <n v="1219"/>
    <s v="C1154"/>
    <x v="173"/>
    <s v="37 days"/>
    <x v="132"/>
    <x v="161"/>
    <s v="3 days"/>
    <x v="2"/>
    <s v="Returning"/>
    <s v="Suite"/>
    <n v="37"/>
    <n v="3"/>
    <n v="4107"/>
    <n v="12321"/>
    <n v="12321"/>
    <x v="0"/>
    <x v="0"/>
    <x v="0"/>
    <x v="0"/>
  </r>
  <r>
    <n v="1220"/>
    <s v="C1077"/>
    <x v="35"/>
    <s v="1 days"/>
    <x v="127"/>
    <x v="162"/>
    <s v="4 days"/>
    <x v="4"/>
    <s v="New"/>
    <s v="Deluxe"/>
    <n v="1"/>
    <n v="4"/>
    <n v="8385"/>
    <n v="33540"/>
    <n v="33540"/>
    <x v="0"/>
    <x v="0"/>
    <x v="0"/>
    <x v="0"/>
  </r>
  <r>
    <n v="1221"/>
    <s v="C0730"/>
    <x v="124"/>
    <s v="3 days"/>
    <x v="164"/>
    <x v="163"/>
    <s v="2 days"/>
    <x v="1"/>
    <s v="New"/>
    <s v="Deluxe"/>
    <n v="3"/>
    <n v="2"/>
    <n v="6866"/>
    <n v="13732"/>
    <n v="13732"/>
    <x v="0"/>
    <x v="0"/>
    <x v="0"/>
    <x v="1"/>
  </r>
  <r>
    <n v="1222"/>
    <s v="C1440"/>
    <x v="174"/>
    <s v="47 days"/>
    <x v="165"/>
    <x v="164"/>
    <s v="2 days"/>
    <x v="2"/>
    <s v="New"/>
    <s v="Deluxe"/>
    <n v="47"/>
    <n v="2"/>
    <n v="2622"/>
    <n v="5244"/>
    <n v="5244"/>
    <x v="0"/>
    <x v="0"/>
    <x v="0"/>
    <x v="1"/>
  </r>
  <r>
    <n v="1223"/>
    <s v="C0247"/>
    <x v="14"/>
    <s v="24 days"/>
    <x v="166"/>
    <x v="165"/>
    <s v="2 days"/>
    <x v="1"/>
    <s v="New"/>
    <s v="Deluxe"/>
    <n v="24"/>
    <n v="2"/>
    <n v="3780"/>
    <n v="7560"/>
    <n v="7560"/>
    <x v="1"/>
    <x v="0"/>
    <x v="0"/>
    <x v="1"/>
  </r>
  <r>
    <n v="1224"/>
    <s v="C0836"/>
    <x v="66"/>
    <s v="27 days"/>
    <x v="167"/>
    <x v="166"/>
    <s v="4 days"/>
    <x v="2"/>
    <s v="Returning"/>
    <s v="Suite"/>
    <n v="27"/>
    <n v="4"/>
    <n v="6227"/>
    <n v="24908"/>
    <n v="0"/>
    <x v="1"/>
    <x v="1"/>
    <x v="1"/>
    <x v="1"/>
  </r>
  <r>
    <n v="1225"/>
    <s v="C1463"/>
    <x v="105"/>
    <s v="40 days"/>
    <x v="168"/>
    <x v="97"/>
    <s v="1 days"/>
    <x v="3"/>
    <s v="Returning"/>
    <s v="Deluxe"/>
    <n v="40"/>
    <n v="1"/>
    <n v="8040"/>
    <n v="8040"/>
    <n v="8040"/>
    <x v="1"/>
    <x v="0"/>
    <x v="0"/>
    <x v="0"/>
  </r>
  <r>
    <n v="1226"/>
    <s v="C0203"/>
    <x v="44"/>
    <s v="36 days"/>
    <x v="169"/>
    <x v="167"/>
    <s v="5 days"/>
    <x v="4"/>
    <s v="Returning"/>
    <s v="Standard"/>
    <n v="36"/>
    <n v="5"/>
    <n v="2758"/>
    <n v="13790"/>
    <n v="13790"/>
    <x v="1"/>
    <x v="0"/>
    <x v="0"/>
    <x v="0"/>
  </r>
  <r>
    <n v="1227"/>
    <s v="C1208"/>
    <x v="166"/>
    <s v="34 days"/>
    <x v="61"/>
    <x v="60"/>
    <s v="3 days"/>
    <x v="3"/>
    <s v="Returning"/>
    <s v="Standard"/>
    <n v="34"/>
    <n v="3"/>
    <n v="3447"/>
    <n v="10341"/>
    <n v="10341"/>
    <x v="1"/>
    <x v="0"/>
    <x v="0"/>
    <x v="0"/>
  </r>
  <r>
    <n v="1228"/>
    <s v="C0123"/>
    <x v="175"/>
    <s v="29 days"/>
    <x v="112"/>
    <x v="60"/>
    <s v="1 days"/>
    <x v="2"/>
    <s v="Returning"/>
    <s v="Standard"/>
    <n v="29"/>
    <n v="1"/>
    <n v="8690"/>
    <n v="8690"/>
    <n v="0"/>
    <x v="1"/>
    <x v="1"/>
    <x v="1"/>
    <x v="1"/>
  </r>
  <r>
    <n v="1229"/>
    <s v="C0401"/>
    <x v="176"/>
    <s v="24 days"/>
    <x v="164"/>
    <x v="168"/>
    <s v="3 days"/>
    <x v="0"/>
    <s v="Returning"/>
    <s v="Deluxe"/>
    <n v="24"/>
    <n v="3"/>
    <n v="7458"/>
    <n v="22374"/>
    <n v="0"/>
    <x v="1"/>
    <x v="1"/>
    <x v="1"/>
    <x v="0"/>
  </r>
  <r>
    <n v="1230"/>
    <s v="C0767"/>
    <x v="177"/>
    <s v="24 days"/>
    <x v="40"/>
    <x v="148"/>
    <s v="5 days"/>
    <x v="3"/>
    <s v="Returning"/>
    <s v="Suite"/>
    <n v="24"/>
    <n v="5"/>
    <n v="3024"/>
    <n v="15120"/>
    <n v="0"/>
    <x v="1"/>
    <x v="1"/>
    <x v="1"/>
    <x v="1"/>
  </r>
  <r>
    <n v="1231"/>
    <s v="C0294"/>
    <x v="178"/>
    <s v="42 days"/>
    <x v="170"/>
    <x v="85"/>
    <s v="4 days"/>
    <x v="0"/>
    <s v="Returning"/>
    <s v="Suite"/>
    <n v="42"/>
    <n v="4"/>
    <n v="3387"/>
    <n v="13548"/>
    <n v="0"/>
    <x v="1"/>
    <x v="1"/>
    <x v="1"/>
    <x v="1"/>
  </r>
  <r>
    <n v="1232"/>
    <s v="C0280"/>
    <x v="179"/>
    <s v="4 days"/>
    <x v="171"/>
    <x v="169"/>
    <s v="2 days"/>
    <x v="2"/>
    <s v="Returning"/>
    <s v="Suite"/>
    <n v="4"/>
    <n v="2"/>
    <n v="2707"/>
    <n v="5414"/>
    <n v="5414"/>
    <x v="1"/>
    <x v="0"/>
    <x v="0"/>
    <x v="1"/>
  </r>
  <r>
    <n v="1233"/>
    <s v="C0884"/>
    <x v="171"/>
    <s v="3 days"/>
    <x v="172"/>
    <x v="170"/>
    <s v="2 days"/>
    <x v="4"/>
    <s v="Returning"/>
    <s v="Deluxe"/>
    <n v="3"/>
    <n v="2"/>
    <n v="5882"/>
    <n v="11764"/>
    <n v="11764"/>
    <x v="1"/>
    <x v="0"/>
    <x v="0"/>
    <x v="0"/>
  </r>
  <r>
    <n v="1234"/>
    <s v="C0198"/>
    <x v="142"/>
    <s v="34 days"/>
    <x v="173"/>
    <x v="111"/>
    <s v="4 days"/>
    <x v="0"/>
    <s v="New"/>
    <s v="Suite"/>
    <n v="34"/>
    <n v="4"/>
    <n v="5294"/>
    <n v="21176"/>
    <n v="0"/>
    <x v="0"/>
    <x v="1"/>
    <x v="1"/>
    <x v="1"/>
  </r>
  <r>
    <n v="1235"/>
    <s v="C0982"/>
    <x v="180"/>
    <s v="57 days"/>
    <x v="27"/>
    <x v="171"/>
    <s v="1 days"/>
    <x v="2"/>
    <s v="New"/>
    <s v="Standard"/>
    <n v="57"/>
    <n v="1"/>
    <n v="2648"/>
    <n v="2648"/>
    <n v="0"/>
    <x v="1"/>
    <x v="1"/>
    <x v="1"/>
    <x v="1"/>
  </r>
  <r>
    <n v="1236"/>
    <s v="C0752"/>
    <x v="181"/>
    <s v="49 days"/>
    <x v="174"/>
    <x v="90"/>
    <s v="1 days"/>
    <x v="0"/>
    <s v="New"/>
    <s v="Suite"/>
    <n v="49"/>
    <n v="1"/>
    <n v="2937"/>
    <n v="2937"/>
    <n v="0"/>
    <x v="0"/>
    <x v="1"/>
    <x v="1"/>
    <x v="1"/>
  </r>
  <r>
    <n v="1237"/>
    <s v="C0144"/>
    <x v="182"/>
    <s v="23 days"/>
    <x v="9"/>
    <x v="9"/>
    <s v="3 days"/>
    <x v="3"/>
    <s v="Returning"/>
    <s v="Deluxe"/>
    <n v="23"/>
    <n v="3"/>
    <n v="4702"/>
    <n v="14106"/>
    <n v="14106"/>
    <x v="1"/>
    <x v="0"/>
    <x v="0"/>
    <x v="1"/>
  </r>
  <r>
    <n v="1238"/>
    <s v="C0609"/>
    <x v="114"/>
    <s v="53 days"/>
    <x v="175"/>
    <x v="172"/>
    <s v="4 days"/>
    <x v="2"/>
    <s v="New"/>
    <s v="Deluxe"/>
    <n v="53"/>
    <n v="4"/>
    <n v="6249"/>
    <n v="24996"/>
    <n v="0"/>
    <x v="0"/>
    <x v="1"/>
    <x v="1"/>
    <x v="1"/>
  </r>
  <r>
    <n v="1239"/>
    <s v="C1225"/>
    <x v="24"/>
    <s v="56 days"/>
    <x v="136"/>
    <x v="133"/>
    <s v="1 days"/>
    <x v="3"/>
    <s v="Returning"/>
    <s v="Suite"/>
    <n v="56"/>
    <n v="1"/>
    <n v="5661"/>
    <n v="5661"/>
    <n v="0"/>
    <x v="1"/>
    <x v="1"/>
    <x v="1"/>
    <x v="1"/>
  </r>
  <r>
    <n v="1240"/>
    <s v="C1148"/>
    <x v="183"/>
    <s v="52 days"/>
    <x v="176"/>
    <x v="103"/>
    <s v="4 days"/>
    <x v="1"/>
    <s v="Returning"/>
    <s v="Deluxe"/>
    <n v="52"/>
    <n v="4"/>
    <n v="8317"/>
    <n v="33268"/>
    <n v="0"/>
    <x v="0"/>
    <x v="1"/>
    <x v="1"/>
    <x v="1"/>
  </r>
  <r>
    <n v="1241"/>
    <s v="C0187"/>
    <x v="184"/>
    <s v="23 days"/>
    <x v="177"/>
    <x v="173"/>
    <s v="5 days"/>
    <x v="2"/>
    <s v="New"/>
    <s v="Suite"/>
    <n v="23"/>
    <n v="5"/>
    <n v="6401"/>
    <n v="32005"/>
    <n v="32005"/>
    <x v="1"/>
    <x v="0"/>
    <x v="0"/>
    <x v="1"/>
  </r>
  <r>
    <n v="1242"/>
    <s v="C1350"/>
    <x v="109"/>
    <s v="45 days"/>
    <x v="41"/>
    <x v="42"/>
    <s v="2 days"/>
    <x v="0"/>
    <s v="Returning"/>
    <s v="Suite"/>
    <n v="45"/>
    <n v="2"/>
    <n v="6953"/>
    <n v="13906"/>
    <n v="13906"/>
    <x v="0"/>
    <x v="0"/>
    <x v="0"/>
    <x v="1"/>
  </r>
  <r>
    <n v="1243"/>
    <s v="C0464"/>
    <x v="185"/>
    <s v="5 days"/>
    <x v="89"/>
    <x v="174"/>
    <s v="2 days"/>
    <x v="1"/>
    <s v="New"/>
    <s v="Standard"/>
    <n v="5"/>
    <n v="2"/>
    <n v="5745"/>
    <n v="11490"/>
    <n v="11490"/>
    <x v="1"/>
    <x v="0"/>
    <x v="0"/>
    <x v="1"/>
  </r>
  <r>
    <n v="1244"/>
    <s v="C1373"/>
    <x v="74"/>
    <s v="31 days"/>
    <x v="178"/>
    <x v="175"/>
    <s v="2 days"/>
    <x v="3"/>
    <s v="Returning"/>
    <s v="Deluxe"/>
    <n v="31"/>
    <n v="2"/>
    <n v="7836"/>
    <n v="15672"/>
    <n v="0"/>
    <x v="0"/>
    <x v="1"/>
    <x v="1"/>
    <x v="1"/>
  </r>
  <r>
    <n v="1245"/>
    <s v="C0660"/>
    <x v="159"/>
    <s v="53 days"/>
    <x v="179"/>
    <x v="176"/>
    <s v="4 days"/>
    <x v="3"/>
    <s v="Returning"/>
    <s v="Standard"/>
    <n v="53"/>
    <n v="4"/>
    <n v="8526"/>
    <n v="34104"/>
    <n v="34104"/>
    <x v="1"/>
    <x v="0"/>
    <x v="0"/>
    <x v="1"/>
  </r>
  <r>
    <n v="1246"/>
    <s v="C0764"/>
    <x v="120"/>
    <s v="41 days"/>
    <x v="180"/>
    <x v="177"/>
    <s v="4 days"/>
    <x v="0"/>
    <s v="New"/>
    <s v="Deluxe"/>
    <n v="41"/>
    <n v="4"/>
    <n v="7051"/>
    <n v="28204"/>
    <n v="0"/>
    <x v="0"/>
    <x v="1"/>
    <x v="1"/>
    <x v="0"/>
  </r>
  <r>
    <n v="1247"/>
    <s v="C0955"/>
    <x v="186"/>
    <s v="57 days"/>
    <x v="181"/>
    <x v="42"/>
    <s v="3 days"/>
    <x v="1"/>
    <s v="New"/>
    <s v="Suite"/>
    <n v="57"/>
    <n v="3"/>
    <n v="5323"/>
    <n v="15969"/>
    <n v="0"/>
    <x v="0"/>
    <x v="1"/>
    <x v="1"/>
    <x v="0"/>
  </r>
  <r>
    <n v="1248"/>
    <s v="C0403"/>
    <x v="187"/>
    <s v="57 days"/>
    <x v="66"/>
    <x v="46"/>
    <s v="2 days"/>
    <x v="4"/>
    <s v="New"/>
    <s v="Deluxe"/>
    <n v="57"/>
    <n v="2"/>
    <n v="8228"/>
    <n v="16456"/>
    <n v="0"/>
    <x v="0"/>
    <x v="1"/>
    <x v="1"/>
    <x v="1"/>
  </r>
  <r>
    <n v="1249"/>
    <s v="C1370"/>
    <x v="188"/>
    <s v="54 days"/>
    <x v="182"/>
    <x v="123"/>
    <s v="3 days"/>
    <x v="0"/>
    <s v="New"/>
    <s v="Suite"/>
    <n v="54"/>
    <n v="3"/>
    <n v="7224"/>
    <n v="21672"/>
    <n v="21672"/>
    <x v="0"/>
    <x v="0"/>
    <x v="0"/>
    <x v="1"/>
  </r>
  <r>
    <n v="1250"/>
    <s v="C0147"/>
    <x v="189"/>
    <s v="6 days"/>
    <x v="49"/>
    <x v="60"/>
    <s v="2 days"/>
    <x v="3"/>
    <s v="New"/>
    <s v="Deluxe"/>
    <n v="6"/>
    <n v="2"/>
    <n v="5770"/>
    <n v="11540"/>
    <n v="11540"/>
    <x v="0"/>
    <x v="0"/>
    <x v="0"/>
    <x v="1"/>
  </r>
  <r>
    <n v="1251"/>
    <s v="C1172"/>
    <x v="25"/>
    <s v="37 days"/>
    <x v="183"/>
    <x v="155"/>
    <s v="3 days"/>
    <x v="2"/>
    <s v="New"/>
    <s v="Standard"/>
    <n v="37"/>
    <n v="3"/>
    <n v="2985"/>
    <n v="8955"/>
    <n v="8955"/>
    <x v="0"/>
    <x v="0"/>
    <x v="0"/>
    <x v="0"/>
  </r>
  <r>
    <n v="1252"/>
    <s v="C0864"/>
    <x v="140"/>
    <s v="57 days"/>
    <x v="167"/>
    <x v="152"/>
    <s v="3 days"/>
    <x v="1"/>
    <s v="Returning"/>
    <s v="Standard"/>
    <n v="57"/>
    <n v="3"/>
    <n v="2699"/>
    <n v="8097"/>
    <n v="8097"/>
    <x v="0"/>
    <x v="0"/>
    <x v="0"/>
    <x v="0"/>
  </r>
  <r>
    <n v="1253"/>
    <s v="C0489"/>
    <x v="145"/>
    <s v="10 days"/>
    <x v="184"/>
    <x v="32"/>
    <s v="5 days"/>
    <x v="4"/>
    <s v="Returning"/>
    <s v="Suite"/>
    <n v="10"/>
    <n v="5"/>
    <n v="6966"/>
    <n v="34830"/>
    <n v="0"/>
    <x v="0"/>
    <x v="1"/>
    <x v="1"/>
    <x v="0"/>
  </r>
  <r>
    <n v="1254"/>
    <s v="C0929"/>
    <x v="131"/>
    <s v="40 days"/>
    <x v="125"/>
    <x v="69"/>
    <s v="3 days"/>
    <x v="2"/>
    <s v="Returning"/>
    <s v="Standard"/>
    <n v="40"/>
    <n v="3"/>
    <n v="7609"/>
    <n v="22827"/>
    <n v="0"/>
    <x v="1"/>
    <x v="1"/>
    <x v="1"/>
    <x v="1"/>
  </r>
  <r>
    <n v="1255"/>
    <s v="C0551"/>
    <x v="37"/>
    <s v="7 days"/>
    <x v="157"/>
    <x v="178"/>
    <s v="4 days"/>
    <x v="1"/>
    <s v="Returning"/>
    <s v="Suite"/>
    <n v="7"/>
    <n v="4"/>
    <n v="4482"/>
    <n v="17928"/>
    <n v="17928"/>
    <x v="1"/>
    <x v="0"/>
    <x v="0"/>
    <x v="1"/>
  </r>
  <r>
    <n v="1256"/>
    <s v="C0338"/>
    <x v="54"/>
    <s v="39 days"/>
    <x v="185"/>
    <x v="132"/>
    <s v="3 days"/>
    <x v="0"/>
    <s v="New"/>
    <s v="Suite"/>
    <n v="39"/>
    <n v="3"/>
    <n v="3971"/>
    <n v="11913"/>
    <n v="0"/>
    <x v="1"/>
    <x v="1"/>
    <x v="1"/>
    <x v="1"/>
  </r>
  <r>
    <n v="1257"/>
    <s v="C0872"/>
    <x v="190"/>
    <s v="38 days"/>
    <x v="72"/>
    <x v="50"/>
    <s v="2 days"/>
    <x v="0"/>
    <s v="Returning"/>
    <s v="Suite"/>
    <n v="38"/>
    <n v="2"/>
    <n v="6843"/>
    <n v="13686"/>
    <n v="0"/>
    <x v="0"/>
    <x v="1"/>
    <x v="1"/>
    <x v="1"/>
  </r>
  <r>
    <n v="1258"/>
    <s v="C0641"/>
    <x v="191"/>
    <s v="21 days"/>
    <x v="186"/>
    <x v="179"/>
    <s v="3 days"/>
    <x v="1"/>
    <s v="Returning"/>
    <s v="Deluxe"/>
    <n v="21"/>
    <n v="3"/>
    <n v="7383"/>
    <n v="22149"/>
    <n v="22149"/>
    <x v="0"/>
    <x v="0"/>
    <x v="0"/>
    <x v="0"/>
  </r>
  <r>
    <n v="1259"/>
    <s v="C0473"/>
    <x v="76"/>
    <s v="20 days"/>
    <x v="8"/>
    <x v="180"/>
    <s v="1 days"/>
    <x v="4"/>
    <s v="New"/>
    <s v="Suite"/>
    <n v="20"/>
    <n v="1"/>
    <n v="4811"/>
    <n v="4811"/>
    <n v="4811"/>
    <x v="1"/>
    <x v="0"/>
    <x v="0"/>
    <x v="1"/>
  </r>
  <r>
    <n v="1260"/>
    <s v="C0151"/>
    <x v="192"/>
    <s v="3 days"/>
    <x v="187"/>
    <x v="181"/>
    <s v="2 days"/>
    <x v="1"/>
    <s v="Returning"/>
    <s v="Standard"/>
    <n v="3"/>
    <n v="2"/>
    <n v="5873"/>
    <n v="11746"/>
    <n v="0"/>
    <x v="1"/>
    <x v="1"/>
    <x v="1"/>
    <x v="0"/>
  </r>
  <r>
    <n v="1261"/>
    <s v="C1439"/>
    <x v="97"/>
    <s v="51 days"/>
    <x v="188"/>
    <x v="182"/>
    <s v="1 days"/>
    <x v="2"/>
    <s v="New"/>
    <s v="Deluxe"/>
    <n v="51"/>
    <n v="1"/>
    <n v="4578"/>
    <n v="4578"/>
    <n v="0"/>
    <x v="0"/>
    <x v="1"/>
    <x v="1"/>
    <x v="0"/>
  </r>
  <r>
    <n v="1262"/>
    <s v="C1322"/>
    <x v="141"/>
    <s v="22 days"/>
    <x v="126"/>
    <x v="78"/>
    <s v="2 days"/>
    <x v="2"/>
    <s v="New"/>
    <s v="Standard"/>
    <n v="22"/>
    <n v="2"/>
    <n v="4021"/>
    <n v="8042"/>
    <n v="0"/>
    <x v="0"/>
    <x v="1"/>
    <x v="1"/>
    <x v="1"/>
  </r>
  <r>
    <n v="1263"/>
    <s v="C0263"/>
    <x v="193"/>
    <s v="47 days"/>
    <x v="189"/>
    <x v="183"/>
    <s v="4 days"/>
    <x v="0"/>
    <s v="New"/>
    <s v="Suite"/>
    <n v="47"/>
    <n v="4"/>
    <n v="7868"/>
    <n v="31472"/>
    <n v="0"/>
    <x v="1"/>
    <x v="1"/>
    <x v="1"/>
    <x v="0"/>
  </r>
  <r>
    <n v="1264"/>
    <s v="C0144"/>
    <x v="73"/>
    <s v="4 days"/>
    <x v="40"/>
    <x v="71"/>
    <s v="4 days"/>
    <x v="1"/>
    <s v="Returning"/>
    <s v="Suite"/>
    <n v="4"/>
    <n v="4"/>
    <n v="3104"/>
    <n v="12416"/>
    <n v="12416"/>
    <x v="0"/>
    <x v="0"/>
    <x v="0"/>
    <x v="0"/>
  </r>
  <r>
    <n v="1265"/>
    <s v="C0346"/>
    <x v="194"/>
    <s v="28 days"/>
    <x v="159"/>
    <x v="14"/>
    <s v="4 days"/>
    <x v="0"/>
    <s v="New"/>
    <s v="Standard"/>
    <n v="28"/>
    <n v="4"/>
    <n v="6348"/>
    <n v="25392"/>
    <n v="25392"/>
    <x v="1"/>
    <x v="0"/>
    <x v="0"/>
    <x v="0"/>
  </r>
  <r>
    <n v="1266"/>
    <s v="C0624"/>
    <x v="22"/>
    <s v="12 days"/>
    <x v="53"/>
    <x v="53"/>
    <s v="1 days"/>
    <x v="4"/>
    <s v="Returning"/>
    <s v="Deluxe"/>
    <n v="12"/>
    <n v="1"/>
    <n v="5842"/>
    <n v="5842"/>
    <n v="5842"/>
    <x v="0"/>
    <x v="0"/>
    <x v="0"/>
    <x v="0"/>
  </r>
  <r>
    <n v="1267"/>
    <s v="C1017"/>
    <x v="195"/>
    <s v="38 days"/>
    <x v="128"/>
    <x v="181"/>
    <s v="5 days"/>
    <x v="2"/>
    <s v="Returning"/>
    <s v="Standard"/>
    <n v="38"/>
    <n v="5"/>
    <n v="8285"/>
    <n v="41425"/>
    <n v="0"/>
    <x v="1"/>
    <x v="1"/>
    <x v="1"/>
    <x v="1"/>
  </r>
  <r>
    <n v="1268"/>
    <s v="C0881"/>
    <x v="33"/>
    <s v="51 days"/>
    <x v="190"/>
    <x v="152"/>
    <s v="2 days"/>
    <x v="3"/>
    <s v="Returning"/>
    <s v="Suite"/>
    <n v="51"/>
    <n v="2"/>
    <n v="3917"/>
    <n v="7834"/>
    <n v="7834"/>
    <x v="1"/>
    <x v="0"/>
    <x v="0"/>
    <x v="1"/>
  </r>
  <r>
    <n v="1269"/>
    <s v="C0002"/>
    <x v="190"/>
    <s v="36 days"/>
    <x v="191"/>
    <x v="50"/>
    <s v="4 days"/>
    <x v="3"/>
    <s v="New"/>
    <s v="Deluxe"/>
    <n v="36"/>
    <n v="4"/>
    <n v="8416"/>
    <n v="33664"/>
    <n v="0"/>
    <x v="0"/>
    <x v="1"/>
    <x v="1"/>
    <x v="0"/>
  </r>
  <r>
    <n v="1270"/>
    <s v="C0897"/>
    <x v="153"/>
    <s v="47 days"/>
    <x v="114"/>
    <x v="70"/>
    <s v="2 days"/>
    <x v="1"/>
    <s v="New"/>
    <s v="Suite"/>
    <n v="47"/>
    <n v="2"/>
    <n v="7097"/>
    <n v="14194"/>
    <n v="0"/>
    <x v="1"/>
    <x v="1"/>
    <x v="1"/>
    <x v="1"/>
  </r>
  <r>
    <n v="1271"/>
    <s v="C1328"/>
    <x v="196"/>
    <s v="41 days"/>
    <x v="192"/>
    <x v="61"/>
    <s v="1 days"/>
    <x v="1"/>
    <s v="New"/>
    <s v="Suite"/>
    <n v="41"/>
    <n v="1"/>
    <n v="6375"/>
    <n v="6375"/>
    <n v="6375"/>
    <x v="0"/>
    <x v="0"/>
    <x v="0"/>
    <x v="0"/>
  </r>
  <r>
    <n v="1272"/>
    <s v="C0254"/>
    <x v="197"/>
    <s v="5 days"/>
    <x v="193"/>
    <x v="78"/>
    <s v="5 days"/>
    <x v="3"/>
    <s v="Returning"/>
    <s v="Standard"/>
    <n v="5"/>
    <n v="5"/>
    <n v="5433"/>
    <n v="27165"/>
    <n v="27165"/>
    <x v="0"/>
    <x v="0"/>
    <x v="0"/>
    <x v="1"/>
  </r>
  <r>
    <n v="1273"/>
    <s v="C0453"/>
    <x v="198"/>
    <s v="13 days"/>
    <x v="151"/>
    <x v="184"/>
    <s v="1 days"/>
    <x v="1"/>
    <s v="Returning"/>
    <s v="Suite"/>
    <n v="13"/>
    <n v="1"/>
    <n v="3048"/>
    <n v="3048"/>
    <n v="3048"/>
    <x v="0"/>
    <x v="0"/>
    <x v="0"/>
    <x v="1"/>
  </r>
  <r>
    <n v="1274"/>
    <s v="C1061"/>
    <x v="199"/>
    <s v="23 days"/>
    <x v="194"/>
    <x v="185"/>
    <s v="2 days"/>
    <x v="2"/>
    <s v="New"/>
    <s v="Standard"/>
    <n v="23"/>
    <n v="2"/>
    <n v="7961"/>
    <n v="15922"/>
    <n v="15922"/>
    <x v="0"/>
    <x v="0"/>
    <x v="0"/>
    <x v="1"/>
  </r>
  <r>
    <n v="1275"/>
    <s v="C1184"/>
    <x v="181"/>
    <s v="58 days"/>
    <x v="46"/>
    <x v="42"/>
    <s v="5 days"/>
    <x v="4"/>
    <s v="Returning"/>
    <s v="Deluxe"/>
    <n v="58"/>
    <n v="5"/>
    <n v="3338"/>
    <n v="16690"/>
    <n v="0"/>
    <x v="0"/>
    <x v="1"/>
    <x v="1"/>
    <x v="1"/>
  </r>
  <r>
    <n v="1276"/>
    <s v="C1015"/>
    <x v="48"/>
    <s v="50 days"/>
    <x v="107"/>
    <x v="186"/>
    <s v="5 days"/>
    <x v="4"/>
    <s v="New"/>
    <s v="Suite"/>
    <n v="50"/>
    <n v="5"/>
    <n v="8026"/>
    <n v="40130"/>
    <n v="0"/>
    <x v="1"/>
    <x v="1"/>
    <x v="1"/>
    <x v="1"/>
  </r>
  <r>
    <n v="1277"/>
    <s v="C0009"/>
    <x v="180"/>
    <s v="30 days"/>
    <x v="195"/>
    <x v="168"/>
    <s v="1 days"/>
    <x v="0"/>
    <s v="New"/>
    <s v="Suite"/>
    <n v="30"/>
    <n v="1"/>
    <n v="8044"/>
    <n v="8044"/>
    <n v="8044"/>
    <x v="0"/>
    <x v="0"/>
    <x v="0"/>
    <x v="0"/>
  </r>
  <r>
    <n v="1278"/>
    <s v="C1257"/>
    <x v="200"/>
    <s v="37 days"/>
    <x v="19"/>
    <x v="187"/>
    <s v="4 days"/>
    <x v="2"/>
    <s v="Returning"/>
    <s v="Deluxe"/>
    <n v="37"/>
    <n v="4"/>
    <n v="6315"/>
    <n v="25260"/>
    <n v="0"/>
    <x v="0"/>
    <x v="1"/>
    <x v="1"/>
    <x v="1"/>
  </r>
  <r>
    <n v="1279"/>
    <s v="C1123"/>
    <x v="132"/>
    <s v="25 days"/>
    <x v="170"/>
    <x v="188"/>
    <s v="2 days"/>
    <x v="1"/>
    <s v="Returning"/>
    <s v="Standard"/>
    <n v="25"/>
    <n v="2"/>
    <n v="3347"/>
    <n v="6694"/>
    <n v="0"/>
    <x v="1"/>
    <x v="1"/>
    <x v="1"/>
    <x v="0"/>
  </r>
  <r>
    <n v="1280"/>
    <s v="C0816"/>
    <x v="119"/>
    <s v="48 days"/>
    <x v="128"/>
    <x v="120"/>
    <s v="3 days"/>
    <x v="1"/>
    <s v="New"/>
    <s v="Suite"/>
    <n v="48"/>
    <n v="3"/>
    <n v="7209"/>
    <n v="21627"/>
    <n v="21627"/>
    <x v="0"/>
    <x v="0"/>
    <x v="0"/>
    <x v="0"/>
  </r>
  <r>
    <n v="1281"/>
    <s v="C0208"/>
    <x v="201"/>
    <s v="27 days"/>
    <x v="196"/>
    <x v="189"/>
    <s v="3 days"/>
    <x v="0"/>
    <s v="Returning"/>
    <s v="Deluxe"/>
    <n v="27"/>
    <n v="3"/>
    <n v="7007"/>
    <n v="21021"/>
    <n v="21021"/>
    <x v="1"/>
    <x v="0"/>
    <x v="0"/>
    <x v="1"/>
  </r>
  <r>
    <n v="1282"/>
    <s v="C1155"/>
    <x v="171"/>
    <s v="51 days"/>
    <x v="77"/>
    <x v="105"/>
    <s v="1 days"/>
    <x v="0"/>
    <s v="New"/>
    <s v="Suite"/>
    <n v="51"/>
    <n v="1"/>
    <n v="7273"/>
    <n v="7273"/>
    <n v="0"/>
    <x v="0"/>
    <x v="1"/>
    <x v="1"/>
    <x v="0"/>
  </r>
  <r>
    <n v="1283"/>
    <s v="C0404"/>
    <x v="46"/>
    <s v="14 days"/>
    <x v="134"/>
    <x v="190"/>
    <s v="2 days"/>
    <x v="1"/>
    <s v="New"/>
    <s v="Standard"/>
    <n v="14"/>
    <n v="2"/>
    <n v="6754"/>
    <n v="13508"/>
    <n v="13508"/>
    <x v="1"/>
    <x v="0"/>
    <x v="0"/>
    <x v="1"/>
  </r>
  <r>
    <n v="1284"/>
    <s v="C0152"/>
    <x v="65"/>
    <s v="57 days"/>
    <x v="193"/>
    <x v="191"/>
    <s v="2 days"/>
    <x v="1"/>
    <s v="Returning"/>
    <s v="Standard"/>
    <n v="57"/>
    <n v="2"/>
    <n v="8657"/>
    <n v="17314"/>
    <n v="17314"/>
    <x v="0"/>
    <x v="0"/>
    <x v="0"/>
    <x v="0"/>
  </r>
  <r>
    <n v="1285"/>
    <s v="C0054"/>
    <x v="8"/>
    <s v="48 days"/>
    <x v="197"/>
    <x v="109"/>
    <s v="1 days"/>
    <x v="2"/>
    <s v="New"/>
    <s v="Standard"/>
    <n v="48"/>
    <n v="1"/>
    <n v="6968"/>
    <n v="6968"/>
    <n v="0"/>
    <x v="0"/>
    <x v="1"/>
    <x v="1"/>
    <x v="0"/>
  </r>
  <r>
    <n v="1286"/>
    <s v="C1144"/>
    <x v="202"/>
    <s v="59 days"/>
    <x v="93"/>
    <x v="89"/>
    <s v="2 days"/>
    <x v="0"/>
    <s v="Returning"/>
    <s v="Standard"/>
    <n v="59"/>
    <n v="2"/>
    <n v="4772"/>
    <n v="9544"/>
    <n v="0"/>
    <x v="0"/>
    <x v="1"/>
    <x v="1"/>
    <x v="1"/>
  </r>
  <r>
    <n v="1287"/>
    <s v="C0628"/>
    <x v="203"/>
    <s v="47 days"/>
    <x v="198"/>
    <x v="192"/>
    <s v="4 days"/>
    <x v="2"/>
    <s v="New"/>
    <s v="Deluxe"/>
    <n v="47"/>
    <n v="4"/>
    <n v="7692"/>
    <n v="30768"/>
    <n v="0"/>
    <x v="0"/>
    <x v="1"/>
    <x v="1"/>
    <x v="1"/>
  </r>
  <r>
    <n v="1288"/>
    <s v="C0587"/>
    <x v="204"/>
    <s v="54 days"/>
    <x v="144"/>
    <x v="193"/>
    <s v="1 days"/>
    <x v="1"/>
    <s v="Returning"/>
    <s v="Suite"/>
    <n v="54"/>
    <n v="1"/>
    <n v="5820"/>
    <n v="5820"/>
    <n v="0"/>
    <x v="0"/>
    <x v="1"/>
    <x v="1"/>
    <x v="1"/>
  </r>
  <r>
    <n v="1289"/>
    <s v="C1444"/>
    <x v="205"/>
    <s v="36 days"/>
    <x v="89"/>
    <x v="194"/>
    <s v="4 days"/>
    <x v="3"/>
    <s v="Returning"/>
    <s v="Deluxe"/>
    <n v="36"/>
    <n v="4"/>
    <n v="5058"/>
    <n v="20232"/>
    <n v="0"/>
    <x v="1"/>
    <x v="1"/>
    <x v="1"/>
    <x v="1"/>
  </r>
  <r>
    <n v="1290"/>
    <s v="C1446"/>
    <x v="206"/>
    <s v="39 days"/>
    <x v="199"/>
    <x v="195"/>
    <s v="2 days"/>
    <x v="3"/>
    <s v="New"/>
    <s v="Standard"/>
    <n v="39"/>
    <n v="2"/>
    <n v="7198"/>
    <n v="14396"/>
    <n v="0"/>
    <x v="1"/>
    <x v="1"/>
    <x v="1"/>
    <x v="0"/>
  </r>
  <r>
    <n v="1291"/>
    <s v="C0104"/>
    <x v="168"/>
    <s v="16 days"/>
    <x v="200"/>
    <x v="196"/>
    <s v="1 days"/>
    <x v="1"/>
    <s v="Returning"/>
    <s v="Standard"/>
    <n v="16"/>
    <n v="1"/>
    <n v="6811"/>
    <n v="6811"/>
    <n v="0"/>
    <x v="0"/>
    <x v="1"/>
    <x v="1"/>
    <x v="1"/>
  </r>
  <r>
    <n v="1292"/>
    <s v="C0254"/>
    <x v="207"/>
    <s v="56 days"/>
    <x v="201"/>
    <x v="100"/>
    <s v="2 days"/>
    <x v="0"/>
    <s v="Returning"/>
    <s v="Standard"/>
    <n v="56"/>
    <n v="2"/>
    <n v="4496"/>
    <n v="8992"/>
    <n v="0"/>
    <x v="1"/>
    <x v="1"/>
    <x v="1"/>
    <x v="0"/>
  </r>
  <r>
    <n v="1293"/>
    <s v="C1251"/>
    <x v="26"/>
    <s v="22 days"/>
    <x v="16"/>
    <x v="87"/>
    <s v="1 days"/>
    <x v="3"/>
    <s v="New"/>
    <s v="Standard"/>
    <n v="22"/>
    <n v="1"/>
    <n v="6173"/>
    <n v="6173"/>
    <n v="6173"/>
    <x v="0"/>
    <x v="0"/>
    <x v="0"/>
    <x v="0"/>
  </r>
  <r>
    <n v="1294"/>
    <s v="C1136"/>
    <x v="208"/>
    <s v="21 days"/>
    <x v="202"/>
    <x v="182"/>
    <s v="2 days"/>
    <x v="0"/>
    <s v="Returning"/>
    <s v="Suite"/>
    <n v="21"/>
    <n v="2"/>
    <n v="4064"/>
    <n v="8128"/>
    <n v="0"/>
    <x v="0"/>
    <x v="1"/>
    <x v="1"/>
    <x v="0"/>
  </r>
  <r>
    <n v="1295"/>
    <s v="C0510"/>
    <x v="209"/>
    <s v="54 days"/>
    <x v="176"/>
    <x v="103"/>
    <s v="4 days"/>
    <x v="3"/>
    <s v="New"/>
    <s v="Standard"/>
    <n v="54"/>
    <n v="4"/>
    <n v="6518"/>
    <n v="26072"/>
    <n v="0"/>
    <x v="0"/>
    <x v="1"/>
    <x v="1"/>
    <x v="0"/>
  </r>
  <r>
    <n v="1296"/>
    <s v="C1497"/>
    <x v="204"/>
    <s v="21 days"/>
    <x v="197"/>
    <x v="197"/>
    <s v="4 days"/>
    <x v="0"/>
    <s v="Returning"/>
    <s v="Suite"/>
    <n v="21"/>
    <n v="4"/>
    <n v="4340"/>
    <n v="17360"/>
    <n v="17360"/>
    <x v="1"/>
    <x v="0"/>
    <x v="0"/>
    <x v="0"/>
  </r>
  <r>
    <n v="1297"/>
    <s v="C0099"/>
    <x v="146"/>
    <s v="8 days"/>
    <x v="203"/>
    <x v="102"/>
    <s v="2 days"/>
    <x v="3"/>
    <s v="New"/>
    <s v="Standard"/>
    <n v="8"/>
    <n v="2"/>
    <n v="8558"/>
    <n v="17116"/>
    <n v="0"/>
    <x v="0"/>
    <x v="1"/>
    <x v="1"/>
    <x v="0"/>
  </r>
  <r>
    <n v="1298"/>
    <s v="C0153"/>
    <x v="19"/>
    <s v="49 days"/>
    <x v="54"/>
    <x v="54"/>
    <s v="1 days"/>
    <x v="0"/>
    <s v="New"/>
    <s v="Suite"/>
    <n v="49"/>
    <n v="1"/>
    <n v="5791"/>
    <n v="5791"/>
    <n v="5791"/>
    <x v="1"/>
    <x v="0"/>
    <x v="0"/>
    <x v="1"/>
  </r>
  <r>
    <n v="1299"/>
    <s v="C0914"/>
    <x v="210"/>
    <s v="16 days"/>
    <x v="204"/>
    <x v="181"/>
    <s v="3 days"/>
    <x v="2"/>
    <s v="New"/>
    <s v="Suite"/>
    <n v="16"/>
    <n v="3"/>
    <n v="5387"/>
    <n v="16161"/>
    <n v="16161"/>
    <x v="0"/>
    <x v="0"/>
    <x v="0"/>
    <x v="0"/>
  </r>
  <r>
    <n v="1300"/>
    <s v="C0878"/>
    <x v="211"/>
    <s v="59 days"/>
    <x v="56"/>
    <x v="104"/>
    <s v="4 days"/>
    <x v="0"/>
    <s v="New"/>
    <s v="Standard"/>
    <n v="59"/>
    <n v="4"/>
    <n v="3226"/>
    <n v="12904"/>
    <n v="0"/>
    <x v="0"/>
    <x v="1"/>
    <x v="1"/>
    <x v="0"/>
  </r>
  <r>
    <n v="1301"/>
    <s v="C0338"/>
    <x v="212"/>
    <s v="55 days"/>
    <x v="108"/>
    <x v="5"/>
    <s v="4 days"/>
    <x v="2"/>
    <s v="Returning"/>
    <s v="Deluxe"/>
    <n v="55"/>
    <n v="4"/>
    <n v="3744"/>
    <n v="14976"/>
    <n v="0"/>
    <x v="1"/>
    <x v="1"/>
    <x v="1"/>
    <x v="0"/>
  </r>
  <r>
    <n v="1302"/>
    <s v="C0822"/>
    <x v="37"/>
    <s v="31 days"/>
    <x v="168"/>
    <x v="198"/>
    <s v="3 days"/>
    <x v="2"/>
    <s v="New"/>
    <s v="Deluxe"/>
    <n v="31"/>
    <n v="3"/>
    <n v="5960"/>
    <n v="17880"/>
    <n v="0"/>
    <x v="0"/>
    <x v="1"/>
    <x v="1"/>
    <x v="1"/>
  </r>
  <r>
    <n v="1303"/>
    <s v="C1187"/>
    <x v="189"/>
    <s v="42 days"/>
    <x v="92"/>
    <x v="199"/>
    <s v="2 days"/>
    <x v="1"/>
    <s v="Returning"/>
    <s v="Deluxe"/>
    <n v="42"/>
    <n v="2"/>
    <n v="6218"/>
    <n v="12436"/>
    <n v="12436"/>
    <x v="1"/>
    <x v="0"/>
    <x v="0"/>
    <x v="1"/>
  </r>
  <r>
    <n v="1304"/>
    <s v="C0957"/>
    <x v="42"/>
    <s v="10 days"/>
    <x v="205"/>
    <x v="122"/>
    <s v="1 days"/>
    <x v="2"/>
    <s v="New"/>
    <s v="Deluxe"/>
    <n v="10"/>
    <n v="1"/>
    <n v="3565"/>
    <n v="3565"/>
    <n v="0"/>
    <x v="0"/>
    <x v="1"/>
    <x v="1"/>
    <x v="0"/>
  </r>
  <r>
    <n v="1305"/>
    <s v="C0161"/>
    <x v="90"/>
    <s v="32 days"/>
    <x v="172"/>
    <x v="170"/>
    <s v="2 days"/>
    <x v="4"/>
    <s v="Returning"/>
    <s v="Deluxe"/>
    <n v="32"/>
    <n v="2"/>
    <n v="7271"/>
    <n v="14542"/>
    <n v="14542"/>
    <x v="0"/>
    <x v="0"/>
    <x v="0"/>
    <x v="1"/>
  </r>
  <r>
    <n v="1306"/>
    <s v="C0801"/>
    <x v="130"/>
    <s v="59 days"/>
    <x v="8"/>
    <x v="69"/>
    <s v="5 days"/>
    <x v="2"/>
    <s v="New"/>
    <s v="Standard"/>
    <n v="59"/>
    <n v="5"/>
    <n v="2782"/>
    <n v="13910"/>
    <n v="0"/>
    <x v="0"/>
    <x v="1"/>
    <x v="1"/>
    <x v="0"/>
  </r>
  <r>
    <n v="1307"/>
    <s v="C0398"/>
    <x v="67"/>
    <s v="34 days"/>
    <x v="206"/>
    <x v="200"/>
    <s v="4 days"/>
    <x v="0"/>
    <s v="Returning"/>
    <s v="Standard"/>
    <n v="34"/>
    <n v="4"/>
    <n v="3581"/>
    <n v="14324"/>
    <n v="14324"/>
    <x v="1"/>
    <x v="0"/>
    <x v="0"/>
    <x v="1"/>
  </r>
  <r>
    <n v="1308"/>
    <s v="C1301"/>
    <x v="206"/>
    <s v="9 days"/>
    <x v="207"/>
    <x v="201"/>
    <s v="5 days"/>
    <x v="2"/>
    <s v="Returning"/>
    <s v="Standard"/>
    <n v="9"/>
    <n v="5"/>
    <n v="6385"/>
    <n v="31925"/>
    <n v="0"/>
    <x v="0"/>
    <x v="1"/>
    <x v="1"/>
    <x v="0"/>
  </r>
  <r>
    <n v="1309"/>
    <s v="C0816"/>
    <x v="76"/>
    <s v="17 days"/>
    <x v="149"/>
    <x v="180"/>
    <s v="4 days"/>
    <x v="0"/>
    <s v="New"/>
    <s v="Standard"/>
    <n v="17"/>
    <n v="4"/>
    <n v="5381"/>
    <n v="21524"/>
    <n v="21524"/>
    <x v="1"/>
    <x v="0"/>
    <x v="0"/>
    <x v="1"/>
  </r>
  <r>
    <n v="1310"/>
    <s v="C1416"/>
    <x v="213"/>
    <s v="11 days"/>
    <x v="208"/>
    <x v="202"/>
    <s v="4 days"/>
    <x v="0"/>
    <s v="New"/>
    <s v="Standard"/>
    <n v="11"/>
    <n v="4"/>
    <n v="5084"/>
    <n v="20336"/>
    <n v="20336"/>
    <x v="0"/>
    <x v="0"/>
    <x v="0"/>
    <x v="1"/>
  </r>
  <r>
    <n v="1311"/>
    <s v="C1159"/>
    <x v="85"/>
    <s v="32 days"/>
    <x v="131"/>
    <x v="203"/>
    <s v="5 days"/>
    <x v="4"/>
    <s v="New"/>
    <s v="Standard"/>
    <n v="32"/>
    <n v="5"/>
    <n v="8504"/>
    <n v="42520"/>
    <n v="0"/>
    <x v="0"/>
    <x v="1"/>
    <x v="1"/>
    <x v="1"/>
  </r>
  <r>
    <n v="1312"/>
    <s v="C1219"/>
    <x v="80"/>
    <s v="10 days"/>
    <x v="209"/>
    <x v="139"/>
    <s v="5 days"/>
    <x v="2"/>
    <s v="Returning"/>
    <s v="Suite"/>
    <n v="10"/>
    <n v="5"/>
    <n v="5470"/>
    <n v="27350"/>
    <n v="27350"/>
    <x v="1"/>
    <x v="0"/>
    <x v="0"/>
    <x v="0"/>
  </r>
  <r>
    <n v="1313"/>
    <s v="C0401"/>
    <x v="214"/>
    <s v="22 days"/>
    <x v="110"/>
    <x v="186"/>
    <s v="2 days"/>
    <x v="2"/>
    <s v="Returning"/>
    <s v="Suite"/>
    <n v="22"/>
    <n v="2"/>
    <n v="3652"/>
    <n v="7304"/>
    <n v="0"/>
    <x v="0"/>
    <x v="1"/>
    <x v="1"/>
    <x v="0"/>
  </r>
  <r>
    <n v="1314"/>
    <s v="C0640"/>
    <x v="215"/>
    <s v="57 days"/>
    <x v="210"/>
    <x v="204"/>
    <s v="5 days"/>
    <x v="3"/>
    <s v="Returning"/>
    <s v="Standard"/>
    <n v="57"/>
    <n v="5"/>
    <n v="5997"/>
    <n v="29985"/>
    <n v="29985"/>
    <x v="0"/>
    <x v="0"/>
    <x v="0"/>
    <x v="0"/>
  </r>
  <r>
    <n v="1315"/>
    <s v="C1057"/>
    <x v="26"/>
    <s v="17 days"/>
    <x v="53"/>
    <x v="205"/>
    <s v="2 days"/>
    <x v="3"/>
    <s v="Returning"/>
    <s v="Standard"/>
    <n v="17"/>
    <n v="2"/>
    <n v="3447"/>
    <n v="6894"/>
    <n v="6894"/>
    <x v="1"/>
    <x v="0"/>
    <x v="0"/>
    <x v="1"/>
  </r>
  <r>
    <n v="1316"/>
    <s v="C0688"/>
    <x v="155"/>
    <s v="4 days"/>
    <x v="211"/>
    <x v="18"/>
    <s v="2 days"/>
    <x v="1"/>
    <s v="New"/>
    <s v="Suite"/>
    <n v="4"/>
    <n v="2"/>
    <n v="7260"/>
    <n v="14520"/>
    <n v="14520"/>
    <x v="1"/>
    <x v="0"/>
    <x v="0"/>
    <x v="1"/>
  </r>
  <r>
    <n v="1317"/>
    <s v="C0460"/>
    <x v="216"/>
    <s v="48 days"/>
    <x v="212"/>
    <x v="140"/>
    <s v="2 days"/>
    <x v="0"/>
    <s v="New"/>
    <s v="Suite"/>
    <n v="48"/>
    <n v="2"/>
    <n v="4217"/>
    <n v="8434"/>
    <n v="8434"/>
    <x v="1"/>
    <x v="0"/>
    <x v="0"/>
    <x v="0"/>
  </r>
  <r>
    <n v="1318"/>
    <s v="C0955"/>
    <x v="217"/>
    <s v="52 days"/>
    <x v="213"/>
    <x v="30"/>
    <s v="4 days"/>
    <x v="4"/>
    <s v="New"/>
    <s v="Standard"/>
    <n v="52"/>
    <n v="4"/>
    <n v="7744"/>
    <n v="30976"/>
    <n v="0"/>
    <x v="0"/>
    <x v="1"/>
    <x v="1"/>
    <x v="1"/>
  </r>
  <r>
    <n v="1319"/>
    <s v="C0470"/>
    <x v="218"/>
    <s v="47 days"/>
    <x v="214"/>
    <x v="175"/>
    <s v="4 days"/>
    <x v="3"/>
    <s v="New"/>
    <s v="Suite"/>
    <n v="47"/>
    <n v="4"/>
    <n v="2566"/>
    <n v="10264"/>
    <n v="0"/>
    <x v="1"/>
    <x v="1"/>
    <x v="1"/>
    <x v="0"/>
  </r>
  <r>
    <n v="1320"/>
    <s v="C1399"/>
    <x v="219"/>
    <s v="25 days"/>
    <x v="215"/>
    <x v="103"/>
    <s v="5 days"/>
    <x v="2"/>
    <s v="Returning"/>
    <s v="Deluxe"/>
    <n v="25"/>
    <n v="5"/>
    <n v="8649"/>
    <n v="43245"/>
    <n v="0"/>
    <x v="1"/>
    <x v="1"/>
    <x v="1"/>
    <x v="0"/>
  </r>
  <r>
    <n v="1321"/>
    <s v="C1046"/>
    <x v="140"/>
    <s v="59 days"/>
    <x v="158"/>
    <x v="206"/>
    <s v="4 days"/>
    <x v="1"/>
    <s v="Returning"/>
    <s v="Deluxe"/>
    <n v="59"/>
    <n v="4"/>
    <n v="3136"/>
    <n v="12544"/>
    <n v="0"/>
    <x v="0"/>
    <x v="1"/>
    <x v="1"/>
    <x v="0"/>
  </r>
  <r>
    <n v="1322"/>
    <s v="C0750"/>
    <x v="220"/>
    <s v="21 days"/>
    <x v="216"/>
    <x v="81"/>
    <s v="5 days"/>
    <x v="4"/>
    <s v="New"/>
    <s v="Deluxe"/>
    <n v="21"/>
    <n v="5"/>
    <n v="2813"/>
    <n v="14065"/>
    <n v="0"/>
    <x v="1"/>
    <x v="1"/>
    <x v="1"/>
    <x v="0"/>
  </r>
  <r>
    <n v="1323"/>
    <s v="C0038"/>
    <x v="221"/>
    <s v="37 days"/>
    <x v="148"/>
    <x v="207"/>
    <s v="4 days"/>
    <x v="2"/>
    <s v="Returning"/>
    <s v="Suite"/>
    <n v="37"/>
    <n v="4"/>
    <n v="5897"/>
    <n v="23588"/>
    <n v="0"/>
    <x v="1"/>
    <x v="1"/>
    <x v="1"/>
    <x v="1"/>
  </r>
  <r>
    <n v="1324"/>
    <s v="C0230"/>
    <x v="222"/>
    <s v="38 days"/>
    <x v="173"/>
    <x v="70"/>
    <s v="1 days"/>
    <x v="2"/>
    <s v="New"/>
    <s v="Standard"/>
    <n v="38"/>
    <n v="1"/>
    <n v="3064"/>
    <n v="3064"/>
    <n v="3064"/>
    <x v="0"/>
    <x v="0"/>
    <x v="0"/>
    <x v="1"/>
  </r>
  <r>
    <n v="1325"/>
    <s v="C1389"/>
    <x v="159"/>
    <s v="49 days"/>
    <x v="217"/>
    <x v="208"/>
    <s v="1 days"/>
    <x v="0"/>
    <s v="Returning"/>
    <s v="Standard"/>
    <n v="49"/>
    <n v="1"/>
    <n v="4101"/>
    <n v="4101"/>
    <n v="0"/>
    <x v="1"/>
    <x v="1"/>
    <x v="1"/>
    <x v="1"/>
  </r>
  <r>
    <n v="1326"/>
    <s v="C0563"/>
    <x v="190"/>
    <s v="1 days"/>
    <x v="88"/>
    <x v="209"/>
    <s v="5 days"/>
    <x v="0"/>
    <s v="Returning"/>
    <s v="Standard"/>
    <n v="1"/>
    <n v="5"/>
    <n v="3325"/>
    <n v="16625"/>
    <n v="16625"/>
    <x v="0"/>
    <x v="0"/>
    <x v="0"/>
    <x v="0"/>
  </r>
  <r>
    <n v="1327"/>
    <s v="C0438"/>
    <x v="165"/>
    <s v="25 days"/>
    <x v="121"/>
    <x v="210"/>
    <s v="4 days"/>
    <x v="3"/>
    <s v="Returning"/>
    <s v="Suite"/>
    <n v="25"/>
    <n v="4"/>
    <n v="7701"/>
    <n v="30804"/>
    <n v="0"/>
    <x v="1"/>
    <x v="1"/>
    <x v="1"/>
    <x v="1"/>
  </r>
  <r>
    <n v="1328"/>
    <s v="C1307"/>
    <x v="189"/>
    <s v="51 days"/>
    <x v="218"/>
    <x v="211"/>
    <s v="4 days"/>
    <x v="3"/>
    <s v="Returning"/>
    <s v="Suite"/>
    <n v="51"/>
    <n v="4"/>
    <n v="6170"/>
    <n v="24680"/>
    <n v="0"/>
    <x v="1"/>
    <x v="1"/>
    <x v="1"/>
    <x v="0"/>
  </r>
  <r>
    <n v="1329"/>
    <s v="C0027"/>
    <x v="223"/>
    <s v="36 days"/>
    <x v="219"/>
    <x v="212"/>
    <s v="2 days"/>
    <x v="2"/>
    <s v="Returning"/>
    <s v="Deluxe"/>
    <n v="36"/>
    <n v="2"/>
    <n v="3525"/>
    <n v="7050"/>
    <n v="7050"/>
    <x v="0"/>
    <x v="0"/>
    <x v="0"/>
    <x v="0"/>
  </r>
  <r>
    <n v="1330"/>
    <s v="C0226"/>
    <x v="224"/>
    <s v="17 days"/>
    <x v="220"/>
    <x v="213"/>
    <s v="3 days"/>
    <x v="2"/>
    <s v="Returning"/>
    <s v="Suite"/>
    <n v="17"/>
    <n v="3"/>
    <n v="4751"/>
    <n v="14253"/>
    <n v="0"/>
    <x v="1"/>
    <x v="1"/>
    <x v="1"/>
    <x v="0"/>
  </r>
  <r>
    <n v="1331"/>
    <s v="C1301"/>
    <x v="8"/>
    <s v="41 days"/>
    <x v="221"/>
    <x v="196"/>
    <s v="5 days"/>
    <x v="3"/>
    <s v="New"/>
    <s v="Deluxe"/>
    <n v="41"/>
    <n v="5"/>
    <n v="7257"/>
    <n v="36285"/>
    <n v="0"/>
    <x v="0"/>
    <x v="1"/>
    <x v="1"/>
    <x v="0"/>
  </r>
  <r>
    <n v="1332"/>
    <s v="C0798"/>
    <x v="211"/>
    <s v="24 days"/>
    <x v="222"/>
    <x v="114"/>
    <s v="3 days"/>
    <x v="3"/>
    <s v="Returning"/>
    <s v="Deluxe"/>
    <n v="24"/>
    <n v="3"/>
    <n v="3304"/>
    <n v="9912"/>
    <n v="9912"/>
    <x v="1"/>
    <x v="0"/>
    <x v="0"/>
    <x v="0"/>
  </r>
  <r>
    <n v="1333"/>
    <s v="C0284"/>
    <x v="194"/>
    <s v="2 days"/>
    <x v="223"/>
    <x v="174"/>
    <s v="3 days"/>
    <x v="2"/>
    <s v="New"/>
    <s v="Standard"/>
    <n v="2"/>
    <n v="3"/>
    <n v="4951"/>
    <n v="14853"/>
    <n v="14853"/>
    <x v="1"/>
    <x v="0"/>
    <x v="0"/>
    <x v="0"/>
  </r>
  <r>
    <n v="1334"/>
    <s v="C0879"/>
    <x v="225"/>
    <s v="40 days"/>
    <x v="28"/>
    <x v="157"/>
    <s v="5 days"/>
    <x v="4"/>
    <s v="New"/>
    <s v="Suite"/>
    <n v="40"/>
    <n v="5"/>
    <n v="7131"/>
    <n v="35655"/>
    <n v="35655"/>
    <x v="0"/>
    <x v="0"/>
    <x v="0"/>
    <x v="1"/>
  </r>
  <r>
    <n v="1335"/>
    <s v="C0960"/>
    <x v="226"/>
    <s v="15 days"/>
    <x v="84"/>
    <x v="193"/>
    <s v="4 days"/>
    <x v="2"/>
    <s v="New"/>
    <s v="Standard"/>
    <n v="15"/>
    <n v="4"/>
    <n v="3891"/>
    <n v="15564"/>
    <n v="15564"/>
    <x v="0"/>
    <x v="0"/>
    <x v="0"/>
    <x v="1"/>
  </r>
  <r>
    <n v="1336"/>
    <s v="C0453"/>
    <x v="124"/>
    <s v="32 days"/>
    <x v="27"/>
    <x v="214"/>
    <s v="5 days"/>
    <x v="4"/>
    <s v="New"/>
    <s v="Standard"/>
    <n v="32"/>
    <n v="5"/>
    <n v="3735"/>
    <n v="18675"/>
    <n v="0"/>
    <x v="1"/>
    <x v="1"/>
    <x v="1"/>
    <x v="1"/>
  </r>
  <r>
    <n v="1337"/>
    <s v="C1020"/>
    <x v="146"/>
    <s v="39 days"/>
    <x v="207"/>
    <x v="215"/>
    <s v="3 days"/>
    <x v="4"/>
    <s v="New"/>
    <s v="Suite"/>
    <n v="39"/>
    <n v="3"/>
    <n v="6532"/>
    <n v="19596"/>
    <n v="0"/>
    <x v="1"/>
    <x v="1"/>
    <x v="1"/>
    <x v="1"/>
  </r>
  <r>
    <n v="1338"/>
    <s v="C0816"/>
    <x v="208"/>
    <s v="59 days"/>
    <x v="224"/>
    <x v="216"/>
    <s v="4 days"/>
    <x v="2"/>
    <s v="New"/>
    <s v="Suite"/>
    <n v="59"/>
    <n v="4"/>
    <n v="5780"/>
    <n v="23120"/>
    <n v="0"/>
    <x v="1"/>
    <x v="1"/>
    <x v="1"/>
    <x v="0"/>
  </r>
  <r>
    <n v="1339"/>
    <s v="C0659"/>
    <x v="117"/>
    <s v="6 days"/>
    <x v="225"/>
    <x v="217"/>
    <s v="1 days"/>
    <x v="1"/>
    <s v="Returning"/>
    <s v="Deluxe"/>
    <n v="6"/>
    <n v="1"/>
    <n v="8516"/>
    <n v="8516"/>
    <n v="8516"/>
    <x v="0"/>
    <x v="0"/>
    <x v="0"/>
    <x v="0"/>
  </r>
  <r>
    <n v="1340"/>
    <s v="C0547"/>
    <x v="144"/>
    <s v="1 days"/>
    <x v="215"/>
    <x v="103"/>
    <s v="5 days"/>
    <x v="3"/>
    <s v="Returning"/>
    <s v="Deluxe"/>
    <n v="1"/>
    <n v="5"/>
    <n v="8760"/>
    <n v="43800"/>
    <n v="0"/>
    <x v="0"/>
    <x v="1"/>
    <x v="1"/>
    <x v="1"/>
  </r>
  <r>
    <n v="1341"/>
    <s v="C1216"/>
    <x v="224"/>
    <s v="47 days"/>
    <x v="202"/>
    <x v="218"/>
    <s v="5 days"/>
    <x v="0"/>
    <s v="Returning"/>
    <s v="Deluxe"/>
    <n v="47"/>
    <n v="5"/>
    <n v="7223"/>
    <n v="36115"/>
    <n v="36115"/>
    <x v="1"/>
    <x v="0"/>
    <x v="0"/>
    <x v="1"/>
  </r>
  <r>
    <n v="1342"/>
    <s v="C1073"/>
    <x v="227"/>
    <s v="23 days"/>
    <x v="226"/>
    <x v="219"/>
    <s v="4 days"/>
    <x v="2"/>
    <s v="New"/>
    <s v="Deluxe"/>
    <n v="23"/>
    <n v="4"/>
    <n v="7344"/>
    <n v="29376"/>
    <n v="0"/>
    <x v="1"/>
    <x v="1"/>
    <x v="1"/>
    <x v="1"/>
  </r>
  <r>
    <n v="1343"/>
    <s v="C0017"/>
    <x v="211"/>
    <s v="58 days"/>
    <x v="227"/>
    <x v="220"/>
    <s v="1 days"/>
    <x v="4"/>
    <s v="New"/>
    <s v="Standard"/>
    <n v="58"/>
    <n v="1"/>
    <n v="6049"/>
    <n v="6049"/>
    <n v="6049"/>
    <x v="1"/>
    <x v="0"/>
    <x v="0"/>
    <x v="1"/>
  </r>
  <r>
    <n v="1344"/>
    <s v="C1196"/>
    <x v="228"/>
    <s v="39 days"/>
    <x v="18"/>
    <x v="18"/>
    <s v="1 days"/>
    <x v="2"/>
    <s v="New"/>
    <s v="Standard"/>
    <n v="39"/>
    <n v="1"/>
    <n v="6700"/>
    <n v="6700"/>
    <n v="0"/>
    <x v="0"/>
    <x v="1"/>
    <x v="1"/>
    <x v="1"/>
  </r>
  <r>
    <n v="1345"/>
    <s v="C1244"/>
    <x v="195"/>
    <s v="57 days"/>
    <x v="135"/>
    <x v="221"/>
    <s v="4 days"/>
    <x v="3"/>
    <s v="Returning"/>
    <s v="Suite"/>
    <n v="57"/>
    <n v="4"/>
    <n v="6641"/>
    <n v="26564"/>
    <n v="0"/>
    <x v="1"/>
    <x v="1"/>
    <x v="1"/>
    <x v="1"/>
  </r>
  <r>
    <n v="1346"/>
    <s v="C0158"/>
    <x v="121"/>
    <s v="17 days"/>
    <x v="228"/>
    <x v="79"/>
    <s v="2 days"/>
    <x v="4"/>
    <s v="Returning"/>
    <s v="Deluxe"/>
    <n v="17"/>
    <n v="2"/>
    <n v="3854"/>
    <n v="7708"/>
    <n v="0"/>
    <x v="0"/>
    <x v="1"/>
    <x v="1"/>
    <x v="1"/>
  </r>
  <r>
    <n v="1347"/>
    <s v="C0477"/>
    <x v="40"/>
    <s v="34 days"/>
    <x v="229"/>
    <x v="222"/>
    <s v="5 days"/>
    <x v="0"/>
    <s v="Returning"/>
    <s v="Deluxe"/>
    <n v="34"/>
    <n v="5"/>
    <n v="7835"/>
    <n v="39175"/>
    <n v="39175"/>
    <x v="0"/>
    <x v="0"/>
    <x v="0"/>
    <x v="1"/>
  </r>
  <r>
    <n v="1348"/>
    <s v="C1070"/>
    <x v="229"/>
    <s v="59 days"/>
    <x v="230"/>
    <x v="223"/>
    <s v="5 days"/>
    <x v="0"/>
    <s v="New"/>
    <s v="Deluxe"/>
    <n v="59"/>
    <n v="5"/>
    <n v="7577"/>
    <n v="37885"/>
    <n v="0"/>
    <x v="1"/>
    <x v="1"/>
    <x v="1"/>
    <x v="0"/>
  </r>
  <r>
    <n v="1349"/>
    <s v="C1397"/>
    <x v="42"/>
    <s v="41 days"/>
    <x v="95"/>
    <x v="92"/>
    <s v="3 days"/>
    <x v="0"/>
    <s v="New"/>
    <s v="Standard"/>
    <n v="41"/>
    <n v="3"/>
    <n v="7555"/>
    <n v="22665"/>
    <n v="22665"/>
    <x v="0"/>
    <x v="0"/>
    <x v="0"/>
    <x v="0"/>
  </r>
  <r>
    <n v="1350"/>
    <s v="C0518"/>
    <x v="135"/>
    <s v="29 days"/>
    <x v="231"/>
    <x v="224"/>
    <s v="4 days"/>
    <x v="1"/>
    <s v="New"/>
    <s v="Suite"/>
    <n v="29"/>
    <n v="4"/>
    <n v="8111"/>
    <n v="32444"/>
    <n v="0"/>
    <x v="0"/>
    <x v="1"/>
    <x v="1"/>
    <x v="0"/>
  </r>
  <r>
    <n v="1351"/>
    <s v="C0099"/>
    <x v="120"/>
    <s v="9 days"/>
    <x v="232"/>
    <x v="225"/>
    <s v="3 days"/>
    <x v="4"/>
    <s v="Returning"/>
    <s v="Standard"/>
    <n v="9"/>
    <n v="3"/>
    <n v="4336"/>
    <n v="13008"/>
    <n v="0"/>
    <x v="1"/>
    <x v="1"/>
    <x v="1"/>
    <x v="0"/>
  </r>
  <r>
    <n v="1352"/>
    <s v="C1061"/>
    <x v="229"/>
    <s v="13 days"/>
    <x v="138"/>
    <x v="134"/>
    <s v="3 days"/>
    <x v="4"/>
    <s v="New"/>
    <s v="Suite"/>
    <n v="13"/>
    <n v="3"/>
    <n v="5392"/>
    <n v="16176"/>
    <n v="0"/>
    <x v="1"/>
    <x v="1"/>
    <x v="1"/>
    <x v="1"/>
  </r>
  <r>
    <n v="1353"/>
    <s v="C0280"/>
    <x v="230"/>
    <s v="6 days"/>
    <x v="204"/>
    <x v="120"/>
    <s v="1 days"/>
    <x v="1"/>
    <s v="New"/>
    <s v="Suite"/>
    <n v="6"/>
    <n v="1"/>
    <n v="4996"/>
    <n v="4996"/>
    <n v="4996"/>
    <x v="1"/>
    <x v="0"/>
    <x v="0"/>
    <x v="0"/>
  </r>
  <r>
    <n v="1354"/>
    <s v="C1373"/>
    <x v="231"/>
    <s v="6 days"/>
    <x v="41"/>
    <x v="193"/>
    <s v="5 days"/>
    <x v="4"/>
    <s v="New"/>
    <s v="Standard"/>
    <n v="6"/>
    <n v="5"/>
    <n v="5083"/>
    <n v="25415"/>
    <n v="25415"/>
    <x v="1"/>
    <x v="0"/>
    <x v="0"/>
    <x v="1"/>
  </r>
  <r>
    <n v="1355"/>
    <s v="C0497"/>
    <x v="139"/>
    <s v="20 days"/>
    <x v="233"/>
    <x v="31"/>
    <s v="3 days"/>
    <x v="1"/>
    <s v="New"/>
    <s v="Standard"/>
    <n v="20"/>
    <n v="3"/>
    <n v="5058"/>
    <n v="15174"/>
    <n v="15174"/>
    <x v="1"/>
    <x v="0"/>
    <x v="0"/>
    <x v="0"/>
  </r>
  <r>
    <n v="1356"/>
    <s v="C0302"/>
    <x v="206"/>
    <s v="52 days"/>
    <x v="82"/>
    <x v="20"/>
    <s v="1 days"/>
    <x v="2"/>
    <s v="Returning"/>
    <s v="Suite"/>
    <n v="52"/>
    <n v="1"/>
    <n v="8077"/>
    <n v="8077"/>
    <n v="0"/>
    <x v="1"/>
    <x v="1"/>
    <x v="1"/>
    <x v="1"/>
  </r>
  <r>
    <n v="1357"/>
    <s v="C0181"/>
    <x v="30"/>
    <s v="53 days"/>
    <x v="156"/>
    <x v="95"/>
    <s v="4 days"/>
    <x v="3"/>
    <s v="Returning"/>
    <s v="Standard"/>
    <n v="53"/>
    <n v="4"/>
    <n v="6118"/>
    <n v="24472"/>
    <n v="24472"/>
    <x v="1"/>
    <x v="0"/>
    <x v="0"/>
    <x v="1"/>
  </r>
  <r>
    <n v="1358"/>
    <s v="C0607"/>
    <x v="34"/>
    <s v="3 days"/>
    <x v="234"/>
    <x v="121"/>
    <s v="3 days"/>
    <x v="0"/>
    <s v="New"/>
    <s v="Standard"/>
    <n v="3"/>
    <n v="3"/>
    <n v="4059"/>
    <n v="12177"/>
    <n v="0"/>
    <x v="0"/>
    <x v="1"/>
    <x v="1"/>
    <x v="0"/>
  </r>
  <r>
    <n v="1359"/>
    <s v="C1123"/>
    <x v="112"/>
    <s v="17 days"/>
    <x v="235"/>
    <x v="226"/>
    <s v="5 days"/>
    <x v="1"/>
    <s v="New"/>
    <s v="Suite"/>
    <n v="17"/>
    <n v="5"/>
    <n v="4007"/>
    <n v="20035"/>
    <n v="20035"/>
    <x v="1"/>
    <x v="0"/>
    <x v="0"/>
    <x v="0"/>
  </r>
  <r>
    <n v="1360"/>
    <s v="C0700"/>
    <x v="184"/>
    <s v="49 days"/>
    <x v="204"/>
    <x v="181"/>
    <s v="3 days"/>
    <x v="1"/>
    <s v="Returning"/>
    <s v="Suite"/>
    <n v="49"/>
    <n v="3"/>
    <n v="6571"/>
    <n v="19713"/>
    <n v="0"/>
    <x v="1"/>
    <x v="1"/>
    <x v="1"/>
    <x v="1"/>
  </r>
  <r>
    <n v="1361"/>
    <s v="C0993"/>
    <x v="216"/>
    <s v="12 days"/>
    <x v="123"/>
    <x v="227"/>
    <s v="4 days"/>
    <x v="1"/>
    <s v="Returning"/>
    <s v="Deluxe"/>
    <n v="12"/>
    <n v="4"/>
    <n v="4563"/>
    <n v="18252"/>
    <n v="18252"/>
    <x v="1"/>
    <x v="0"/>
    <x v="0"/>
    <x v="1"/>
  </r>
  <r>
    <n v="1362"/>
    <s v="C1140"/>
    <x v="214"/>
    <s v="48 days"/>
    <x v="218"/>
    <x v="228"/>
    <s v="3 days"/>
    <x v="2"/>
    <s v="New"/>
    <s v="Standard"/>
    <n v="48"/>
    <n v="3"/>
    <n v="6142"/>
    <n v="18426"/>
    <n v="0"/>
    <x v="1"/>
    <x v="1"/>
    <x v="1"/>
    <x v="1"/>
  </r>
  <r>
    <n v="1363"/>
    <s v="C0191"/>
    <x v="59"/>
    <s v="47 days"/>
    <x v="226"/>
    <x v="87"/>
    <s v="5 days"/>
    <x v="1"/>
    <s v="Returning"/>
    <s v="Suite"/>
    <n v="47"/>
    <n v="5"/>
    <n v="4500"/>
    <n v="22500"/>
    <n v="0"/>
    <x v="1"/>
    <x v="1"/>
    <x v="1"/>
    <x v="0"/>
  </r>
  <r>
    <n v="1364"/>
    <s v="C0253"/>
    <x v="232"/>
    <s v="45 days"/>
    <x v="216"/>
    <x v="170"/>
    <s v="1 days"/>
    <x v="3"/>
    <s v="Returning"/>
    <s v="Standard"/>
    <n v="45"/>
    <n v="1"/>
    <n v="8886"/>
    <n v="8886"/>
    <n v="0"/>
    <x v="1"/>
    <x v="1"/>
    <x v="1"/>
    <x v="0"/>
  </r>
  <r>
    <n v="1365"/>
    <s v="C0981"/>
    <x v="233"/>
    <s v="55 days"/>
    <x v="236"/>
    <x v="229"/>
    <s v="5 days"/>
    <x v="3"/>
    <s v="New"/>
    <s v="Standard"/>
    <n v="55"/>
    <n v="5"/>
    <n v="8569"/>
    <n v="42845"/>
    <n v="0"/>
    <x v="0"/>
    <x v="1"/>
    <x v="1"/>
    <x v="1"/>
  </r>
  <r>
    <n v="1366"/>
    <s v="C0928"/>
    <x v="209"/>
    <s v="1 days"/>
    <x v="237"/>
    <x v="230"/>
    <s v="1 days"/>
    <x v="0"/>
    <s v="Returning"/>
    <s v="Suite"/>
    <n v="1"/>
    <n v="1"/>
    <n v="7507"/>
    <n v="7507"/>
    <n v="7507"/>
    <x v="1"/>
    <x v="0"/>
    <x v="0"/>
    <x v="0"/>
  </r>
  <r>
    <n v="1367"/>
    <s v="C1185"/>
    <x v="234"/>
    <s v="17 days"/>
    <x v="1"/>
    <x v="1"/>
    <s v="2 days"/>
    <x v="2"/>
    <s v="Returning"/>
    <s v="Deluxe"/>
    <n v="17"/>
    <n v="2"/>
    <n v="3794"/>
    <n v="7588"/>
    <n v="7588"/>
    <x v="0"/>
    <x v="0"/>
    <x v="0"/>
    <x v="1"/>
  </r>
  <r>
    <n v="1368"/>
    <s v="C1280"/>
    <x v="170"/>
    <s v="3 days"/>
    <x v="238"/>
    <x v="168"/>
    <s v="5 days"/>
    <x v="3"/>
    <s v="Returning"/>
    <s v="Suite"/>
    <n v="3"/>
    <n v="5"/>
    <n v="6565"/>
    <n v="32825"/>
    <n v="32825"/>
    <x v="1"/>
    <x v="0"/>
    <x v="0"/>
    <x v="0"/>
  </r>
  <r>
    <n v="1369"/>
    <s v="C1347"/>
    <x v="235"/>
    <s v="26 days"/>
    <x v="1"/>
    <x v="231"/>
    <s v="5 days"/>
    <x v="4"/>
    <s v="Returning"/>
    <s v="Suite"/>
    <n v="26"/>
    <n v="5"/>
    <n v="8398"/>
    <n v="41990"/>
    <n v="41990"/>
    <x v="0"/>
    <x v="0"/>
    <x v="0"/>
    <x v="0"/>
  </r>
  <r>
    <n v="1370"/>
    <s v="C0128"/>
    <x v="236"/>
    <s v="15 days"/>
    <x v="172"/>
    <x v="232"/>
    <s v="4 days"/>
    <x v="4"/>
    <s v="New"/>
    <s v="Standard"/>
    <n v="15"/>
    <n v="4"/>
    <n v="5252"/>
    <n v="21008"/>
    <n v="0"/>
    <x v="0"/>
    <x v="1"/>
    <x v="1"/>
    <x v="0"/>
  </r>
  <r>
    <n v="1371"/>
    <s v="C0018"/>
    <x v="237"/>
    <s v="36 days"/>
    <x v="239"/>
    <x v="128"/>
    <s v="3 days"/>
    <x v="4"/>
    <s v="Returning"/>
    <s v="Deluxe"/>
    <n v="36"/>
    <n v="3"/>
    <n v="4253"/>
    <n v="12759"/>
    <n v="0"/>
    <x v="0"/>
    <x v="1"/>
    <x v="1"/>
    <x v="0"/>
  </r>
  <r>
    <n v="1372"/>
    <s v="C0566"/>
    <x v="35"/>
    <s v="32 days"/>
    <x v="173"/>
    <x v="70"/>
    <s v="1 days"/>
    <x v="1"/>
    <s v="Returning"/>
    <s v="Suite"/>
    <n v="32"/>
    <n v="1"/>
    <n v="6710"/>
    <n v="6710"/>
    <n v="6710"/>
    <x v="1"/>
    <x v="0"/>
    <x v="0"/>
    <x v="0"/>
  </r>
  <r>
    <n v="1373"/>
    <s v="C0570"/>
    <x v="34"/>
    <s v="32 days"/>
    <x v="47"/>
    <x v="130"/>
    <s v="1 days"/>
    <x v="1"/>
    <s v="New"/>
    <s v="Standard"/>
    <n v="32"/>
    <n v="1"/>
    <n v="4103"/>
    <n v="4103"/>
    <n v="0"/>
    <x v="1"/>
    <x v="1"/>
    <x v="1"/>
    <x v="1"/>
  </r>
  <r>
    <n v="1374"/>
    <s v="C1347"/>
    <x v="238"/>
    <s v="4 days"/>
    <x v="240"/>
    <x v="233"/>
    <s v="4 days"/>
    <x v="4"/>
    <s v="Returning"/>
    <s v="Suite"/>
    <n v="4"/>
    <n v="4"/>
    <n v="3822"/>
    <n v="15288"/>
    <n v="15288"/>
    <x v="1"/>
    <x v="0"/>
    <x v="0"/>
    <x v="1"/>
  </r>
  <r>
    <n v="1375"/>
    <s v="C0686"/>
    <x v="196"/>
    <s v="18 days"/>
    <x v="174"/>
    <x v="114"/>
    <s v="4 days"/>
    <x v="0"/>
    <s v="New"/>
    <s v="Standard"/>
    <n v="18"/>
    <n v="4"/>
    <n v="8456"/>
    <n v="33824"/>
    <n v="0"/>
    <x v="1"/>
    <x v="1"/>
    <x v="1"/>
    <x v="0"/>
  </r>
  <r>
    <n v="1376"/>
    <s v="C0626"/>
    <x v="221"/>
    <s v="49 days"/>
    <x v="195"/>
    <x v="64"/>
    <s v="3 days"/>
    <x v="0"/>
    <s v="New"/>
    <s v="Suite"/>
    <n v="49"/>
    <n v="3"/>
    <n v="4941"/>
    <n v="14823"/>
    <n v="0"/>
    <x v="1"/>
    <x v="1"/>
    <x v="1"/>
    <x v="1"/>
  </r>
  <r>
    <n v="1377"/>
    <s v="C1312"/>
    <x v="144"/>
    <s v="19 days"/>
    <x v="241"/>
    <x v="234"/>
    <s v="3 days"/>
    <x v="1"/>
    <s v="Returning"/>
    <s v="Deluxe"/>
    <n v="19"/>
    <n v="3"/>
    <n v="3598"/>
    <n v="10794"/>
    <n v="0"/>
    <x v="1"/>
    <x v="1"/>
    <x v="1"/>
    <x v="1"/>
  </r>
  <r>
    <n v="1378"/>
    <s v="C0854"/>
    <x v="239"/>
    <s v="43 days"/>
    <x v="39"/>
    <x v="41"/>
    <s v="5 days"/>
    <x v="4"/>
    <s v="Returning"/>
    <s v="Suite"/>
    <n v="43"/>
    <n v="5"/>
    <n v="7573"/>
    <n v="37865"/>
    <n v="0"/>
    <x v="0"/>
    <x v="1"/>
    <x v="1"/>
    <x v="0"/>
  </r>
  <r>
    <n v="1379"/>
    <s v="C0962"/>
    <x v="159"/>
    <s v="52 days"/>
    <x v="175"/>
    <x v="4"/>
    <s v="2 days"/>
    <x v="0"/>
    <s v="Returning"/>
    <s v="Standard"/>
    <n v="52"/>
    <n v="2"/>
    <n v="4005"/>
    <n v="8010"/>
    <n v="0"/>
    <x v="0"/>
    <x v="1"/>
    <x v="1"/>
    <x v="1"/>
  </r>
  <r>
    <n v="1380"/>
    <s v="C0155"/>
    <x v="240"/>
    <s v="35 days"/>
    <x v="185"/>
    <x v="132"/>
    <s v="3 days"/>
    <x v="1"/>
    <s v="Returning"/>
    <s v="Suite"/>
    <n v="35"/>
    <n v="3"/>
    <n v="3626"/>
    <n v="10878"/>
    <n v="10878"/>
    <x v="0"/>
    <x v="0"/>
    <x v="0"/>
    <x v="0"/>
  </r>
  <r>
    <n v="1381"/>
    <s v="C0490"/>
    <x v="241"/>
    <s v="40 days"/>
    <x v="58"/>
    <x v="57"/>
    <s v="4 days"/>
    <x v="4"/>
    <s v="Returning"/>
    <s v="Deluxe"/>
    <n v="40"/>
    <n v="4"/>
    <n v="2796"/>
    <n v="11184"/>
    <n v="11184"/>
    <x v="1"/>
    <x v="0"/>
    <x v="0"/>
    <x v="1"/>
  </r>
  <r>
    <n v="1382"/>
    <s v="C1410"/>
    <x v="242"/>
    <s v="14 days"/>
    <x v="125"/>
    <x v="69"/>
    <s v="3 days"/>
    <x v="2"/>
    <s v="New"/>
    <s v="Deluxe"/>
    <n v="14"/>
    <n v="3"/>
    <n v="5549"/>
    <n v="16647"/>
    <n v="16647"/>
    <x v="1"/>
    <x v="0"/>
    <x v="0"/>
    <x v="1"/>
  </r>
  <r>
    <n v="1383"/>
    <s v="C0785"/>
    <x v="59"/>
    <s v="58 days"/>
    <x v="77"/>
    <x v="105"/>
    <s v="1 days"/>
    <x v="4"/>
    <s v="Returning"/>
    <s v="Deluxe"/>
    <n v="58"/>
    <n v="1"/>
    <n v="4725"/>
    <n v="4725"/>
    <n v="0"/>
    <x v="0"/>
    <x v="1"/>
    <x v="1"/>
    <x v="1"/>
  </r>
  <r>
    <n v="1384"/>
    <s v="C1128"/>
    <x v="215"/>
    <s v="33 days"/>
    <x v="242"/>
    <x v="235"/>
    <s v="2 days"/>
    <x v="4"/>
    <s v="New"/>
    <s v="Deluxe"/>
    <n v="33"/>
    <n v="2"/>
    <n v="8958"/>
    <n v="17916"/>
    <n v="17916"/>
    <x v="1"/>
    <x v="0"/>
    <x v="0"/>
    <x v="1"/>
  </r>
  <r>
    <n v="1385"/>
    <s v="C1417"/>
    <x v="170"/>
    <s v="14 days"/>
    <x v="91"/>
    <x v="236"/>
    <s v="5 days"/>
    <x v="3"/>
    <s v="Returning"/>
    <s v="Standard"/>
    <n v="14"/>
    <n v="5"/>
    <n v="7658"/>
    <n v="38290"/>
    <n v="38290"/>
    <x v="1"/>
    <x v="0"/>
    <x v="0"/>
    <x v="1"/>
  </r>
  <r>
    <n v="1386"/>
    <s v="C0246"/>
    <x v="195"/>
    <s v="34 days"/>
    <x v="194"/>
    <x v="237"/>
    <s v="1 days"/>
    <x v="3"/>
    <s v="New"/>
    <s v="Suite"/>
    <n v="34"/>
    <n v="1"/>
    <n v="6854"/>
    <n v="6854"/>
    <n v="0"/>
    <x v="1"/>
    <x v="1"/>
    <x v="1"/>
    <x v="1"/>
  </r>
  <r>
    <n v="1387"/>
    <s v="C1200"/>
    <x v="243"/>
    <s v="55 days"/>
    <x v="243"/>
    <x v="238"/>
    <s v="1 days"/>
    <x v="2"/>
    <s v="Returning"/>
    <s v="Deluxe"/>
    <n v="55"/>
    <n v="1"/>
    <n v="6287"/>
    <n v="6287"/>
    <n v="0"/>
    <x v="0"/>
    <x v="1"/>
    <x v="1"/>
    <x v="1"/>
  </r>
  <r>
    <n v="1388"/>
    <s v="C1063"/>
    <x v="45"/>
    <s v="4 days"/>
    <x v="76"/>
    <x v="113"/>
    <s v="2 days"/>
    <x v="2"/>
    <s v="Returning"/>
    <s v="Suite"/>
    <n v="4"/>
    <n v="2"/>
    <n v="8650"/>
    <n v="17300"/>
    <n v="17300"/>
    <x v="0"/>
    <x v="0"/>
    <x v="0"/>
    <x v="0"/>
  </r>
  <r>
    <n v="1389"/>
    <s v="C0759"/>
    <x v="44"/>
    <s v="24 days"/>
    <x v="127"/>
    <x v="124"/>
    <s v="5 days"/>
    <x v="4"/>
    <s v="Returning"/>
    <s v="Standard"/>
    <n v="24"/>
    <n v="5"/>
    <n v="4596"/>
    <n v="22980"/>
    <n v="22980"/>
    <x v="1"/>
    <x v="0"/>
    <x v="0"/>
    <x v="0"/>
  </r>
  <r>
    <n v="1390"/>
    <s v="C0538"/>
    <x v="116"/>
    <s v="59 days"/>
    <x v="97"/>
    <x v="135"/>
    <s v="4 days"/>
    <x v="0"/>
    <s v="Returning"/>
    <s v="Suite"/>
    <n v="59"/>
    <n v="4"/>
    <n v="6109"/>
    <n v="24436"/>
    <n v="24436"/>
    <x v="0"/>
    <x v="0"/>
    <x v="0"/>
    <x v="0"/>
  </r>
  <r>
    <n v="1391"/>
    <s v="C0921"/>
    <x v="205"/>
    <s v="29 days"/>
    <x v="208"/>
    <x v="239"/>
    <s v="5 days"/>
    <x v="2"/>
    <s v="Returning"/>
    <s v="Suite"/>
    <n v="29"/>
    <n v="5"/>
    <n v="4708"/>
    <n v="23540"/>
    <n v="0"/>
    <x v="0"/>
    <x v="1"/>
    <x v="1"/>
    <x v="0"/>
  </r>
  <r>
    <n v="1392"/>
    <s v="C0408"/>
    <x v="187"/>
    <s v="19 days"/>
    <x v="149"/>
    <x v="240"/>
    <s v="3 days"/>
    <x v="4"/>
    <s v="New"/>
    <s v="Deluxe"/>
    <n v="19"/>
    <n v="3"/>
    <n v="8488"/>
    <n v="25464"/>
    <n v="0"/>
    <x v="1"/>
    <x v="1"/>
    <x v="1"/>
    <x v="1"/>
  </r>
  <r>
    <n v="1393"/>
    <s v="C0525"/>
    <x v="188"/>
    <s v="6 days"/>
    <x v="102"/>
    <x v="46"/>
    <s v="1 days"/>
    <x v="1"/>
    <s v="Returning"/>
    <s v="Deluxe"/>
    <n v="6"/>
    <n v="1"/>
    <n v="2675"/>
    <n v="2675"/>
    <n v="2675"/>
    <x v="1"/>
    <x v="0"/>
    <x v="0"/>
    <x v="1"/>
  </r>
  <r>
    <n v="1394"/>
    <s v="C0828"/>
    <x v="65"/>
    <s v="57 days"/>
    <x v="193"/>
    <x v="177"/>
    <s v="3 days"/>
    <x v="3"/>
    <s v="Returning"/>
    <s v="Standard"/>
    <n v="57"/>
    <n v="3"/>
    <n v="7596"/>
    <n v="22788"/>
    <n v="0"/>
    <x v="0"/>
    <x v="1"/>
    <x v="1"/>
    <x v="1"/>
  </r>
  <r>
    <n v="1395"/>
    <s v="C0903"/>
    <x v="244"/>
    <s v="33 days"/>
    <x v="199"/>
    <x v="241"/>
    <s v="4 days"/>
    <x v="0"/>
    <s v="Returning"/>
    <s v="Suite"/>
    <n v="33"/>
    <n v="4"/>
    <n v="8514"/>
    <n v="34056"/>
    <n v="34056"/>
    <x v="0"/>
    <x v="0"/>
    <x v="0"/>
    <x v="0"/>
  </r>
  <r>
    <n v="1396"/>
    <s v="C0036"/>
    <x v="88"/>
    <s v="49 days"/>
    <x v="244"/>
    <x v="242"/>
    <s v="3 days"/>
    <x v="4"/>
    <s v="New"/>
    <s v="Standard"/>
    <n v="49"/>
    <n v="3"/>
    <n v="5002"/>
    <n v="15006"/>
    <n v="15006"/>
    <x v="1"/>
    <x v="0"/>
    <x v="0"/>
    <x v="0"/>
  </r>
  <r>
    <n v="1397"/>
    <s v="C0685"/>
    <x v="36"/>
    <s v="40 days"/>
    <x v="214"/>
    <x v="199"/>
    <s v="5 days"/>
    <x v="1"/>
    <s v="Returning"/>
    <s v="Standard"/>
    <n v="40"/>
    <n v="5"/>
    <n v="6499"/>
    <n v="32495"/>
    <n v="0"/>
    <x v="1"/>
    <x v="1"/>
    <x v="1"/>
    <x v="0"/>
  </r>
  <r>
    <n v="1398"/>
    <s v="C0020"/>
    <x v="120"/>
    <s v="19 days"/>
    <x v="79"/>
    <x v="33"/>
    <s v="3 days"/>
    <x v="3"/>
    <s v="New"/>
    <s v="Standard"/>
    <n v="19"/>
    <n v="3"/>
    <n v="4167"/>
    <n v="12501"/>
    <n v="0"/>
    <x v="1"/>
    <x v="1"/>
    <x v="1"/>
    <x v="1"/>
  </r>
  <r>
    <n v="1399"/>
    <s v="C0321"/>
    <x v="164"/>
    <s v="53 days"/>
    <x v="245"/>
    <x v="243"/>
    <s v="4 days"/>
    <x v="1"/>
    <s v="Returning"/>
    <s v="Deluxe"/>
    <n v="53"/>
    <n v="4"/>
    <n v="6871"/>
    <n v="27484"/>
    <n v="27484"/>
    <x v="0"/>
    <x v="0"/>
    <x v="0"/>
    <x v="0"/>
  </r>
  <r>
    <n v="1400"/>
    <s v="C0512"/>
    <x v="186"/>
    <s v="1 days"/>
    <x v="232"/>
    <x v="18"/>
    <s v="4 days"/>
    <x v="4"/>
    <s v="New"/>
    <s v="Deluxe"/>
    <n v="1"/>
    <n v="4"/>
    <n v="5045"/>
    <n v="20180"/>
    <n v="20180"/>
    <x v="0"/>
    <x v="0"/>
    <x v="0"/>
    <x v="1"/>
  </r>
  <r>
    <n v="1401"/>
    <s v="C0400"/>
    <x v="245"/>
    <s v="5 days"/>
    <x v="246"/>
    <x v="189"/>
    <s v="4 days"/>
    <x v="2"/>
    <s v="Returning"/>
    <s v="Suite"/>
    <n v="5"/>
    <n v="4"/>
    <n v="3175"/>
    <n v="12700"/>
    <n v="0"/>
    <x v="1"/>
    <x v="1"/>
    <x v="1"/>
    <x v="0"/>
  </r>
  <r>
    <n v="1402"/>
    <s v="C0654"/>
    <x v="11"/>
    <s v="27 days"/>
    <x v="88"/>
    <x v="209"/>
    <s v="5 days"/>
    <x v="3"/>
    <s v="Returning"/>
    <s v="Suite"/>
    <n v="27"/>
    <n v="5"/>
    <n v="4323"/>
    <n v="21615"/>
    <n v="21615"/>
    <x v="1"/>
    <x v="0"/>
    <x v="0"/>
    <x v="1"/>
  </r>
  <r>
    <n v="1403"/>
    <s v="C0972"/>
    <x v="148"/>
    <s v="16 days"/>
    <x v="148"/>
    <x v="207"/>
    <s v="4 days"/>
    <x v="1"/>
    <s v="New"/>
    <s v="Suite"/>
    <n v="16"/>
    <n v="4"/>
    <n v="7647"/>
    <n v="30588"/>
    <n v="30588"/>
    <x v="1"/>
    <x v="0"/>
    <x v="0"/>
    <x v="0"/>
  </r>
  <r>
    <n v="1404"/>
    <s v="C0471"/>
    <x v="246"/>
    <s v="6 days"/>
    <x v="247"/>
    <x v="244"/>
    <s v="1 days"/>
    <x v="2"/>
    <s v="Returning"/>
    <s v="Deluxe"/>
    <n v="6"/>
    <n v="1"/>
    <n v="3856"/>
    <n v="3856"/>
    <n v="3856"/>
    <x v="1"/>
    <x v="0"/>
    <x v="0"/>
    <x v="1"/>
  </r>
  <r>
    <n v="1405"/>
    <s v="C1167"/>
    <x v="247"/>
    <s v="40 days"/>
    <x v="79"/>
    <x v="245"/>
    <s v="4 days"/>
    <x v="0"/>
    <s v="New"/>
    <s v="Deluxe"/>
    <n v="40"/>
    <n v="4"/>
    <n v="5572"/>
    <n v="22288"/>
    <n v="0"/>
    <x v="0"/>
    <x v="1"/>
    <x v="1"/>
    <x v="0"/>
  </r>
  <r>
    <n v="1406"/>
    <s v="C1116"/>
    <x v="248"/>
    <s v="13 days"/>
    <x v="248"/>
    <x v="246"/>
    <s v="3 days"/>
    <x v="4"/>
    <s v="Returning"/>
    <s v="Standard"/>
    <n v="13"/>
    <n v="3"/>
    <n v="5759"/>
    <n v="17277"/>
    <n v="0"/>
    <x v="1"/>
    <x v="1"/>
    <x v="1"/>
    <x v="0"/>
  </r>
  <r>
    <n v="1407"/>
    <s v="C1378"/>
    <x v="48"/>
    <s v="48 days"/>
    <x v="221"/>
    <x v="247"/>
    <s v="3 days"/>
    <x v="4"/>
    <s v="Returning"/>
    <s v="Deluxe"/>
    <n v="48"/>
    <n v="3"/>
    <n v="8699"/>
    <n v="26097"/>
    <n v="26097"/>
    <x v="1"/>
    <x v="0"/>
    <x v="0"/>
    <x v="1"/>
  </r>
  <r>
    <n v="1408"/>
    <s v="C0834"/>
    <x v="112"/>
    <s v="35 days"/>
    <x v="111"/>
    <x v="248"/>
    <s v="3 days"/>
    <x v="3"/>
    <s v="New"/>
    <s v="Standard"/>
    <n v="35"/>
    <n v="3"/>
    <n v="3046"/>
    <n v="9138"/>
    <n v="9138"/>
    <x v="0"/>
    <x v="0"/>
    <x v="0"/>
    <x v="1"/>
  </r>
  <r>
    <n v="1409"/>
    <s v="C0727"/>
    <x v="249"/>
    <s v="19 days"/>
    <x v="249"/>
    <x v="37"/>
    <s v="5 days"/>
    <x v="1"/>
    <s v="Returning"/>
    <s v="Standard"/>
    <n v="19"/>
    <n v="5"/>
    <n v="7731"/>
    <n v="38655"/>
    <n v="0"/>
    <x v="1"/>
    <x v="1"/>
    <x v="1"/>
    <x v="0"/>
  </r>
  <r>
    <n v="1410"/>
    <s v="C0854"/>
    <x v="250"/>
    <s v="12 days"/>
    <x v="250"/>
    <x v="249"/>
    <s v="3 days"/>
    <x v="0"/>
    <s v="New"/>
    <s v="Deluxe"/>
    <n v="12"/>
    <n v="3"/>
    <n v="4583"/>
    <n v="13749"/>
    <n v="0"/>
    <x v="0"/>
    <x v="1"/>
    <x v="1"/>
    <x v="1"/>
  </r>
  <r>
    <n v="1411"/>
    <s v="C0051"/>
    <x v="174"/>
    <s v="16 days"/>
    <x v="132"/>
    <x v="250"/>
    <s v="5 days"/>
    <x v="3"/>
    <s v="New"/>
    <s v="Standard"/>
    <n v="16"/>
    <n v="5"/>
    <n v="4540"/>
    <n v="22700"/>
    <n v="22700"/>
    <x v="0"/>
    <x v="0"/>
    <x v="0"/>
    <x v="0"/>
  </r>
  <r>
    <n v="1412"/>
    <s v="C0575"/>
    <x v="251"/>
    <s v="59 days"/>
    <x v="132"/>
    <x v="250"/>
    <s v="5 days"/>
    <x v="3"/>
    <s v="Returning"/>
    <s v="Standard"/>
    <n v="59"/>
    <n v="5"/>
    <n v="7034"/>
    <n v="35170"/>
    <n v="0"/>
    <x v="0"/>
    <x v="1"/>
    <x v="1"/>
    <x v="1"/>
  </r>
  <r>
    <n v="1413"/>
    <s v="C1214"/>
    <x v="65"/>
    <s v="43 days"/>
    <x v="102"/>
    <x v="84"/>
    <s v="4 days"/>
    <x v="1"/>
    <s v="Returning"/>
    <s v="Suite"/>
    <n v="43"/>
    <n v="4"/>
    <n v="4252"/>
    <n v="17008"/>
    <n v="0"/>
    <x v="1"/>
    <x v="1"/>
    <x v="1"/>
    <x v="0"/>
  </r>
  <r>
    <n v="1414"/>
    <s v="C1149"/>
    <x v="241"/>
    <s v="10 days"/>
    <x v="251"/>
    <x v="59"/>
    <s v="1 days"/>
    <x v="0"/>
    <s v="Returning"/>
    <s v="Standard"/>
    <n v="10"/>
    <n v="1"/>
    <n v="4115"/>
    <n v="4115"/>
    <n v="4115"/>
    <x v="0"/>
    <x v="0"/>
    <x v="0"/>
    <x v="1"/>
  </r>
  <r>
    <n v="1415"/>
    <s v="C0150"/>
    <x v="214"/>
    <s v="25 days"/>
    <x v="205"/>
    <x v="251"/>
    <s v="4 days"/>
    <x v="1"/>
    <s v="New"/>
    <s v="Deluxe"/>
    <n v="25"/>
    <n v="4"/>
    <n v="4349"/>
    <n v="17396"/>
    <n v="0"/>
    <x v="1"/>
    <x v="1"/>
    <x v="1"/>
    <x v="0"/>
  </r>
  <r>
    <n v="1416"/>
    <s v="C0314"/>
    <x v="33"/>
    <s v="20 days"/>
    <x v="176"/>
    <x v="103"/>
    <s v="4 days"/>
    <x v="4"/>
    <s v="New"/>
    <s v="Deluxe"/>
    <n v="20"/>
    <n v="4"/>
    <n v="5142"/>
    <n v="20568"/>
    <n v="20568"/>
    <x v="0"/>
    <x v="0"/>
    <x v="0"/>
    <x v="0"/>
  </r>
  <r>
    <n v="1417"/>
    <s v="C0570"/>
    <x v="32"/>
    <s v="31 days"/>
    <x v="129"/>
    <x v="83"/>
    <s v="5 days"/>
    <x v="2"/>
    <s v="Returning"/>
    <s v="Standard"/>
    <n v="31"/>
    <n v="5"/>
    <n v="4100"/>
    <n v="20500"/>
    <n v="0"/>
    <x v="0"/>
    <x v="1"/>
    <x v="1"/>
    <x v="0"/>
  </r>
  <r>
    <n v="1418"/>
    <s v="C1366"/>
    <x v="227"/>
    <s v="4 days"/>
    <x v="60"/>
    <x v="59"/>
    <s v="5 days"/>
    <x v="4"/>
    <s v="New"/>
    <s v="Suite"/>
    <n v="4"/>
    <n v="5"/>
    <n v="5896"/>
    <n v="29480"/>
    <n v="29480"/>
    <x v="0"/>
    <x v="0"/>
    <x v="0"/>
    <x v="1"/>
  </r>
  <r>
    <n v="1419"/>
    <s v="C0305"/>
    <x v="85"/>
    <s v="44 days"/>
    <x v="95"/>
    <x v="92"/>
    <s v="3 days"/>
    <x v="4"/>
    <s v="New"/>
    <s v="Deluxe"/>
    <n v="44"/>
    <n v="3"/>
    <n v="8259"/>
    <n v="24777"/>
    <n v="0"/>
    <x v="1"/>
    <x v="1"/>
    <x v="1"/>
    <x v="0"/>
  </r>
  <r>
    <n v="1420"/>
    <s v="C0682"/>
    <x v="252"/>
    <s v="23 days"/>
    <x v="148"/>
    <x v="252"/>
    <s v="3 days"/>
    <x v="3"/>
    <s v="New"/>
    <s v="Deluxe"/>
    <n v="23"/>
    <n v="3"/>
    <n v="6902"/>
    <n v="20706"/>
    <n v="0"/>
    <x v="1"/>
    <x v="1"/>
    <x v="1"/>
    <x v="1"/>
  </r>
  <r>
    <n v="1421"/>
    <s v="C0838"/>
    <x v="253"/>
    <s v="2 days"/>
    <x v="111"/>
    <x v="253"/>
    <s v="4 days"/>
    <x v="4"/>
    <s v="New"/>
    <s v="Suite"/>
    <n v="2"/>
    <n v="4"/>
    <n v="6105"/>
    <n v="24420"/>
    <n v="0"/>
    <x v="0"/>
    <x v="1"/>
    <x v="1"/>
    <x v="1"/>
  </r>
  <r>
    <n v="1422"/>
    <s v="C1078"/>
    <x v="213"/>
    <s v="56 days"/>
    <x v="252"/>
    <x v="254"/>
    <s v="2 days"/>
    <x v="0"/>
    <s v="Returning"/>
    <s v="Standard"/>
    <n v="56"/>
    <n v="2"/>
    <n v="6299"/>
    <n v="12598"/>
    <n v="12598"/>
    <x v="1"/>
    <x v="0"/>
    <x v="0"/>
    <x v="1"/>
  </r>
  <r>
    <n v="1423"/>
    <s v="C1003"/>
    <x v="127"/>
    <s v="22 days"/>
    <x v="102"/>
    <x v="255"/>
    <s v="2 days"/>
    <x v="4"/>
    <s v="Returning"/>
    <s v="Deluxe"/>
    <n v="22"/>
    <n v="2"/>
    <n v="3118"/>
    <n v="6236"/>
    <n v="6236"/>
    <x v="0"/>
    <x v="0"/>
    <x v="0"/>
    <x v="0"/>
  </r>
  <r>
    <n v="1424"/>
    <s v="C0444"/>
    <x v="177"/>
    <s v="51 days"/>
    <x v="175"/>
    <x v="256"/>
    <s v="3 days"/>
    <x v="0"/>
    <s v="Returning"/>
    <s v="Standard"/>
    <n v="51"/>
    <n v="3"/>
    <n v="3632"/>
    <n v="10896"/>
    <n v="0"/>
    <x v="0"/>
    <x v="1"/>
    <x v="1"/>
    <x v="1"/>
  </r>
  <r>
    <n v="1425"/>
    <s v="C0613"/>
    <x v="103"/>
    <s v="57 days"/>
    <x v="212"/>
    <x v="140"/>
    <s v="2 days"/>
    <x v="1"/>
    <s v="New"/>
    <s v="Standard"/>
    <n v="57"/>
    <n v="2"/>
    <n v="7991"/>
    <n v="15982"/>
    <n v="15982"/>
    <x v="0"/>
    <x v="0"/>
    <x v="0"/>
    <x v="1"/>
  </r>
  <r>
    <n v="1426"/>
    <s v="C0993"/>
    <x v="118"/>
    <s v="37 days"/>
    <x v="61"/>
    <x v="60"/>
    <s v="3 days"/>
    <x v="3"/>
    <s v="New"/>
    <s v="Standard"/>
    <n v="37"/>
    <n v="3"/>
    <n v="8824"/>
    <n v="26472"/>
    <n v="26472"/>
    <x v="0"/>
    <x v="0"/>
    <x v="0"/>
    <x v="1"/>
  </r>
  <r>
    <n v="1427"/>
    <s v="C0264"/>
    <x v="11"/>
    <s v="8 days"/>
    <x v="170"/>
    <x v="257"/>
    <s v="5 days"/>
    <x v="0"/>
    <s v="New"/>
    <s v="Standard"/>
    <n v="8"/>
    <n v="5"/>
    <n v="7975"/>
    <n v="39875"/>
    <n v="39875"/>
    <x v="1"/>
    <x v="0"/>
    <x v="0"/>
    <x v="0"/>
  </r>
  <r>
    <n v="1428"/>
    <s v="C1077"/>
    <x v="1"/>
    <s v="7 days"/>
    <x v="122"/>
    <x v="120"/>
    <s v="4 days"/>
    <x v="4"/>
    <s v="New"/>
    <s v="Deluxe"/>
    <n v="7"/>
    <n v="4"/>
    <n v="8295"/>
    <n v="33180"/>
    <n v="33180"/>
    <x v="0"/>
    <x v="0"/>
    <x v="0"/>
    <x v="1"/>
  </r>
  <r>
    <n v="1429"/>
    <s v="C1004"/>
    <x v="55"/>
    <s v="14 days"/>
    <x v="151"/>
    <x v="184"/>
    <s v="1 days"/>
    <x v="3"/>
    <s v="Returning"/>
    <s v="Suite"/>
    <n v="14"/>
    <n v="1"/>
    <n v="4615"/>
    <n v="4615"/>
    <n v="4615"/>
    <x v="1"/>
    <x v="0"/>
    <x v="0"/>
    <x v="1"/>
  </r>
  <r>
    <n v="1430"/>
    <s v="C0005"/>
    <x v="107"/>
    <s v="56 days"/>
    <x v="253"/>
    <x v="15"/>
    <s v="4 days"/>
    <x v="3"/>
    <s v="New"/>
    <s v="Deluxe"/>
    <n v="56"/>
    <n v="4"/>
    <n v="4839"/>
    <n v="19356"/>
    <n v="0"/>
    <x v="0"/>
    <x v="1"/>
    <x v="1"/>
    <x v="1"/>
  </r>
  <r>
    <n v="1431"/>
    <s v="C1127"/>
    <x v="221"/>
    <s v="55 days"/>
    <x v="44"/>
    <x v="87"/>
    <s v="3 days"/>
    <x v="0"/>
    <s v="New"/>
    <s v="Suite"/>
    <n v="55"/>
    <n v="3"/>
    <n v="5239"/>
    <n v="15717"/>
    <n v="0"/>
    <x v="0"/>
    <x v="1"/>
    <x v="1"/>
    <x v="1"/>
  </r>
  <r>
    <n v="1432"/>
    <s v="C1220"/>
    <x v="254"/>
    <s v="3 days"/>
    <x v="39"/>
    <x v="187"/>
    <s v="3 days"/>
    <x v="0"/>
    <s v="Returning"/>
    <s v="Standard"/>
    <n v="3"/>
    <n v="3"/>
    <n v="6776"/>
    <n v="20328"/>
    <n v="20328"/>
    <x v="0"/>
    <x v="0"/>
    <x v="0"/>
    <x v="0"/>
  </r>
  <r>
    <n v="1433"/>
    <s v="C0774"/>
    <x v="151"/>
    <s v="50 days"/>
    <x v="254"/>
    <x v="250"/>
    <s v="4 days"/>
    <x v="2"/>
    <s v="Returning"/>
    <s v="Suite"/>
    <n v="50"/>
    <n v="4"/>
    <n v="3987"/>
    <n v="15948"/>
    <n v="0"/>
    <x v="0"/>
    <x v="1"/>
    <x v="1"/>
    <x v="0"/>
  </r>
  <r>
    <n v="1434"/>
    <s v="C0877"/>
    <x v="223"/>
    <s v="16 days"/>
    <x v="169"/>
    <x v="258"/>
    <s v="3 days"/>
    <x v="2"/>
    <s v="Returning"/>
    <s v="Standard"/>
    <n v="16"/>
    <n v="3"/>
    <n v="7509"/>
    <n v="22527"/>
    <n v="0"/>
    <x v="0"/>
    <x v="1"/>
    <x v="1"/>
    <x v="1"/>
  </r>
  <r>
    <n v="1435"/>
    <s v="C0992"/>
    <x v="255"/>
    <s v="55 days"/>
    <x v="255"/>
    <x v="259"/>
    <s v="2 days"/>
    <x v="3"/>
    <s v="New"/>
    <s v="Deluxe"/>
    <n v="55"/>
    <n v="2"/>
    <n v="4057"/>
    <n v="8114"/>
    <n v="0"/>
    <x v="1"/>
    <x v="1"/>
    <x v="1"/>
    <x v="1"/>
  </r>
  <r>
    <n v="1436"/>
    <s v="C0884"/>
    <x v="256"/>
    <s v="19 days"/>
    <x v="206"/>
    <x v="260"/>
    <s v="2 days"/>
    <x v="2"/>
    <s v="New"/>
    <s v="Deluxe"/>
    <n v="19"/>
    <n v="2"/>
    <n v="4613"/>
    <n v="9226"/>
    <n v="9226"/>
    <x v="1"/>
    <x v="0"/>
    <x v="0"/>
    <x v="1"/>
  </r>
  <r>
    <n v="1437"/>
    <s v="C1374"/>
    <x v="168"/>
    <s v="51 days"/>
    <x v="95"/>
    <x v="92"/>
    <s v="3 days"/>
    <x v="4"/>
    <s v="New"/>
    <s v="Suite"/>
    <n v="51"/>
    <n v="3"/>
    <n v="3544"/>
    <n v="10632"/>
    <n v="0"/>
    <x v="0"/>
    <x v="1"/>
    <x v="1"/>
    <x v="1"/>
  </r>
  <r>
    <n v="1438"/>
    <s v="C0047"/>
    <x v="231"/>
    <s v="18 days"/>
    <x v="256"/>
    <x v="261"/>
    <s v="3 days"/>
    <x v="1"/>
    <s v="New"/>
    <s v="Standard"/>
    <n v="18"/>
    <n v="3"/>
    <n v="8231"/>
    <n v="24693"/>
    <n v="0"/>
    <x v="1"/>
    <x v="1"/>
    <x v="1"/>
    <x v="0"/>
  </r>
  <r>
    <n v="1439"/>
    <s v="C0867"/>
    <x v="116"/>
    <s v="52 days"/>
    <x v="90"/>
    <x v="136"/>
    <s v="2 days"/>
    <x v="3"/>
    <s v="New"/>
    <s v="Standard"/>
    <n v="52"/>
    <n v="2"/>
    <n v="4931"/>
    <n v="9862"/>
    <n v="9862"/>
    <x v="1"/>
    <x v="0"/>
    <x v="0"/>
    <x v="0"/>
  </r>
  <r>
    <n v="1440"/>
    <s v="C0823"/>
    <x v="3"/>
    <s v="16 days"/>
    <x v="55"/>
    <x v="7"/>
    <s v="3 days"/>
    <x v="1"/>
    <s v="New"/>
    <s v="Suite"/>
    <n v="16"/>
    <n v="3"/>
    <n v="8234"/>
    <n v="24702"/>
    <n v="0"/>
    <x v="0"/>
    <x v="1"/>
    <x v="1"/>
    <x v="0"/>
  </r>
  <r>
    <n v="1441"/>
    <s v="C0936"/>
    <x v="155"/>
    <s v="8 days"/>
    <x v="61"/>
    <x v="60"/>
    <s v="3 days"/>
    <x v="2"/>
    <s v="Returning"/>
    <s v="Standard"/>
    <n v="8"/>
    <n v="3"/>
    <n v="4082"/>
    <n v="12246"/>
    <n v="0"/>
    <x v="0"/>
    <x v="1"/>
    <x v="1"/>
    <x v="0"/>
  </r>
  <r>
    <n v="1442"/>
    <s v="C0656"/>
    <x v="237"/>
    <s v="33 days"/>
    <x v="151"/>
    <x v="198"/>
    <s v="4 days"/>
    <x v="0"/>
    <s v="New"/>
    <s v="Standard"/>
    <n v="33"/>
    <n v="4"/>
    <n v="8682"/>
    <n v="34728"/>
    <n v="34728"/>
    <x v="0"/>
    <x v="0"/>
    <x v="0"/>
    <x v="1"/>
  </r>
  <r>
    <n v="1443"/>
    <s v="C0269"/>
    <x v="30"/>
    <s v="49 days"/>
    <x v="22"/>
    <x v="101"/>
    <s v="1 days"/>
    <x v="3"/>
    <s v="Returning"/>
    <s v="Standard"/>
    <n v="49"/>
    <n v="1"/>
    <n v="3808"/>
    <n v="3808"/>
    <n v="0"/>
    <x v="0"/>
    <x v="1"/>
    <x v="1"/>
    <x v="1"/>
  </r>
  <r>
    <n v="1444"/>
    <s v="C0370"/>
    <x v="257"/>
    <s v="12 days"/>
    <x v="257"/>
    <x v="118"/>
    <s v="2 days"/>
    <x v="2"/>
    <s v="Returning"/>
    <s v="Deluxe"/>
    <n v="12"/>
    <n v="2"/>
    <n v="7417"/>
    <n v="14834"/>
    <n v="0"/>
    <x v="1"/>
    <x v="1"/>
    <x v="1"/>
    <x v="0"/>
  </r>
  <r>
    <n v="1445"/>
    <s v="C0636"/>
    <x v="258"/>
    <s v="53 days"/>
    <x v="258"/>
    <x v="9"/>
    <s v="4 days"/>
    <x v="4"/>
    <s v="Returning"/>
    <s v="Deluxe"/>
    <n v="53"/>
    <n v="4"/>
    <n v="3101"/>
    <n v="12404"/>
    <n v="0"/>
    <x v="1"/>
    <x v="1"/>
    <x v="1"/>
    <x v="0"/>
  </r>
  <r>
    <n v="1446"/>
    <s v="C1130"/>
    <x v="88"/>
    <s v="11 days"/>
    <x v="259"/>
    <x v="112"/>
    <s v="1 days"/>
    <x v="3"/>
    <s v="New"/>
    <s v="Deluxe"/>
    <n v="11"/>
    <n v="1"/>
    <n v="4120"/>
    <n v="4120"/>
    <n v="4120"/>
    <x v="1"/>
    <x v="0"/>
    <x v="0"/>
    <x v="1"/>
  </r>
  <r>
    <n v="1447"/>
    <s v="C0657"/>
    <x v="185"/>
    <s v="5 days"/>
    <x v="89"/>
    <x v="188"/>
    <s v="3 days"/>
    <x v="3"/>
    <s v="New"/>
    <s v="Standard"/>
    <n v="5"/>
    <n v="3"/>
    <n v="7380"/>
    <n v="22140"/>
    <n v="0"/>
    <x v="1"/>
    <x v="1"/>
    <x v="1"/>
    <x v="1"/>
  </r>
  <r>
    <n v="1448"/>
    <s v="C0120"/>
    <x v="206"/>
    <s v="27 days"/>
    <x v="204"/>
    <x v="181"/>
    <s v="3 days"/>
    <x v="0"/>
    <s v="Returning"/>
    <s v="Deluxe"/>
    <n v="27"/>
    <n v="3"/>
    <n v="7807"/>
    <n v="23421"/>
    <n v="23421"/>
    <x v="0"/>
    <x v="0"/>
    <x v="0"/>
    <x v="1"/>
  </r>
  <r>
    <n v="1449"/>
    <s v="C0831"/>
    <x v="224"/>
    <s v="12 days"/>
    <x v="117"/>
    <x v="38"/>
    <s v="4 days"/>
    <x v="3"/>
    <s v="New"/>
    <s v="Standard"/>
    <n v="12"/>
    <n v="4"/>
    <n v="7266"/>
    <n v="29064"/>
    <n v="29064"/>
    <x v="0"/>
    <x v="0"/>
    <x v="0"/>
    <x v="1"/>
  </r>
  <r>
    <n v="1450"/>
    <s v="C1082"/>
    <x v="259"/>
    <s v="17 days"/>
    <x v="242"/>
    <x v="40"/>
    <s v="3 days"/>
    <x v="0"/>
    <s v="New"/>
    <s v="Standard"/>
    <n v="17"/>
    <n v="3"/>
    <n v="7862"/>
    <n v="23586"/>
    <n v="0"/>
    <x v="0"/>
    <x v="1"/>
    <x v="1"/>
    <x v="1"/>
  </r>
  <r>
    <n v="1451"/>
    <s v="C1370"/>
    <x v="147"/>
    <s v="6 days"/>
    <x v="199"/>
    <x v="262"/>
    <s v="5 days"/>
    <x v="2"/>
    <s v="Returning"/>
    <s v="Suite"/>
    <n v="6"/>
    <n v="5"/>
    <n v="7692"/>
    <n v="38460"/>
    <n v="38460"/>
    <x v="0"/>
    <x v="0"/>
    <x v="0"/>
    <x v="0"/>
  </r>
  <r>
    <n v="1452"/>
    <s v="C0741"/>
    <x v="159"/>
    <s v="33 days"/>
    <x v="260"/>
    <x v="263"/>
    <s v="4 days"/>
    <x v="4"/>
    <s v="New"/>
    <s v="Standard"/>
    <n v="33"/>
    <n v="4"/>
    <n v="8593"/>
    <n v="34372"/>
    <n v="0"/>
    <x v="1"/>
    <x v="1"/>
    <x v="1"/>
    <x v="0"/>
  </r>
  <r>
    <n v="1453"/>
    <s v="C1498"/>
    <x v="188"/>
    <s v="5 days"/>
    <x v="66"/>
    <x v="65"/>
    <s v="1 days"/>
    <x v="4"/>
    <s v="New"/>
    <s v="Deluxe"/>
    <n v="5"/>
    <n v="1"/>
    <n v="2600"/>
    <n v="2600"/>
    <n v="2600"/>
    <x v="1"/>
    <x v="0"/>
    <x v="0"/>
    <x v="1"/>
  </r>
  <r>
    <n v="1454"/>
    <s v="C0117"/>
    <x v="91"/>
    <s v="57 days"/>
    <x v="81"/>
    <x v="119"/>
    <s v="4 days"/>
    <x v="3"/>
    <s v="New"/>
    <s v="Deluxe"/>
    <n v="57"/>
    <n v="4"/>
    <n v="8375"/>
    <n v="33500"/>
    <n v="33500"/>
    <x v="0"/>
    <x v="0"/>
    <x v="0"/>
    <x v="1"/>
  </r>
  <r>
    <n v="1455"/>
    <s v="C0791"/>
    <x v="188"/>
    <s v="28 days"/>
    <x v="261"/>
    <x v="264"/>
    <s v="2 days"/>
    <x v="3"/>
    <s v="New"/>
    <s v="Standard"/>
    <n v="28"/>
    <n v="2"/>
    <n v="6771"/>
    <n v="13542"/>
    <n v="13542"/>
    <x v="1"/>
    <x v="0"/>
    <x v="0"/>
    <x v="0"/>
  </r>
  <r>
    <n v="1456"/>
    <s v="C1151"/>
    <x v="260"/>
    <s v="14 days"/>
    <x v="18"/>
    <x v="265"/>
    <s v="4 days"/>
    <x v="2"/>
    <s v="Returning"/>
    <s v="Deluxe"/>
    <n v="14"/>
    <n v="4"/>
    <n v="2737"/>
    <n v="10948"/>
    <n v="0"/>
    <x v="1"/>
    <x v="1"/>
    <x v="1"/>
    <x v="1"/>
  </r>
  <r>
    <n v="1457"/>
    <s v="C1417"/>
    <x v="234"/>
    <s v="5 days"/>
    <x v="80"/>
    <x v="266"/>
    <s v="3 days"/>
    <x v="0"/>
    <s v="Returning"/>
    <s v="Standard"/>
    <n v="5"/>
    <n v="3"/>
    <n v="7718"/>
    <n v="23154"/>
    <n v="23154"/>
    <x v="0"/>
    <x v="0"/>
    <x v="0"/>
    <x v="0"/>
  </r>
  <r>
    <n v="1458"/>
    <s v="C1013"/>
    <x v="105"/>
    <s v="54 days"/>
    <x v="136"/>
    <x v="267"/>
    <s v="3 days"/>
    <x v="4"/>
    <s v="New"/>
    <s v="Suite"/>
    <n v="54"/>
    <n v="3"/>
    <n v="6525"/>
    <n v="19575"/>
    <n v="0"/>
    <x v="1"/>
    <x v="1"/>
    <x v="1"/>
    <x v="0"/>
  </r>
  <r>
    <n v="1459"/>
    <s v="C1082"/>
    <x v="261"/>
    <s v="56 days"/>
    <x v="213"/>
    <x v="72"/>
    <s v="5 days"/>
    <x v="0"/>
    <s v="New"/>
    <s v="Standard"/>
    <n v="56"/>
    <n v="5"/>
    <n v="5418"/>
    <n v="27090"/>
    <n v="0"/>
    <x v="0"/>
    <x v="1"/>
    <x v="1"/>
    <x v="0"/>
  </r>
  <r>
    <n v="1460"/>
    <s v="C0634"/>
    <x v="23"/>
    <s v="59 days"/>
    <x v="122"/>
    <x v="268"/>
    <s v="5 days"/>
    <x v="2"/>
    <s v="New"/>
    <s v="Standard"/>
    <n v="59"/>
    <n v="5"/>
    <n v="8573"/>
    <n v="42865"/>
    <n v="0"/>
    <x v="1"/>
    <x v="1"/>
    <x v="1"/>
    <x v="0"/>
  </r>
  <r>
    <n v="1461"/>
    <s v="C0513"/>
    <x v="135"/>
    <s v="33 days"/>
    <x v="59"/>
    <x v="48"/>
    <s v="5 days"/>
    <x v="4"/>
    <s v="Returning"/>
    <s v="Suite"/>
    <n v="33"/>
    <n v="5"/>
    <n v="5042"/>
    <n v="25210"/>
    <n v="0"/>
    <x v="1"/>
    <x v="1"/>
    <x v="1"/>
    <x v="1"/>
  </r>
  <r>
    <n v="1462"/>
    <s v="C0802"/>
    <x v="39"/>
    <s v="50 days"/>
    <x v="192"/>
    <x v="61"/>
    <s v="1 days"/>
    <x v="4"/>
    <s v="New"/>
    <s v="Deluxe"/>
    <n v="50"/>
    <n v="1"/>
    <n v="4503"/>
    <n v="4503"/>
    <n v="0"/>
    <x v="0"/>
    <x v="1"/>
    <x v="1"/>
    <x v="1"/>
  </r>
  <r>
    <n v="1463"/>
    <s v="C1120"/>
    <x v="1"/>
    <s v="48 days"/>
    <x v="154"/>
    <x v="269"/>
    <s v="5 days"/>
    <x v="1"/>
    <s v="New"/>
    <s v="Suite"/>
    <n v="48"/>
    <n v="5"/>
    <n v="4037"/>
    <n v="20185"/>
    <n v="0"/>
    <x v="0"/>
    <x v="1"/>
    <x v="1"/>
    <x v="0"/>
  </r>
  <r>
    <n v="1464"/>
    <s v="C1142"/>
    <x v="207"/>
    <s v="41 days"/>
    <x v="243"/>
    <x v="238"/>
    <s v="1 days"/>
    <x v="2"/>
    <s v="Returning"/>
    <s v="Suite"/>
    <n v="41"/>
    <n v="1"/>
    <n v="3254"/>
    <n v="3254"/>
    <n v="0"/>
    <x v="0"/>
    <x v="1"/>
    <x v="1"/>
    <x v="1"/>
  </r>
  <r>
    <n v="1465"/>
    <s v="C0560"/>
    <x v="34"/>
    <s v="19 days"/>
    <x v="54"/>
    <x v="60"/>
    <s v="5 days"/>
    <x v="2"/>
    <s v="New"/>
    <s v="Standard"/>
    <n v="19"/>
    <n v="5"/>
    <n v="5868"/>
    <n v="29340"/>
    <n v="29340"/>
    <x v="1"/>
    <x v="0"/>
    <x v="0"/>
    <x v="1"/>
  </r>
  <r>
    <n v="1466"/>
    <s v="C0488"/>
    <x v="87"/>
    <s v="22 days"/>
    <x v="105"/>
    <x v="55"/>
    <s v="1 days"/>
    <x v="1"/>
    <s v="Returning"/>
    <s v="Standard"/>
    <n v="22"/>
    <n v="1"/>
    <n v="4758"/>
    <n v="4758"/>
    <n v="4758"/>
    <x v="0"/>
    <x v="0"/>
    <x v="0"/>
    <x v="1"/>
  </r>
  <r>
    <n v="1467"/>
    <s v="C1261"/>
    <x v="58"/>
    <s v="5 days"/>
    <x v="262"/>
    <x v="270"/>
    <s v="4 days"/>
    <x v="0"/>
    <s v="New"/>
    <s v="Suite"/>
    <n v="5"/>
    <n v="4"/>
    <n v="7742"/>
    <n v="30968"/>
    <n v="30968"/>
    <x v="1"/>
    <x v="0"/>
    <x v="0"/>
    <x v="1"/>
  </r>
  <r>
    <n v="1468"/>
    <s v="C0897"/>
    <x v="262"/>
    <s v="59 days"/>
    <x v="16"/>
    <x v="236"/>
    <s v="4 days"/>
    <x v="1"/>
    <s v="Returning"/>
    <s v="Deluxe"/>
    <n v="59"/>
    <n v="4"/>
    <n v="6165"/>
    <n v="24660"/>
    <n v="0"/>
    <x v="0"/>
    <x v="1"/>
    <x v="1"/>
    <x v="0"/>
  </r>
  <r>
    <n v="1469"/>
    <s v="C1296"/>
    <x v="52"/>
    <s v="2 days"/>
    <x v="14"/>
    <x v="153"/>
    <s v="3 days"/>
    <x v="2"/>
    <s v="New"/>
    <s v="Suite"/>
    <n v="2"/>
    <n v="3"/>
    <n v="8007"/>
    <n v="24021"/>
    <n v="24021"/>
    <x v="1"/>
    <x v="0"/>
    <x v="0"/>
    <x v="1"/>
  </r>
  <r>
    <n v="1470"/>
    <s v="C1213"/>
    <x v="263"/>
    <s v="30 days"/>
    <x v="171"/>
    <x v="80"/>
    <s v="1 days"/>
    <x v="0"/>
    <s v="New"/>
    <s v="Deluxe"/>
    <n v="30"/>
    <n v="1"/>
    <n v="6735"/>
    <n v="6735"/>
    <n v="0"/>
    <x v="0"/>
    <x v="1"/>
    <x v="1"/>
    <x v="0"/>
  </r>
  <r>
    <n v="1471"/>
    <s v="C0704"/>
    <x v="176"/>
    <s v="47 days"/>
    <x v="263"/>
    <x v="57"/>
    <s v="2 days"/>
    <x v="4"/>
    <s v="Returning"/>
    <s v="Suite"/>
    <n v="47"/>
    <n v="2"/>
    <n v="3040"/>
    <n v="6080"/>
    <n v="0"/>
    <x v="0"/>
    <x v="1"/>
    <x v="1"/>
    <x v="0"/>
  </r>
  <r>
    <n v="1472"/>
    <s v="C1471"/>
    <x v="264"/>
    <s v="39 days"/>
    <x v="60"/>
    <x v="99"/>
    <s v="3 days"/>
    <x v="1"/>
    <s v="Returning"/>
    <s v="Suite"/>
    <n v="39"/>
    <n v="3"/>
    <n v="8010"/>
    <n v="24030"/>
    <n v="24030"/>
    <x v="1"/>
    <x v="0"/>
    <x v="0"/>
    <x v="1"/>
  </r>
  <r>
    <n v="1473"/>
    <s v="C0581"/>
    <x v="153"/>
    <s v="4 days"/>
    <x v="91"/>
    <x v="16"/>
    <s v="4 days"/>
    <x v="0"/>
    <s v="Returning"/>
    <s v="Deluxe"/>
    <n v="4"/>
    <n v="4"/>
    <n v="2769"/>
    <n v="11076"/>
    <n v="0"/>
    <x v="1"/>
    <x v="1"/>
    <x v="1"/>
    <x v="0"/>
  </r>
  <r>
    <n v="1474"/>
    <s v="C0790"/>
    <x v="125"/>
    <s v="33 days"/>
    <x v="77"/>
    <x v="105"/>
    <s v="1 days"/>
    <x v="0"/>
    <s v="Returning"/>
    <s v="Suite"/>
    <n v="33"/>
    <n v="1"/>
    <n v="7631"/>
    <n v="7631"/>
    <n v="0"/>
    <x v="0"/>
    <x v="1"/>
    <x v="1"/>
    <x v="1"/>
  </r>
  <r>
    <n v="1475"/>
    <s v="C0861"/>
    <x v="42"/>
    <s v="13 days"/>
    <x v="180"/>
    <x v="156"/>
    <s v="5 days"/>
    <x v="0"/>
    <s v="Returning"/>
    <s v="Standard"/>
    <n v="13"/>
    <n v="5"/>
    <n v="8486"/>
    <n v="42430"/>
    <n v="0"/>
    <x v="1"/>
    <x v="1"/>
    <x v="1"/>
    <x v="1"/>
  </r>
  <r>
    <n v="1476"/>
    <s v="C0247"/>
    <x v="265"/>
    <s v="20 days"/>
    <x v="264"/>
    <x v="271"/>
    <s v="2 days"/>
    <x v="1"/>
    <s v="New"/>
    <s v="Suite"/>
    <n v="20"/>
    <n v="2"/>
    <n v="5960"/>
    <n v="11920"/>
    <n v="0"/>
    <x v="0"/>
    <x v="1"/>
    <x v="1"/>
    <x v="0"/>
  </r>
  <r>
    <n v="1477"/>
    <s v="C1100"/>
    <x v="49"/>
    <s v="54 days"/>
    <x v="260"/>
    <x v="263"/>
    <s v="4 days"/>
    <x v="4"/>
    <s v="Returning"/>
    <s v="Standard"/>
    <n v="54"/>
    <n v="4"/>
    <n v="5908"/>
    <n v="23632"/>
    <n v="0"/>
    <x v="1"/>
    <x v="1"/>
    <x v="1"/>
    <x v="1"/>
  </r>
  <r>
    <n v="1478"/>
    <s v="C0154"/>
    <x v="251"/>
    <s v="7 days"/>
    <x v="263"/>
    <x v="162"/>
    <s v="3 days"/>
    <x v="0"/>
    <s v="Returning"/>
    <s v="Deluxe"/>
    <n v="7"/>
    <n v="3"/>
    <n v="3005"/>
    <n v="9015"/>
    <n v="9015"/>
    <x v="1"/>
    <x v="0"/>
    <x v="0"/>
    <x v="0"/>
  </r>
  <r>
    <n v="1479"/>
    <s v="C1459"/>
    <x v="161"/>
    <s v="15 days"/>
    <x v="149"/>
    <x v="272"/>
    <s v="1 days"/>
    <x v="1"/>
    <s v="Returning"/>
    <s v="Deluxe"/>
    <n v="15"/>
    <n v="1"/>
    <n v="3629"/>
    <n v="3629"/>
    <n v="0"/>
    <x v="0"/>
    <x v="1"/>
    <x v="1"/>
    <x v="0"/>
  </r>
  <r>
    <n v="1480"/>
    <s v="C0997"/>
    <x v="105"/>
    <s v="23 days"/>
    <x v="219"/>
    <x v="212"/>
    <s v="2 days"/>
    <x v="2"/>
    <s v="Returning"/>
    <s v="Standard"/>
    <n v="23"/>
    <n v="2"/>
    <n v="4579"/>
    <n v="9158"/>
    <n v="0"/>
    <x v="0"/>
    <x v="1"/>
    <x v="1"/>
    <x v="1"/>
  </r>
  <r>
    <n v="1481"/>
    <s v="C1110"/>
    <x v="153"/>
    <s v="14 days"/>
    <x v="260"/>
    <x v="157"/>
    <s v="1 days"/>
    <x v="1"/>
    <s v="New"/>
    <s v="Suite"/>
    <n v="14"/>
    <n v="1"/>
    <n v="5645"/>
    <n v="5645"/>
    <n v="0"/>
    <x v="1"/>
    <x v="1"/>
    <x v="1"/>
    <x v="1"/>
  </r>
  <r>
    <n v="1482"/>
    <s v="C0697"/>
    <x v="266"/>
    <s v="23 days"/>
    <x v="265"/>
    <x v="125"/>
    <s v="5 days"/>
    <x v="1"/>
    <s v="New"/>
    <s v="Standard"/>
    <n v="23"/>
    <n v="5"/>
    <n v="5742"/>
    <n v="28710"/>
    <n v="28710"/>
    <x v="1"/>
    <x v="0"/>
    <x v="0"/>
    <x v="1"/>
  </r>
  <r>
    <n v="1483"/>
    <s v="C1309"/>
    <x v="263"/>
    <s v="19 days"/>
    <x v="266"/>
    <x v="165"/>
    <s v="3 days"/>
    <x v="1"/>
    <s v="New"/>
    <s v="Standard"/>
    <n v="19"/>
    <n v="3"/>
    <n v="8468"/>
    <n v="25404"/>
    <n v="25404"/>
    <x v="1"/>
    <x v="0"/>
    <x v="0"/>
    <x v="0"/>
  </r>
  <r>
    <n v="1484"/>
    <s v="C1244"/>
    <x v="181"/>
    <s v="54 days"/>
    <x v="64"/>
    <x v="273"/>
    <s v="1 days"/>
    <x v="0"/>
    <s v="New"/>
    <s v="Deluxe"/>
    <n v="54"/>
    <n v="1"/>
    <n v="7688"/>
    <n v="7688"/>
    <n v="0"/>
    <x v="1"/>
    <x v="1"/>
    <x v="1"/>
    <x v="1"/>
  </r>
  <r>
    <n v="1485"/>
    <s v="C1093"/>
    <x v="166"/>
    <s v="29 days"/>
    <x v="29"/>
    <x v="54"/>
    <s v="4 days"/>
    <x v="1"/>
    <s v="New"/>
    <s v="Standard"/>
    <n v="29"/>
    <n v="4"/>
    <n v="7408"/>
    <n v="29632"/>
    <n v="29632"/>
    <x v="0"/>
    <x v="0"/>
    <x v="0"/>
    <x v="0"/>
  </r>
  <r>
    <n v="1486"/>
    <s v="C1071"/>
    <x v="263"/>
    <s v="56 days"/>
    <x v="267"/>
    <x v="26"/>
    <s v="3 days"/>
    <x v="2"/>
    <s v="Returning"/>
    <s v="Suite"/>
    <n v="56"/>
    <n v="3"/>
    <n v="2861"/>
    <n v="8583"/>
    <n v="0"/>
    <x v="0"/>
    <x v="1"/>
    <x v="1"/>
    <x v="0"/>
  </r>
  <r>
    <n v="1487"/>
    <s v="C1009"/>
    <x v="267"/>
    <s v="20 days"/>
    <x v="130"/>
    <x v="274"/>
    <s v="4 days"/>
    <x v="0"/>
    <s v="New"/>
    <s v="Standard"/>
    <n v="20"/>
    <n v="4"/>
    <n v="6220"/>
    <n v="24880"/>
    <n v="0"/>
    <x v="1"/>
    <x v="1"/>
    <x v="1"/>
    <x v="1"/>
  </r>
  <r>
    <n v="1488"/>
    <s v="C0094"/>
    <x v="208"/>
    <s v="29 days"/>
    <x v="268"/>
    <x v="131"/>
    <s v="1 days"/>
    <x v="2"/>
    <s v="New"/>
    <s v="Deluxe"/>
    <n v="29"/>
    <n v="1"/>
    <n v="3956"/>
    <n v="3956"/>
    <n v="0"/>
    <x v="0"/>
    <x v="1"/>
    <x v="1"/>
    <x v="1"/>
  </r>
  <r>
    <n v="1489"/>
    <s v="C0958"/>
    <x v="197"/>
    <s v="24 days"/>
    <x v="218"/>
    <x v="228"/>
    <s v="3 days"/>
    <x v="3"/>
    <s v="Returning"/>
    <s v="Suite"/>
    <n v="24"/>
    <n v="3"/>
    <n v="7524"/>
    <n v="22572"/>
    <n v="0"/>
    <x v="1"/>
    <x v="1"/>
    <x v="1"/>
    <x v="1"/>
  </r>
  <r>
    <n v="1490"/>
    <s v="C1012"/>
    <x v="88"/>
    <s v="18 days"/>
    <x v="23"/>
    <x v="275"/>
    <s v="4 days"/>
    <x v="1"/>
    <s v="Returning"/>
    <s v="Deluxe"/>
    <n v="18"/>
    <n v="4"/>
    <n v="6567"/>
    <n v="26268"/>
    <n v="0"/>
    <x v="1"/>
    <x v="1"/>
    <x v="1"/>
    <x v="0"/>
  </r>
  <r>
    <n v="1491"/>
    <s v="C0453"/>
    <x v="227"/>
    <s v="10 days"/>
    <x v="9"/>
    <x v="50"/>
    <s v="5 days"/>
    <x v="0"/>
    <s v="New"/>
    <s v="Standard"/>
    <n v="10"/>
    <n v="5"/>
    <n v="6695"/>
    <n v="33475"/>
    <n v="33475"/>
    <x v="1"/>
    <x v="0"/>
    <x v="0"/>
    <x v="1"/>
  </r>
  <r>
    <n v="1492"/>
    <s v="C1228"/>
    <x v="268"/>
    <s v="41 days"/>
    <x v="145"/>
    <x v="109"/>
    <s v="5 days"/>
    <x v="0"/>
    <s v="New"/>
    <s v="Standard"/>
    <n v="41"/>
    <n v="5"/>
    <n v="4181"/>
    <n v="20905"/>
    <n v="0"/>
    <x v="0"/>
    <x v="1"/>
    <x v="1"/>
    <x v="0"/>
  </r>
  <r>
    <n v="1493"/>
    <s v="C0912"/>
    <x v="269"/>
    <s v="57 days"/>
    <x v="112"/>
    <x v="60"/>
    <s v="1 days"/>
    <x v="1"/>
    <s v="Returning"/>
    <s v="Deluxe"/>
    <n v="57"/>
    <n v="1"/>
    <n v="8652"/>
    <n v="8652"/>
    <n v="0"/>
    <x v="1"/>
    <x v="1"/>
    <x v="1"/>
    <x v="1"/>
  </r>
  <r>
    <n v="1494"/>
    <s v="C0218"/>
    <x v="270"/>
    <s v="8 days"/>
    <x v="20"/>
    <x v="274"/>
    <s v="3 days"/>
    <x v="4"/>
    <s v="New"/>
    <s v="Deluxe"/>
    <n v="8"/>
    <n v="3"/>
    <n v="3552"/>
    <n v="10656"/>
    <n v="0"/>
    <x v="0"/>
    <x v="1"/>
    <x v="1"/>
    <x v="1"/>
  </r>
  <r>
    <n v="1495"/>
    <s v="C0474"/>
    <x v="181"/>
    <s v="26 days"/>
    <x v="269"/>
    <x v="247"/>
    <s v="2 days"/>
    <x v="4"/>
    <s v="Returning"/>
    <s v="Suite"/>
    <n v="26"/>
    <n v="2"/>
    <n v="5009"/>
    <n v="10018"/>
    <n v="0"/>
    <x v="0"/>
    <x v="1"/>
    <x v="1"/>
    <x v="0"/>
  </r>
  <r>
    <n v="1496"/>
    <s v="C0432"/>
    <x v="271"/>
    <s v="29 days"/>
    <x v="270"/>
    <x v="201"/>
    <s v="3 days"/>
    <x v="2"/>
    <s v="Returning"/>
    <s v="Deluxe"/>
    <n v="29"/>
    <n v="3"/>
    <n v="7516"/>
    <n v="22548"/>
    <n v="0"/>
    <x v="1"/>
    <x v="1"/>
    <x v="1"/>
    <x v="0"/>
  </r>
  <r>
    <n v="1497"/>
    <s v="C0341"/>
    <x v="24"/>
    <s v="10 days"/>
    <x v="179"/>
    <x v="106"/>
    <s v="5 days"/>
    <x v="1"/>
    <s v="New"/>
    <s v="Deluxe"/>
    <n v="10"/>
    <n v="5"/>
    <n v="7227"/>
    <n v="36135"/>
    <n v="36135"/>
    <x v="0"/>
    <x v="0"/>
    <x v="0"/>
    <x v="1"/>
  </r>
  <r>
    <n v="1498"/>
    <s v="C0551"/>
    <x v="78"/>
    <s v="17 days"/>
    <x v="271"/>
    <x v="110"/>
    <s v="4 days"/>
    <x v="1"/>
    <s v="New"/>
    <s v="Standard"/>
    <n v="17"/>
    <n v="4"/>
    <n v="3181"/>
    <n v="12724"/>
    <n v="12724"/>
    <x v="1"/>
    <x v="0"/>
    <x v="0"/>
    <x v="1"/>
  </r>
  <r>
    <n v="1499"/>
    <s v="C1313"/>
    <x v="189"/>
    <s v="2 days"/>
    <x v="18"/>
    <x v="54"/>
    <s v="2 days"/>
    <x v="3"/>
    <s v="New"/>
    <s v="Standard"/>
    <n v="2"/>
    <n v="2"/>
    <n v="8800"/>
    <n v="17600"/>
    <n v="17600"/>
    <x v="1"/>
    <x v="0"/>
    <x v="0"/>
    <x v="1"/>
  </r>
  <r>
    <n v="1500"/>
    <s v="C1278"/>
    <x v="30"/>
    <s v="6 days"/>
    <x v="77"/>
    <x v="105"/>
    <s v="1 days"/>
    <x v="4"/>
    <s v="Returning"/>
    <s v="Deluxe"/>
    <n v="6"/>
    <n v="1"/>
    <n v="8978"/>
    <n v="8978"/>
    <n v="0"/>
    <x v="0"/>
    <x v="1"/>
    <x v="1"/>
    <x v="1"/>
  </r>
  <r>
    <n v="1501"/>
    <s v="C0357"/>
    <x v="216"/>
    <s v="58 days"/>
    <x v="272"/>
    <x v="276"/>
    <s v="2 days"/>
    <x v="4"/>
    <s v="Returning"/>
    <s v="Deluxe"/>
    <n v="58"/>
    <n v="2"/>
    <n v="6432"/>
    <n v="12864"/>
    <n v="0"/>
    <x v="1"/>
    <x v="1"/>
    <x v="1"/>
    <x v="1"/>
  </r>
  <r>
    <n v="1502"/>
    <s v="C0023"/>
    <x v="272"/>
    <s v="5 days"/>
    <x v="247"/>
    <x v="244"/>
    <s v="1 days"/>
    <x v="1"/>
    <s v="New"/>
    <s v="Standard"/>
    <n v="5"/>
    <n v="1"/>
    <n v="8903"/>
    <n v="8903"/>
    <n v="0"/>
    <x v="0"/>
    <x v="1"/>
    <x v="1"/>
    <x v="0"/>
  </r>
  <r>
    <n v="1503"/>
    <s v="C0522"/>
    <x v="172"/>
    <s v="28 days"/>
    <x v="273"/>
    <x v="76"/>
    <s v="2 days"/>
    <x v="2"/>
    <s v="New"/>
    <s v="Suite"/>
    <n v="28"/>
    <n v="2"/>
    <n v="4629"/>
    <n v="9258"/>
    <n v="0"/>
    <x v="0"/>
    <x v="1"/>
    <x v="1"/>
    <x v="0"/>
  </r>
  <r>
    <n v="1504"/>
    <s v="C1124"/>
    <x v="220"/>
    <s v="41 days"/>
    <x v="148"/>
    <x v="277"/>
    <s v="1 days"/>
    <x v="1"/>
    <s v="New"/>
    <s v="Suite"/>
    <n v="41"/>
    <n v="1"/>
    <n v="7349"/>
    <n v="7349"/>
    <n v="0"/>
    <x v="0"/>
    <x v="1"/>
    <x v="1"/>
    <x v="0"/>
  </r>
  <r>
    <n v="1505"/>
    <s v="C0802"/>
    <x v="34"/>
    <s v="5 days"/>
    <x v="190"/>
    <x v="121"/>
    <s v="1 days"/>
    <x v="2"/>
    <s v="Returning"/>
    <s v="Suite"/>
    <n v="5"/>
    <n v="1"/>
    <n v="8060"/>
    <n v="8060"/>
    <n v="0"/>
    <x v="1"/>
    <x v="1"/>
    <x v="1"/>
    <x v="0"/>
  </r>
  <r>
    <n v="1506"/>
    <s v="C1204"/>
    <x v="210"/>
    <s v="18 days"/>
    <x v="163"/>
    <x v="160"/>
    <s v="2 days"/>
    <x v="4"/>
    <s v="Returning"/>
    <s v="Suite"/>
    <n v="18"/>
    <n v="2"/>
    <n v="6516"/>
    <n v="13032"/>
    <n v="13032"/>
    <x v="0"/>
    <x v="0"/>
    <x v="0"/>
    <x v="1"/>
  </r>
  <r>
    <n v="1507"/>
    <s v="C1247"/>
    <x v="103"/>
    <s v="26 days"/>
    <x v="180"/>
    <x v="278"/>
    <s v="2 days"/>
    <x v="3"/>
    <s v="Returning"/>
    <s v="Standard"/>
    <n v="26"/>
    <n v="2"/>
    <n v="5802"/>
    <n v="11604"/>
    <n v="0"/>
    <x v="1"/>
    <x v="1"/>
    <x v="1"/>
    <x v="0"/>
  </r>
  <r>
    <n v="1508"/>
    <s v="C0762"/>
    <x v="45"/>
    <s v="20 days"/>
    <x v="195"/>
    <x v="168"/>
    <s v="1 days"/>
    <x v="0"/>
    <s v="New"/>
    <s v="Deluxe"/>
    <n v="20"/>
    <n v="1"/>
    <n v="3219"/>
    <n v="3219"/>
    <n v="3219"/>
    <x v="1"/>
    <x v="0"/>
    <x v="0"/>
    <x v="0"/>
  </r>
  <r>
    <n v="1509"/>
    <s v="C0442"/>
    <x v="112"/>
    <s v="41 days"/>
    <x v="274"/>
    <x v="279"/>
    <s v="5 days"/>
    <x v="4"/>
    <s v="Returning"/>
    <s v="Suite"/>
    <n v="41"/>
    <n v="5"/>
    <n v="2574"/>
    <n v="12870"/>
    <n v="0"/>
    <x v="0"/>
    <x v="1"/>
    <x v="1"/>
    <x v="0"/>
  </r>
  <r>
    <n v="1510"/>
    <s v="C0769"/>
    <x v="52"/>
    <s v="49 days"/>
    <x v="16"/>
    <x v="280"/>
    <s v="2 days"/>
    <x v="2"/>
    <s v="Returning"/>
    <s v="Standard"/>
    <n v="49"/>
    <n v="2"/>
    <n v="3793"/>
    <n v="7586"/>
    <n v="0"/>
    <x v="0"/>
    <x v="1"/>
    <x v="1"/>
    <x v="1"/>
  </r>
  <r>
    <n v="1511"/>
    <s v="C1016"/>
    <x v="37"/>
    <s v="27 days"/>
    <x v="186"/>
    <x v="179"/>
    <s v="3 days"/>
    <x v="1"/>
    <s v="New"/>
    <s v="Deluxe"/>
    <n v="27"/>
    <n v="3"/>
    <n v="4422"/>
    <n v="13266"/>
    <n v="13266"/>
    <x v="1"/>
    <x v="0"/>
    <x v="0"/>
    <x v="0"/>
  </r>
  <r>
    <n v="1512"/>
    <s v="C1349"/>
    <x v="34"/>
    <s v="49 days"/>
    <x v="160"/>
    <x v="78"/>
    <s v="4 days"/>
    <x v="4"/>
    <s v="Returning"/>
    <s v="Suite"/>
    <n v="49"/>
    <n v="4"/>
    <n v="6657"/>
    <n v="26628"/>
    <n v="0"/>
    <x v="0"/>
    <x v="1"/>
    <x v="1"/>
    <x v="1"/>
  </r>
  <r>
    <n v="1513"/>
    <s v="C0516"/>
    <x v="160"/>
    <s v="12 days"/>
    <x v="275"/>
    <x v="81"/>
    <s v="1 days"/>
    <x v="3"/>
    <s v="New"/>
    <s v="Deluxe"/>
    <n v="12"/>
    <n v="1"/>
    <n v="7469"/>
    <n v="7469"/>
    <n v="0"/>
    <x v="0"/>
    <x v="1"/>
    <x v="1"/>
    <x v="0"/>
  </r>
  <r>
    <n v="1514"/>
    <s v="C1040"/>
    <x v="100"/>
    <s v="7 days"/>
    <x v="214"/>
    <x v="40"/>
    <s v="1 days"/>
    <x v="2"/>
    <s v="Returning"/>
    <s v="Suite"/>
    <n v="7"/>
    <n v="1"/>
    <n v="2819"/>
    <n v="2819"/>
    <n v="2819"/>
    <x v="0"/>
    <x v="0"/>
    <x v="0"/>
    <x v="1"/>
  </r>
  <r>
    <n v="1515"/>
    <s v="C0792"/>
    <x v="264"/>
    <s v="59 days"/>
    <x v="276"/>
    <x v="87"/>
    <s v="4 days"/>
    <x v="1"/>
    <s v="New"/>
    <s v="Deluxe"/>
    <n v="59"/>
    <n v="4"/>
    <n v="4649"/>
    <n v="18596"/>
    <n v="18596"/>
    <x v="1"/>
    <x v="0"/>
    <x v="0"/>
    <x v="0"/>
  </r>
  <r>
    <n v="1516"/>
    <s v="C0336"/>
    <x v="273"/>
    <s v="3 days"/>
    <x v="220"/>
    <x v="242"/>
    <s v="5 days"/>
    <x v="0"/>
    <s v="New"/>
    <s v="Suite"/>
    <n v="3"/>
    <n v="5"/>
    <n v="3952"/>
    <n v="19760"/>
    <n v="0"/>
    <x v="0"/>
    <x v="1"/>
    <x v="1"/>
    <x v="1"/>
  </r>
  <r>
    <n v="1517"/>
    <s v="C0258"/>
    <x v="274"/>
    <s v="10 days"/>
    <x v="135"/>
    <x v="221"/>
    <s v="4 days"/>
    <x v="2"/>
    <s v="Returning"/>
    <s v="Suite"/>
    <n v="10"/>
    <n v="4"/>
    <n v="7469"/>
    <n v="29876"/>
    <n v="0"/>
    <x v="1"/>
    <x v="1"/>
    <x v="1"/>
    <x v="0"/>
  </r>
  <r>
    <n v="1518"/>
    <s v="C0497"/>
    <x v="275"/>
    <s v="34 days"/>
    <x v="234"/>
    <x v="281"/>
    <s v="2 days"/>
    <x v="1"/>
    <s v="New"/>
    <s v="Deluxe"/>
    <n v="34"/>
    <n v="2"/>
    <n v="8341"/>
    <n v="16682"/>
    <n v="16682"/>
    <x v="1"/>
    <x v="0"/>
    <x v="0"/>
    <x v="1"/>
  </r>
  <r>
    <n v="1519"/>
    <s v="C0896"/>
    <x v="214"/>
    <s v="25 days"/>
    <x v="205"/>
    <x v="251"/>
    <s v="4 days"/>
    <x v="0"/>
    <s v="Returning"/>
    <s v="Deluxe"/>
    <n v="25"/>
    <n v="4"/>
    <n v="8898"/>
    <n v="35592"/>
    <n v="0"/>
    <x v="0"/>
    <x v="1"/>
    <x v="1"/>
    <x v="1"/>
  </r>
  <r>
    <n v="1520"/>
    <s v="C0160"/>
    <x v="276"/>
    <s v="35 days"/>
    <x v="277"/>
    <x v="136"/>
    <s v="1 days"/>
    <x v="1"/>
    <s v="New"/>
    <s v="Deluxe"/>
    <n v="35"/>
    <n v="1"/>
    <n v="4055"/>
    <n v="4055"/>
    <n v="0"/>
    <x v="0"/>
    <x v="1"/>
    <x v="1"/>
    <x v="0"/>
  </r>
  <r>
    <n v="1521"/>
    <s v="C1499"/>
    <x v="74"/>
    <s v="16 days"/>
    <x v="123"/>
    <x v="227"/>
    <s v="4 days"/>
    <x v="0"/>
    <s v="New"/>
    <s v="Standard"/>
    <n v="16"/>
    <n v="4"/>
    <n v="6707"/>
    <n v="26828"/>
    <n v="0"/>
    <x v="1"/>
    <x v="1"/>
    <x v="1"/>
    <x v="1"/>
  </r>
  <r>
    <n v="1522"/>
    <s v="C0852"/>
    <x v="256"/>
    <s v="2 days"/>
    <x v="116"/>
    <x v="282"/>
    <s v="3 days"/>
    <x v="0"/>
    <s v="New"/>
    <s v="Standard"/>
    <n v="2"/>
    <n v="3"/>
    <n v="5532"/>
    <n v="16596"/>
    <n v="0"/>
    <x v="1"/>
    <x v="1"/>
    <x v="1"/>
    <x v="1"/>
  </r>
  <r>
    <n v="1523"/>
    <s v="C0690"/>
    <x v="190"/>
    <s v="24 days"/>
    <x v="31"/>
    <x v="159"/>
    <s v="2 days"/>
    <x v="0"/>
    <s v="Returning"/>
    <s v="Deluxe"/>
    <n v="24"/>
    <n v="2"/>
    <n v="2960"/>
    <n v="5920"/>
    <n v="5920"/>
    <x v="0"/>
    <x v="0"/>
    <x v="0"/>
    <x v="0"/>
  </r>
  <r>
    <n v="1524"/>
    <s v="C0380"/>
    <x v="50"/>
    <s v="10 days"/>
    <x v="188"/>
    <x v="218"/>
    <s v="4 days"/>
    <x v="1"/>
    <s v="New"/>
    <s v="Standard"/>
    <n v="10"/>
    <n v="4"/>
    <n v="3386"/>
    <n v="13544"/>
    <n v="13544"/>
    <x v="1"/>
    <x v="0"/>
    <x v="0"/>
    <x v="0"/>
  </r>
  <r>
    <n v="1525"/>
    <s v="C0957"/>
    <x v="277"/>
    <s v="38 days"/>
    <x v="155"/>
    <x v="34"/>
    <s v="1 days"/>
    <x v="0"/>
    <s v="New"/>
    <s v="Suite"/>
    <n v="38"/>
    <n v="1"/>
    <n v="6033"/>
    <n v="6033"/>
    <n v="0"/>
    <x v="0"/>
    <x v="1"/>
    <x v="1"/>
    <x v="1"/>
  </r>
  <r>
    <n v="1526"/>
    <s v="C0691"/>
    <x v="278"/>
    <s v="22 days"/>
    <x v="198"/>
    <x v="283"/>
    <s v="2 days"/>
    <x v="2"/>
    <s v="Returning"/>
    <s v="Deluxe"/>
    <n v="22"/>
    <n v="2"/>
    <n v="6436"/>
    <n v="12872"/>
    <n v="0"/>
    <x v="1"/>
    <x v="1"/>
    <x v="1"/>
    <x v="0"/>
  </r>
  <r>
    <n v="1527"/>
    <s v="C1451"/>
    <x v="279"/>
    <s v="26 days"/>
    <x v="162"/>
    <x v="96"/>
    <s v="1 days"/>
    <x v="3"/>
    <s v="New"/>
    <s v="Standard"/>
    <n v="26"/>
    <n v="1"/>
    <n v="3615"/>
    <n v="3615"/>
    <n v="3615"/>
    <x v="0"/>
    <x v="0"/>
    <x v="0"/>
    <x v="0"/>
  </r>
  <r>
    <n v="1528"/>
    <s v="C1292"/>
    <x v="279"/>
    <s v="43 days"/>
    <x v="238"/>
    <x v="168"/>
    <s v="5 days"/>
    <x v="3"/>
    <s v="New"/>
    <s v="Deluxe"/>
    <n v="43"/>
    <n v="5"/>
    <n v="3575"/>
    <n v="17875"/>
    <n v="0"/>
    <x v="1"/>
    <x v="1"/>
    <x v="1"/>
    <x v="0"/>
  </r>
  <r>
    <n v="1529"/>
    <s v="C1441"/>
    <x v="280"/>
    <s v="55 days"/>
    <x v="278"/>
    <x v="36"/>
    <s v="3 days"/>
    <x v="0"/>
    <s v="New"/>
    <s v="Suite"/>
    <n v="55"/>
    <n v="3"/>
    <n v="6376"/>
    <n v="19128"/>
    <n v="0"/>
    <x v="0"/>
    <x v="1"/>
    <x v="1"/>
    <x v="1"/>
  </r>
  <r>
    <n v="1530"/>
    <s v="C1192"/>
    <x v="13"/>
    <s v="39 days"/>
    <x v="279"/>
    <x v="26"/>
    <s v="5 days"/>
    <x v="3"/>
    <s v="New"/>
    <s v="Suite"/>
    <n v="39"/>
    <n v="5"/>
    <n v="7115"/>
    <n v="35575"/>
    <n v="0"/>
    <x v="0"/>
    <x v="1"/>
    <x v="1"/>
    <x v="1"/>
  </r>
  <r>
    <n v="1531"/>
    <s v="C1067"/>
    <x v="281"/>
    <s v="27 days"/>
    <x v="50"/>
    <x v="50"/>
    <s v="3 days"/>
    <x v="3"/>
    <s v="Returning"/>
    <s v="Standard"/>
    <n v="27"/>
    <n v="3"/>
    <n v="7407"/>
    <n v="22221"/>
    <n v="22221"/>
    <x v="1"/>
    <x v="0"/>
    <x v="0"/>
    <x v="1"/>
  </r>
  <r>
    <n v="1532"/>
    <s v="C0285"/>
    <x v="257"/>
    <s v="29 days"/>
    <x v="125"/>
    <x v="139"/>
    <s v="4 days"/>
    <x v="0"/>
    <s v="New"/>
    <s v="Suite"/>
    <n v="29"/>
    <n v="4"/>
    <n v="8879"/>
    <n v="35516"/>
    <n v="35516"/>
    <x v="0"/>
    <x v="0"/>
    <x v="0"/>
    <x v="1"/>
  </r>
  <r>
    <n v="1533"/>
    <s v="C0397"/>
    <x v="282"/>
    <s v="47 days"/>
    <x v="120"/>
    <x v="52"/>
    <s v="2 days"/>
    <x v="0"/>
    <s v="New"/>
    <s v="Deluxe"/>
    <n v="47"/>
    <n v="2"/>
    <n v="4424"/>
    <n v="8848"/>
    <n v="0"/>
    <x v="1"/>
    <x v="1"/>
    <x v="1"/>
    <x v="1"/>
  </r>
  <r>
    <n v="1534"/>
    <s v="C0012"/>
    <x v="104"/>
    <s v="38 days"/>
    <x v="106"/>
    <x v="2"/>
    <s v="4 days"/>
    <x v="2"/>
    <s v="Returning"/>
    <s v="Standard"/>
    <n v="38"/>
    <n v="4"/>
    <n v="8200"/>
    <n v="32800"/>
    <n v="0"/>
    <x v="1"/>
    <x v="1"/>
    <x v="1"/>
    <x v="1"/>
  </r>
  <r>
    <n v="1535"/>
    <s v="C1326"/>
    <x v="167"/>
    <s v="20 days"/>
    <x v="280"/>
    <x v="284"/>
    <s v="3 days"/>
    <x v="4"/>
    <s v="New"/>
    <s v="Deluxe"/>
    <n v="20"/>
    <n v="3"/>
    <n v="3426"/>
    <n v="10278"/>
    <n v="10278"/>
    <x v="1"/>
    <x v="0"/>
    <x v="0"/>
    <x v="1"/>
  </r>
  <r>
    <n v="1536"/>
    <s v="C1277"/>
    <x v="104"/>
    <s v="27 days"/>
    <x v="96"/>
    <x v="24"/>
    <s v="3 days"/>
    <x v="1"/>
    <s v="New"/>
    <s v="Deluxe"/>
    <n v="27"/>
    <n v="3"/>
    <n v="7152"/>
    <n v="21456"/>
    <n v="21456"/>
    <x v="1"/>
    <x v="0"/>
    <x v="0"/>
    <x v="0"/>
  </r>
  <r>
    <n v="1537"/>
    <s v="C0499"/>
    <x v="175"/>
    <s v="41 days"/>
    <x v="281"/>
    <x v="84"/>
    <s v="3 days"/>
    <x v="0"/>
    <s v="Returning"/>
    <s v="Deluxe"/>
    <n v="41"/>
    <n v="3"/>
    <n v="4781"/>
    <n v="14343"/>
    <n v="0"/>
    <x v="0"/>
    <x v="1"/>
    <x v="1"/>
    <x v="1"/>
  </r>
  <r>
    <n v="1538"/>
    <s v="C0754"/>
    <x v="32"/>
    <s v="54 days"/>
    <x v="98"/>
    <x v="285"/>
    <s v="1 days"/>
    <x v="0"/>
    <s v="Returning"/>
    <s v="Suite"/>
    <n v="54"/>
    <n v="1"/>
    <n v="3555"/>
    <n v="3555"/>
    <n v="0"/>
    <x v="1"/>
    <x v="1"/>
    <x v="1"/>
    <x v="1"/>
  </r>
  <r>
    <n v="1539"/>
    <s v="C0035"/>
    <x v="100"/>
    <s v="20 days"/>
    <x v="282"/>
    <x v="228"/>
    <s v="2 days"/>
    <x v="3"/>
    <s v="Returning"/>
    <s v="Deluxe"/>
    <n v="20"/>
    <n v="2"/>
    <n v="7174"/>
    <n v="14348"/>
    <n v="0"/>
    <x v="1"/>
    <x v="1"/>
    <x v="1"/>
    <x v="0"/>
  </r>
  <r>
    <n v="1540"/>
    <s v="C0727"/>
    <x v="134"/>
    <s v="44 days"/>
    <x v="283"/>
    <x v="48"/>
    <s v="4 days"/>
    <x v="2"/>
    <s v="Returning"/>
    <s v="Suite"/>
    <n v="44"/>
    <n v="4"/>
    <n v="3041"/>
    <n v="12164"/>
    <n v="0"/>
    <x v="1"/>
    <x v="1"/>
    <x v="1"/>
    <x v="0"/>
  </r>
  <r>
    <n v="1541"/>
    <s v="C0849"/>
    <x v="242"/>
    <s v="19 days"/>
    <x v="190"/>
    <x v="286"/>
    <s v="4 days"/>
    <x v="3"/>
    <s v="New"/>
    <s v="Deluxe"/>
    <n v="19"/>
    <n v="4"/>
    <n v="4661"/>
    <n v="18644"/>
    <n v="0"/>
    <x v="0"/>
    <x v="1"/>
    <x v="1"/>
    <x v="0"/>
  </r>
  <r>
    <n v="1542"/>
    <s v="C0090"/>
    <x v="283"/>
    <s v="20 days"/>
    <x v="63"/>
    <x v="287"/>
    <s v="5 days"/>
    <x v="0"/>
    <s v="Returning"/>
    <s v="Suite"/>
    <n v="20"/>
    <n v="5"/>
    <n v="4751"/>
    <n v="23755"/>
    <n v="23755"/>
    <x v="1"/>
    <x v="0"/>
    <x v="0"/>
    <x v="1"/>
  </r>
  <r>
    <n v="1543"/>
    <s v="C0776"/>
    <x v="284"/>
    <s v="35 days"/>
    <x v="268"/>
    <x v="288"/>
    <s v="3 days"/>
    <x v="0"/>
    <s v="New"/>
    <s v="Suite"/>
    <n v="35"/>
    <n v="3"/>
    <n v="3552"/>
    <n v="10656"/>
    <n v="10656"/>
    <x v="0"/>
    <x v="0"/>
    <x v="0"/>
    <x v="0"/>
  </r>
  <r>
    <n v="1544"/>
    <s v="C0605"/>
    <x v="262"/>
    <s v="47 days"/>
    <x v="238"/>
    <x v="289"/>
    <s v="3 days"/>
    <x v="3"/>
    <s v="Returning"/>
    <s v="Suite"/>
    <n v="47"/>
    <n v="3"/>
    <n v="7069"/>
    <n v="21207"/>
    <n v="21207"/>
    <x v="0"/>
    <x v="0"/>
    <x v="0"/>
    <x v="1"/>
  </r>
  <r>
    <n v="1545"/>
    <s v="C0970"/>
    <x v="261"/>
    <s v="2 days"/>
    <x v="57"/>
    <x v="290"/>
    <s v="3 days"/>
    <x v="0"/>
    <s v="New"/>
    <s v="Deluxe"/>
    <n v="2"/>
    <n v="3"/>
    <n v="5244"/>
    <n v="15732"/>
    <n v="15732"/>
    <x v="1"/>
    <x v="0"/>
    <x v="0"/>
    <x v="1"/>
  </r>
  <r>
    <n v="1546"/>
    <s v="C1022"/>
    <x v="285"/>
    <s v="30 days"/>
    <x v="214"/>
    <x v="175"/>
    <s v="4 days"/>
    <x v="4"/>
    <s v="Returning"/>
    <s v="Deluxe"/>
    <n v="30"/>
    <n v="4"/>
    <n v="8896"/>
    <n v="35584"/>
    <n v="35584"/>
    <x v="0"/>
    <x v="0"/>
    <x v="0"/>
    <x v="1"/>
  </r>
  <r>
    <n v="1547"/>
    <s v="C0418"/>
    <x v="270"/>
    <s v="53 days"/>
    <x v="232"/>
    <x v="54"/>
    <s v="5 days"/>
    <x v="1"/>
    <s v="Returning"/>
    <s v="Suite"/>
    <n v="53"/>
    <n v="5"/>
    <n v="6369"/>
    <n v="31845"/>
    <n v="0"/>
    <x v="1"/>
    <x v="1"/>
    <x v="1"/>
    <x v="0"/>
  </r>
  <r>
    <n v="1548"/>
    <s v="C0115"/>
    <x v="23"/>
    <s v="34 days"/>
    <x v="153"/>
    <x v="291"/>
    <s v="1 days"/>
    <x v="1"/>
    <s v="New"/>
    <s v="Deluxe"/>
    <n v="34"/>
    <n v="1"/>
    <n v="7500"/>
    <n v="7500"/>
    <n v="7500"/>
    <x v="0"/>
    <x v="0"/>
    <x v="0"/>
    <x v="0"/>
  </r>
  <r>
    <n v="1549"/>
    <s v="C0617"/>
    <x v="40"/>
    <s v="22 days"/>
    <x v="19"/>
    <x v="0"/>
    <s v="2 days"/>
    <x v="1"/>
    <s v="Returning"/>
    <s v="Suite"/>
    <n v="22"/>
    <n v="2"/>
    <n v="8541"/>
    <n v="17082"/>
    <n v="0"/>
    <x v="0"/>
    <x v="1"/>
    <x v="1"/>
    <x v="1"/>
  </r>
  <r>
    <n v="1550"/>
    <s v="C1220"/>
    <x v="113"/>
    <s v="3 days"/>
    <x v="202"/>
    <x v="195"/>
    <s v="1 days"/>
    <x v="4"/>
    <s v="Returning"/>
    <s v="Deluxe"/>
    <n v="3"/>
    <n v="1"/>
    <n v="6981"/>
    <n v="6981"/>
    <n v="6981"/>
    <x v="1"/>
    <x v="0"/>
    <x v="0"/>
    <x v="1"/>
  </r>
  <r>
    <n v="1551"/>
    <s v="C0826"/>
    <x v="57"/>
    <s v="6 days"/>
    <x v="62"/>
    <x v="292"/>
    <s v="4 days"/>
    <x v="0"/>
    <s v="Returning"/>
    <s v="Suite"/>
    <n v="6"/>
    <n v="4"/>
    <n v="6657"/>
    <n v="26628"/>
    <n v="0"/>
    <x v="0"/>
    <x v="1"/>
    <x v="1"/>
    <x v="1"/>
  </r>
  <r>
    <n v="1552"/>
    <s v="C1099"/>
    <x v="286"/>
    <s v="15 days"/>
    <x v="282"/>
    <x v="211"/>
    <s v="3 days"/>
    <x v="3"/>
    <s v="New"/>
    <s v="Suite"/>
    <n v="15"/>
    <n v="3"/>
    <n v="7110"/>
    <n v="21330"/>
    <n v="21330"/>
    <x v="1"/>
    <x v="0"/>
    <x v="0"/>
    <x v="0"/>
  </r>
  <r>
    <n v="1553"/>
    <s v="C0413"/>
    <x v="284"/>
    <s v="27 days"/>
    <x v="202"/>
    <x v="182"/>
    <s v="2 days"/>
    <x v="2"/>
    <s v="Returning"/>
    <s v="Standard"/>
    <n v="27"/>
    <n v="2"/>
    <n v="7025"/>
    <n v="14050"/>
    <n v="14050"/>
    <x v="0"/>
    <x v="0"/>
    <x v="0"/>
    <x v="1"/>
  </r>
  <r>
    <n v="1554"/>
    <s v="C1400"/>
    <x v="287"/>
    <s v="10 days"/>
    <x v="93"/>
    <x v="293"/>
    <s v="4 days"/>
    <x v="0"/>
    <s v="Returning"/>
    <s v="Deluxe"/>
    <n v="10"/>
    <n v="4"/>
    <n v="7175"/>
    <n v="28700"/>
    <n v="28700"/>
    <x v="1"/>
    <x v="0"/>
    <x v="0"/>
    <x v="0"/>
  </r>
  <r>
    <n v="1555"/>
    <s v="C1444"/>
    <x v="7"/>
    <s v="9 days"/>
    <x v="236"/>
    <x v="294"/>
    <s v="4 days"/>
    <x v="4"/>
    <s v="New"/>
    <s v="Deluxe"/>
    <n v="9"/>
    <n v="4"/>
    <n v="4060"/>
    <n v="16240"/>
    <n v="0"/>
    <x v="1"/>
    <x v="1"/>
    <x v="1"/>
    <x v="1"/>
  </r>
  <r>
    <n v="1556"/>
    <s v="C0729"/>
    <x v="232"/>
    <s v="33 days"/>
    <x v="229"/>
    <x v="83"/>
    <s v="4 days"/>
    <x v="4"/>
    <s v="New"/>
    <s v="Standard"/>
    <n v="33"/>
    <n v="4"/>
    <n v="6262"/>
    <n v="25048"/>
    <n v="0"/>
    <x v="1"/>
    <x v="1"/>
    <x v="1"/>
    <x v="0"/>
  </r>
  <r>
    <n v="1557"/>
    <s v="C1301"/>
    <x v="267"/>
    <s v="32 days"/>
    <x v="284"/>
    <x v="295"/>
    <s v="2 days"/>
    <x v="1"/>
    <s v="Returning"/>
    <s v="Suite"/>
    <n v="32"/>
    <n v="2"/>
    <n v="3664"/>
    <n v="7328"/>
    <n v="7328"/>
    <x v="1"/>
    <x v="0"/>
    <x v="0"/>
    <x v="1"/>
  </r>
  <r>
    <n v="1558"/>
    <s v="C1021"/>
    <x v="214"/>
    <s v="48 days"/>
    <x v="218"/>
    <x v="63"/>
    <s v="2 days"/>
    <x v="0"/>
    <s v="New"/>
    <s v="Suite"/>
    <n v="48"/>
    <n v="2"/>
    <n v="7919"/>
    <n v="15838"/>
    <n v="0"/>
    <x v="0"/>
    <x v="1"/>
    <x v="1"/>
    <x v="0"/>
  </r>
  <r>
    <n v="1559"/>
    <s v="C0761"/>
    <x v="218"/>
    <s v="6 days"/>
    <x v="285"/>
    <x v="18"/>
    <s v="5 days"/>
    <x v="1"/>
    <s v="New"/>
    <s v="Standard"/>
    <n v="6"/>
    <n v="5"/>
    <n v="5222"/>
    <n v="26110"/>
    <n v="26110"/>
    <x v="1"/>
    <x v="0"/>
    <x v="0"/>
    <x v="0"/>
  </r>
  <r>
    <n v="1560"/>
    <s v="C0676"/>
    <x v="288"/>
    <s v="41 days"/>
    <x v="42"/>
    <x v="142"/>
    <s v="5 days"/>
    <x v="2"/>
    <s v="New"/>
    <s v="Standard"/>
    <n v="41"/>
    <n v="5"/>
    <n v="4858"/>
    <n v="24290"/>
    <n v="0"/>
    <x v="1"/>
    <x v="1"/>
    <x v="1"/>
    <x v="0"/>
  </r>
  <r>
    <n v="1561"/>
    <s v="C1418"/>
    <x v="156"/>
    <s v="59 days"/>
    <x v="286"/>
    <x v="296"/>
    <s v="1 days"/>
    <x v="1"/>
    <s v="Returning"/>
    <s v="Suite"/>
    <n v="59"/>
    <n v="1"/>
    <n v="2970"/>
    <n v="2970"/>
    <n v="0"/>
    <x v="1"/>
    <x v="1"/>
    <x v="1"/>
    <x v="0"/>
  </r>
  <r>
    <n v="1562"/>
    <s v="C0457"/>
    <x v="289"/>
    <s v="36 days"/>
    <x v="287"/>
    <x v="279"/>
    <s v="2 days"/>
    <x v="2"/>
    <s v="Returning"/>
    <s v="Deluxe"/>
    <n v="36"/>
    <n v="2"/>
    <n v="3916"/>
    <n v="7832"/>
    <n v="0"/>
    <x v="1"/>
    <x v="1"/>
    <x v="1"/>
    <x v="0"/>
  </r>
  <r>
    <n v="1563"/>
    <s v="C0920"/>
    <x v="154"/>
    <s v="59 days"/>
    <x v="3"/>
    <x v="297"/>
    <s v="2 days"/>
    <x v="4"/>
    <s v="New"/>
    <s v="Standard"/>
    <n v="59"/>
    <n v="2"/>
    <n v="8261"/>
    <n v="16522"/>
    <n v="0"/>
    <x v="0"/>
    <x v="1"/>
    <x v="1"/>
    <x v="0"/>
  </r>
  <r>
    <n v="1564"/>
    <s v="C0192"/>
    <x v="90"/>
    <s v="2 days"/>
    <x v="89"/>
    <x v="174"/>
    <s v="2 days"/>
    <x v="1"/>
    <s v="Returning"/>
    <s v="Standard"/>
    <n v="2"/>
    <n v="2"/>
    <n v="3968"/>
    <n v="7936"/>
    <n v="7936"/>
    <x v="1"/>
    <x v="0"/>
    <x v="0"/>
    <x v="1"/>
  </r>
  <r>
    <n v="1565"/>
    <s v="C0739"/>
    <x v="154"/>
    <s v="29 days"/>
    <x v="288"/>
    <x v="188"/>
    <s v="5 days"/>
    <x v="1"/>
    <s v="New"/>
    <s v="Standard"/>
    <n v="29"/>
    <n v="5"/>
    <n v="3308"/>
    <n v="16540"/>
    <n v="0"/>
    <x v="0"/>
    <x v="1"/>
    <x v="1"/>
    <x v="1"/>
  </r>
  <r>
    <n v="1566"/>
    <s v="C1123"/>
    <x v="89"/>
    <s v="4 days"/>
    <x v="214"/>
    <x v="175"/>
    <s v="4 days"/>
    <x v="3"/>
    <s v="Returning"/>
    <s v="Standard"/>
    <n v="4"/>
    <n v="4"/>
    <n v="2671"/>
    <n v="10684"/>
    <n v="0"/>
    <x v="1"/>
    <x v="1"/>
    <x v="1"/>
    <x v="1"/>
  </r>
  <r>
    <n v="1567"/>
    <s v="C0978"/>
    <x v="290"/>
    <s v="1 days"/>
    <x v="169"/>
    <x v="258"/>
    <s v="3 days"/>
    <x v="4"/>
    <s v="New"/>
    <s v="Standard"/>
    <n v="1"/>
    <n v="3"/>
    <n v="6626"/>
    <n v="19878"/>
    <n v="0"/>
    <x v="1"/>
    <x v="1"/>
    <x v="1"/>
    <x v="1"/>
  </r>
  <r>
    <n v="1568"/>
    <s v="C1009"/>
    <x v="197"/>
    <s v="19 days"/>
    <x v="116"/>
    <x v="127"/>
    <s v="5 days"/>
    <x v="3"/>
    <s v="Returning"/>
    <s v="Standard"/>
    <n v="19"/>
    <n v="5"/>
    <n v="6642"/>
    <n v="33210"/>
    <n v="33210"/>
    <x v="1"/>
    <x v="0"/>
    <x v="0"/>
    <x v="0"/>
  </r>
  <r>
    <n v="1569"/>
    <s v="C0096"/>
    <x v="216"/>
    <s v="26 days"/>
    <x v="261"/>
    <x v="264"/>
    <s v="2 days"/>
    <x v="2"/>
    <s v="New"/>
    <s v="Suite"/>
    <n v="26"/>
    <n v="2"/>
    <n v="6725"/>
    <n v="13450"/>
    <n v="13450"/>
    <x v="1"/>
    <x v="0"/>
    <x v="0"/>
    <x v="1"/>
  </r>
  <r>
    <n v="1570"/>
    <s v="C0663"/>
    <x v="42"/>
    <s v="25 days"/>
    <x v="289"/>
    <x v="114"/>
    <s v="5 days"/>
    <x v="2"/>
    <s v="Returning"/>
    <s v="Suite"/>
    <n v="25"/>
    <n v="5"/>
    <n v="4899"/>
    <n v="24495"/>
    <n v="24495"/>
    <x v="1"/>
    <x v="0"/>
    <x v="0"/>
    <x v="0"/>
  </r>
  <r>
    <n v="1571"/>
    <s v="C1214"/>
    <x v="226"/>
    <s v="10 days"/>
    <x v="282"/>
    <x v="63"/>
    <s v="1 days"/>
    <x v="4"/>
    <s v="Returning"/>
    <s v="Standard"/>
    <n v="10"/>
    <n v="1"/>
    <n v="7573"/>
    <n v="7573"/>
    <n v="7573"/>
    <x v="1"/>
    <x v="0"/>
    <x v="0"/>
    <x v="0"/>
  </r>
  <r>
    <n v="1572"/>
    <s v="C0037"/>
    <x v="283"/>
    <s v="53 days"/>
    <x v="89"/>
    <x v="174"/>
    <s v="2 days"/>
    <x v="2"/>
    <s v="New"/>
    <s v="Suite"/>
    <n v="53"/>
    <n v="2"/>
    <n v="4145"/>
    <n v="8290"/>
    <n v="0"/>
    <x v="0"/>
    <x v="1"/>
    <x v="1"/>
    <x v="0"/>
  </r>
  <r>
    <n v="1573"/>
    <s v="C1393"/>
    <x v="104"/>
    <s v="15 days"/>
    <x v="290"/>
    <x v="47"/>
    <s v="1 days"/>
    <x v="4"/>
    <s v="Returning"/>
    <s v="Deluxe"/>
    <n v="15"/>
    <n v="1"/>
    <n v="8200"/>
    <n v="8200"/>
    <n v="8200"/>
    <x v="0"/>
    <x v="0"/>
    <x v="0"/>
    <x v="1"/>
  </r>
  <r>
    <n v="1574"/>
    <s v="C0279"/>
    <x v="262"/>
    <s v="59 days"/>
    <x v="16"/>
    <x v="280"/>
    <s v="2 days"/>
    <x v="2"/>
    <s v="Returning"/>
    <s v="Deluxe"/>
    <n v="59"/>
    <n v="2"/>
    <n v="2557"/>
    <n v="5114"/>
    <n v="0"/>
    <x v="1"/>
    <x v="1"/>
    <x v="1"/>
    <x v="0"/>
  </r>
  <r>
    <n v="1575"/>
    <s v="C0217"/>
    <x v="286"/>
    <s v="22 days"/>
    <x v="95"/>
    <x v="140"/>
    <s v="5 days"/>
    <x v="0"/>
    <s v="Returning"/>
    <s v="Standard"/>
    <n v="22"/>
    <n v="5"/>
    <n v="3629"/>
    <n v="18145"/>
    <n v="0"/>
    <x v="1"/>
    <x v="1"/>
    <x v="1"/>
    <x v="1"/>
  </r>
  <r>
    <n v="1576"/>
    <s v="C0867"/>
    <x v="166"/>
    <s v="51 days"/>
    <x v="107"/>
    <x v="107"/>
    <s v="4 days"/>
    <x v="1"/>
    <s v="Returning"/>
    <s v="Deluxe"/>
    <n v="51"/>
    <n v="4"/>
    <n v="3853"/>
    <n v="15412"/>
    <n v="15412"/>
    <x v="1"/>
    <x v="0"/>
    <x v="0"/>
    <x v="1"/>
  </r>
  <r>
    <n v="1577"/>
    <s v="C0873"/>
    <x v="17"/>
    <s v="48 days"/>
    <x v="94"/>
    <x v="91"/>
    <s v="3 days"/>
    <x v="0"/>
    <s v="Returning"/>
    <s v="Deluxe"/>
    <n v="48"/>
    <n v="3"/>
    <n v="3267"/>
    <n v="9801"/>
    <n v="9801"/>
    <x v="0"/>
    <x v="0"/>
    <x v="0"/>
    <x v="1"/>
  </r>
  <r>
    <n v="1578"/>
    <s v="C1297"/>
    <x v="231"/>
    <s v="21 days"/>
    <x v="6"/>
    <x v="67"/>
    <s v="1 days"/>
    <x v="4"/>
    <s v="Returning"/>
    <s v="Suite"/>
    <n v="21"/>
    <n v="1"/>
    <n v="6395"/>
    <n v="6395"/>
    <n v="0"/>
    <x v="1"/>
    <x v="1"/>
    <x v="1"/>
    <x v="1"/>
  </r>
  <r>
    <n v="1579"/>
    <s v="C0062"/>
    <x v="291"/>
    <s v="59 days"/>
    <x v="135"/>
    <x v="131"/>
    <s v="5 days"/>
    <x v="4"/>
    <s v="Returning"/>
    <s v="Suite"/>
    <n v="59"/>
    <n v="5"/>
    <n v="3182"/>
    <n v="15910"/>
    <n v="0"/>
    <x v="0"/>
    <x v="1"/>
    <x v="1"/>
    <x v="1"/>
  </r>
  <r>
    <n v="1580"/>
    <s v="C0596"/>
    <x v="183"/>
    <s v="56 days"/>
    <x v="139"/>
    <x v="137"/>
    <s v="4 days"/>
    <x v="0"/>
    <s v="Returning"/>
    <s v="Suite"/>
    <n v="56"/>
    <n v="4"/>
    <n v="5954"/>
    <n v="23816"/>
    <n v="23816"/>
    <x v="0"/>
    <x v="0"/>
    <x v="0"/>
    <x v="0"/>
  </r>
  <r>
    <n v="1581"/>
    <s v="C0729"/>
    <x v="292"/>
    <s v="22 days"/>
    <x v="167"/>
    <x v="286"/>
    <s v="5 days"/>
    <x v="1"/>
    <s v="New"/>
    <s v="Suite"/>
    <n v="22"/>
    <n v="5"/>
    <n v="4508"/>
    <n v="22540"/>
    <n v="0"/>
    <x v="0"/>
    <x v="1"/>
    <x v="1"/>
    <x v="0"/>
  </r>
  <r>
    <n v="1582"/>
    <s v="C1366"/>
    <x v="277"/>
    <s v="36 days"/>
    <x v="34"/>
    <x v="159"/>
    <s v="1 days"/>
    <x v="1"/>
    <s v="Returning"/>
    <s v="Deluxe"/>
    <n v="36"/>
    <n v="1"/>
    <n v="8929"/>
    <n v="8929"/>
    <n v="0"/>
    <x v="0"/>
    <x v="1"/>
    <x v="1"/>
    <x v="1"/>
  </r>
  <r>
    <n v="1583"/>
    <s v="C0397"/>
    <x v="147"/>
    <s v="34 days"/>
    <x v="291"/>
    <x v="269"/>
    <s v="3 days"/>
    <x v="3"/>
    <s v="New"/>
    <s v="Standard"/>
    <n v="34"/>
    <n v="3"/>
    <n v="5642"/>
    <n v="16926"/>
    <n v="0"/>
    <x v="0"/>
    <x v="1"/>
    <x v="1"/>
    <x v="0"/>
  </r>
  <r>
    <n v="1584"/>
    <s v="C0699"/>
    <x v="121"/>
    <s v="30 days"/>
    <x v="129"/>
    <x v="83"/>
    <s v="5 days"/>
    <x v="2"/>
    <s v="Returning"/>
    <s v="Suite"/>
    <n v="30"/>
    <n v="5"/>
    <n v="4290"/>
    <n v="21450"/>
    <n v="21450"/>
    <x v="1"/>
    <x v="0"/>
    <x v="0"/>
    <x v="1"/>
  </r>
  <r>
    <n v="1585"/>
    <s v="C1043"/>
    <x v="293"/>
    <s v="25 days"/>
    <x v="39"/>
    <x v="298"/>
    <s v="2 days"/>
    <x v="3"/>
    <s v="New"/>
    <s v="Deluxe"/>
    <n v="25"/>
    <n v="2"/>
    <n v="3977"/>
    <n v="7954"/>
    <n v="7954"/>
    <x v="0"/>
    <x v="0"/>
    <x v="0"/>
    <x v="0"/>
  </r>
  <r>
    <n v="1586"/>
    <s v="C0177"/>
    <x v="294"/>
    <s v="45 days"/>
    <x v="55"/>
    <x v="299"/>
    <s v="4 days"/>
    <x v="1"/>
    <s v="Returning"/>
    <s v="Suite"/>
    <n v="45"/>
    <n v="4"/>
    <n v="3385"/>
    <n v="13540"/>
    <n v="0"/>
    <x v="0"/>
    <x v="1"/>
    <x v="1"/>
    <x v="0"/>
  </r>
  <r>
    <n v="1587"/>
    <s v="C0396"/>
    <x v="167"/>
    <s v="28 days"/>
    <x v="228"/>
    <x v="298"/>
    <s v="5 days"/>
    <x v="0"/>
    <s v="New"/>
    <s v="Deluxe"/>
    <n v="28"/>
    <n v="5"/>
    <n v="6406"/>
    <n v="32030"/>
    <n v="0"/>
    <x v="1"/>
    <x v="1"/>
    <x v="1"/>
    <x v="0"/>
  </r>
  <r>
    <n v="1588"/>
    <s v="C0445"/>
    <x v="224"/>
    <s v="1 days"/>
    <x v="292"/>
    <x v="165"/>
    <s v="4 days"/>
    <x v="2"/>
    <s v="New"/>
    <s v="Suite"/>
    <n v="1"/>
    <n v="4"/>
    <n v="6992"/>
    <n v="27968"/>
    <n v="0"/>
    <x v="1"/>
    <x v="1"/>
    <x v="1"/>
    <x v="0"/>
  </r>
  <r>
    <n v="1589"/>
    <s v="C1257"/>
    <x v="14"/>
    <s v="49 days"/>
    <x v="194"/>
    <x v="185"/>
    <s v="2 days"/>
    <x v="0"/>
    <s v="Returning"/>
    <s v="Standard"/>
    <n v="49"/>
    <n v="2"/>
    <n v="4038"/>
    <n v="8076"/>
    <n v="8076"/>
    <x v="0"/>
    <x v="0"/>
    <x v="0"/>
    <x v="0"/>
  </r>
  <r>
    <n v="1590"/>
    <s v="C0076"/>
    <x v="224"/>
    <s v="45 days"/>
    <x v="293"/>
    <x v="195"/>
    <s v="3 days"/>
    <x v="3"/>
    <s v="New"/>
    <s v="Suite"/>
    <n v="45"/>
    <n v="3"/>
    <n v="4573"/>
    <n v="13719"/>
    <n v="13719"/>
    <x v="1"/>
    <x v="0"/>
    <x v="0"/>
    <x v="0"/>
  </r>
  <r>
    <n v="1591"/>
    <s v="C0265"/>
    <x v="295"/>
    <s v="4 days"/>
    <x v="248"/>
    <x v="246"/>
    <s v="3 days"/>
    <x v="4"/>
    <s v="Returning"/>
    <s v="Standard"/>
    <n v="4"/>
    <n v="3"/>
    <n v="2812"/>
    <n v="8436"/>
    <n v="8436"/>
    <x v="1"/>
    <x v="0"/>
    <x v="0"/>
    <x v="0"/>
  </r>
  <r>
    <n v="1592"/>
    <s v="C0455"/>
    <x v="296"/>
    <s v="7 days"/>
    <x v="142"/>
    <x v="210"/>
    <s v="2 days"/>
    <x v="0"/>
    <s v="Returning"/>
    <s v="Suite"/>
    <n v="7"/>
    <n v="2"/>
    <n v="8769"/>
    <n v="17538"/>
    <n v="17538"/>
    <x v="1"/>
    <x v="0"/>
    <x v="0"/>
    <x v="0"/>
  </r>
  <r>
    <n v="1593"/>
    <s v="C0718"/>
    <x v="133"/>
    <s v="49 days"/>
    <x v="280"/>
    <x v="300"/>
    <s v="4 days"/>
    <x v="3"/>
    <s v="New"/>
    <s v="Suite"/>
    <n v="49"/>
    <n v="4"/>
    <n v="8184"/>
    <n v="32736"/>
    <n v="0"/>
    <x v="0"/>
    <x v="1"/>
    <x v="1"/>
    <x v="0"/>
  </r>
  <r>
    <n v="1594"/>
    <s v="C0735"/>
    <x v="297"/>
    <s v="9 days"/>
    <x v="12"/>
    <x v="12"/>
    <s v="5 days"/>
    <x v="3"/>
    <s v="Returning"/>
    <s v="Suite"/>
    <n v="9"/>
    <n v="5"/>
    <n v="7817"/>
    <n v="39085"/>
    <n v="39085"/>
    <x v="0"/>
    <x v="0"/>
    <x v="0"/>
    <x v="0"/>
  </r>
  <r>
    <n v="1595"/>
    <s v="C1408"/>
    <x v="71"/>
    <s v="36 days"/>
    <x v="33"/>
    <x v="33"/>
    <s v="2 days"/>
    <x v="3"/>
    <s v="New"/>
    <s v="Deluxe"/>
    <n v="36"/>
    <n v="2"/>
    <n v="3310"/>
    <n v="6620"/>
    <n v="6620"/>
    <x v="1"/>
    <x v="0"/>
    <x v="0"/>
    <x v="0"/>
  </r>
  <r>
    <n v="1596"/>
    <s v="C0851"/>
    <x v="108"/>
    <s v="19 days"/>
    <x v="18"/>
    <x v="18"/>
    <s v="1 days"/>
    <x v="4"/>
    <s v="New"/>
    <s v="Deluxe"/>
    <n v="19"/>
    <n v="1"/>
    <n v="4735"/>
    <n v="4735"/>
    <n v="0"/>
    <x v="1"/>
    <x v="1"/>
    <x v="1"/>
    <x v="0"/>
  </r>
  <r>
    <n v="1597"/>
    <s v="C1391"/>
    <x v="34"/>
    <s v="1 days"/>
    <x v="143"/>
    <x v="281"/>
    <s v="4 days"/>
    <x v="4"/>
    <s v="Returning"/>
    <s v="Standard"/>
    <n v="1"/>
    <n v="4"/>
    <n v="5357"/>
    <n v="21428"/>
    <n v="21428"/>
    <x v="0"/>
    <x v="0"/>
    <x v="0"/>
    <x v="0"/>
  </r>
  <r>
    <n v="1598"/>
    <s v="C0144"/>
    <x v="210"/>
    <s v="10 days"/>
    <x v="194"/>
    <x v="76"/>
    <s v="3 days"/>
    <x v="4"/>
    <s v="Returning"/>
    <s v="Standard"/>
    <n v="10"/>
    <n v="3"/>
    <n v="5263"/>
    <n v="15789"/>
    <n v="0"/>
    <x v="0"/>
    <x v="1"/>
    <x v="1"/>
    <x v="1"/>
  </r>
  <r>
    <n v="1599"/>
    <s v="C0885"/>
    <x v="298"/>
    <s v="36 days"/>
    <x v="1"/>
    <x v="1"/>
    <s v="2 days"/>
    <x v="2"/>
    <s v="Returning"/>
    <s v="Deluxe"/>
    <n v="36"/>
    <n v="2"/>
    <n v="4532"/>
    <n v="9064"/>
    <n v="0"/>
    <x v="1"/>
    <x v="1"/>
    <x v="1"/>
    <x v="0"/>
  </r>
  <r>
    <n v="1600"/>
    <s v="C1093"/>
    <x v="299"/>
    <s v="9 days"/>
    <x v="294"/>
    <x v="110"/>
    <s v="3 days"/>
    <x v="4"/>
    <s v="Returning"/>
    <s v="Standard"/>
    <n v="9"/>
    <n v="3"/>
    <n v="4007"/>
    <n v="12021"/>
    <n v="0"/>
    <x v="0"/>
    <x v="1"/>
    <x v="1"/>
    <x v="0"/>
  </r>
  <r>
    <n v="1601"/>
    <s v="C1123"/>
    <x v="278"/>
    <s v="45 days"/>
    <x v="184"/>
    <x v="108"/>
    <s v="4 days"/>
    <x v="4"/>
    <s v="Returning"/>
    <s v="Standard"/>
    <n v="45"/>
    <n v="4"/>
    <n v="7045"/>
    <n v="28180"/>
    <n v="0"/>
    <x v="0"/>
    <x v="1"/>
    <x v="1"/>
    <x v="0"/>
  </r>
  <r>
    <n v="1602"/>
    <s v="C0396"/>
    <x v="46"/>
    <s v="46 days"/>
    <x v="245"/>
    <x v="115"/>
    <s v="3 days"/>
    <x v="4"/>
    <s v="New"/>
    <s v="Deluxe"/>
    <n v="46"/>
    <n v="3"/>
    <n v="5070"/>
    <n v="15210"/>
    <n v="0"/>
    <x v="1"/>
    <x v="1"/>
    <x v="1"/>
    <x v="0"/>
  </r>
  <r>
    <n v="1603"/>
    <s v="C1049"/>
    <x v="90"/>
    <s v="42 days"/>
    <x v="295"/>
    <x v="285"/>
    <s v="2 days"/>
    <x v="0"/>
    <s v="New"/>
    <s v="Deluxe"/>
    <n v="42"/>
    <n v="2"/>
    <n v="4394"/>
    <n v="8788"/>
    <n v="0"/>
    <x v="1"/>
    <x v="1"/>
    <x v="1"/>
    <x v="0"/>
  </r>
  <r>
    <n v="1604"/>
    <s v="C0948"/>
    <x v="288"/>
    <s v="32 days"/>
    <x v="106"/>
    <x v="2"/>
    <s v="4 days"/>
    <x v="4"/>
    <s v="Returning"/>
    <s v="Deluxe"/>
    <n v="32"/>
    <n v="4"/>
    <n v="7973"/>
    <n v="31892"/>
    <n v="0"/>
    <x v="0"/>
    <x v="1"/>
    <x v="1"/>
    <x v="0"/>
  </r>
  <r>
    <n v="1605"/>
    <s v="C0891"/>
    <x v="121"/>
    <s v="32 days"/>
    <x v="88"/>
    <x v="301"/>
    <s v="1 days"/>
    <x v="2"/>
    <s v="Returning"/>
    <s v="Deluxe"/>
    <n v="32"/>
    <n v="1"/>
    <n v="5205"/>
    <n v="5205"/>
    <n v="0"/>
    <x v="0"/>
    <x v="1"/>
    <x v="1"/>
    <x v="1"/>
  </r>
  <r>
    <n v="1606"/>
    <s v="C1493"/>
    <x v="180"/>
    <s v="6 days"/>
    <x v="296"/>
    <x v="270"/>
    <s v="2 days"/>
    <x v="3"/>
    <s v="Returning"/>
    <s v="Suite"/>
    <n v="6"/>
    <n v="2"/>
    <n v="3096"/>
    <n v="6192"/>
    <n v="6192"/>
    <x v="0"/>
    <x v="0"/>
    <x v="0"/>
    <x v="1"/>
  </r>
  <r>
    <n v="1607"/>
    <s v="C1175"/>
    <x v="64"/>
    <s v="48 days"/>
    <x v="297"/>
    <x v="302"/>
    <s v="5 days"/>
    <x v="0"/>
    <s v="New"/>
    <s v="Deluxe"/>
    <n v="48"/>
    <n v="5"/>
    <n v="4647"/>
    <n v="23235"/>
    <n v="0"/>
    <x v="1"/>
    <x v="1"/>
    <x v="1"/>
    <x v="1"/>
  </r>
  <r>
    <n v="1608"/>
    <s v="C1168"/>
    <x v="178"/>
    <s v="38 days"/>
    <x v="280"/>
    <x v="303"/>
    <s v="2 days"/>
    <x v="1"/>
    <s v="New"/>
    <s v="Standard"/>
    <n v="38"/>
    <n v="2"/>
    <n v="3115"/>
    <n v="6230"/>
    <n v="0"/>
    <x v="1"/>
    <x v="1"/>
    <x v="1"/>
    <x v="0"/>
  </r>
  <r>
    <n v="1609"/>
    <s v="C0569"/>
    <x v="300"/>
    <s v="17 days"/>
    <x v="88"/>
    <x v="222"/>
    <s v="4 days"/>
    <x v="4"/>
    <s v="New"/>
    <s v="Suite"/>
    <n v="17"/>
    <n v="4"/>
    <n v="3447"/>
    <n v="13788"/>
    <n v="0"/>
    <x v="1"/>
    <x v="1"/>
    <x v="1"/>
    <x v="0"/>
  </r>
  <r>
    <n v="1610"/>
    <s v="C1063"/>
    <x v="114"/>
    <s v="10 days"/>
    <x v="50"/>
    <x v="304"/>
    <s v="2 days"/>
    <x v="3"/>
    <s v="Returning"/>
    <s v="Suite"/>
    <n v="10"/>
    <n v="2"/>
    <n v="8177"/>
    <n v="16354"/>
    <n v="0"/>
    <x v="1"/>
    <x v="1"/>
    <x v="1"/>
    <x v="0"/>
  </r>
  <r>
    <n v="1611"/>
    <s v="C0109"/>
    <x v="59"/>
    <s v="50 days"/>
    <x v="91"/>
    <x v="219"/>
    <s v="1 days"/>
    <x v="3"/>
    <s v="Returning"/>
    <s v="Standard"/>
    <n v="50"/>
    <n v="1"/>
    <n v="7151"/>
    <n v="7151"/>
    <n v="7151"/>
    <x v="0"/>
    <x v="0"/>
    <x v="0"/>
    <x v="1"/>
  </r>
  <r>
    <n v="1612"/>
    <s v="C1066"/>
    <x v="200"/>
    <s v="27 days"/>
    <x v="280"/>
    <x v="239"/>
    <s v="1 days"/>
    <x v="0"/>
    <s v="New"/>
    <s v="Suite"/>
    <n v="27"/>
    <n v="1"/>
    <n v="6873"/>
    <n v="6873"/>
    <n v="6873"/>
    <x v="1"/>
    <x v="0"/>
    <x v="0"/>
    <x v="0"/>
  </r>
  <r>
    <n v="1613"/>
    <s v="C1210"/>
    <x v="233"/>
    <s v="54 days"/>
    <x v="298"/>
    <x v="294"/>
    <s v="5 days"/>
    <x v="1"/>
    <s v="Returning"/>
    <s v="Standard"/>
    <n v="54"/>
    <n v="5"/>
    <n v="6264"/>
    <n v="31320"/>
    <n v="31320"/>
    <x v="1"/>
    <x v="0"/>
    <x v="0"/>
    <x v="0"/>
  </r>
  <r>
    <n v="1614"/>
    <s v="C0935"/>
    <x v="267"/>
    <s v="50 days"/>
    <x v="209"/>
    <x v="8"/>
    <s v="3 days"/>
    <x v="2"/>
    <s v="Returning"/>
    <s v="Suite"/>
    <n v="50"/>
    <n v="3"/>
    <n v="4513"/>
    <n v="13539"/>
    <n v="0"/>
    <x v="0"/>
    <x v="1"/>
    <x v="1"/>
    <x v="1"/>
  </r>
  <r>
    <n v="1615"/>
    <s v="C0398"/>
    <x v="173"/>
    <s v="35 days"/>
    <x v="239"/>
    <x v="147"/>
    <s v="4 days"/>
    <x v="3"/>
    <s v="New"/>
    <s v="Suite"/>
    <n v="35"/>
    <n v="4"/>
    <n v="6197"/>
    <n v="24788"/>
    <n v="0"/>
    <x v="1"/>
    <x v="1"/>
    <x v="1"/>
    <x v="1"/>
  </r>
  <r>
    <n v="1616"/>
    <s v="C1247"/>
    <x v="152"/>
    <s v="52 days"/>
    <x v="299"/>
    <x v="305"/>
    <s v="4 days"/>
    <x v="3"/>
    <s v="New"/>
    <s v="Standard"/>
    <n v="52"/>
    <n v="4"/>
    <n v="2990"/>
    <n v="11960"/>
    <n v="0"/>
    <x v="0"/>
    <x v="1"/>
    <x v="1"/>
    <x v="0"/>
  </r>
  <r>
    <n v="1617"/>
    <s v="C0634"/>
    <x v="197"/>
    <s v="59 days"/>
    <x v="300"/>
    <x v="306"/>
    <s v="3 days"/>
    <x v="3"/>
    <s v="Returning"/>
    <s v="Standard"/>
    <n v="59"/>
    <n v="3"/>
    <n v="6850"/>
    <n v="20550"/>
    <n v="0"/>
    <x v="1"/>
    <x v="1"/>
    <x v="1"/>
    <x v="0"/>
  </r>
  <r>
    <n v="1618"/>
    <s v="C1157"/>
    <x v="130"/>
    <s v="21 days"/>
    <x v="188"/>
    <x v="182"/>
    <s v="1 days"/>
    <x v="3"/>
    <s v="New"/>
    <s v="Standard"/>
    <n v="21"/>
    <n v="1"/>
    <n v="4928"/>
    <n v="4928"/>
    <n v="0"/>
    <x v="0"/>
    <x v="1"/>
    <x v="1"/>
    <x v="0"/>
  </r>
  <r>
    <n v="1619"/>
    <s v="C1187"/>
    <x v="21"/>
    <s v="25 days"/>
    <x v="142"/>
    <x v="295"/>
    <s v="1 days"/>
    <x v="0"/>
    <s v="Returning"/>
    <s v="Standard"/>
    <n v="25"/>
    <n v="1"/>
    <n v="7487"/>
    <n v="7487"/>
    <n v="0"/>
    <x v="0"/>
    <x v="1"/>
    <x v="1"/>
    <x v="0"/>
  </r>
  <r>
    <n v="1620"/>
    <s v="C1239"/>
    <x v="257"/>
    <s v="28 days"/>
    <x v="209"/>
    <x v="216"/>
    <s v="2 days"/>
    <x v="1"/>
    <s v="New"/>
    <s v="Deluxe"/>
    <n v="28"/>
    <n v="2"/>
    <n v="3041"/>
    <n v="6082"/>
    <n v="6082"/>
    <x v="0"/>
    <x v="0"/>
    <x v="0"/>
    <x v="1"/>
  </r>
  <r>
    <n v="1621"/>
    <s v="C0733"/>
    <x v="18"/>
    <s v="47 days"/>
    <x v="171"/>
    <x v="243"/>
    <s v="5 days"/>
    <x v="3"/>
    <s v="New"/>
    <s v="Deluxe"/>
    <n v="47"/>
    <n v="5"/>
    <n v="3787"/>
    <n v="18935"/>
    <n v="0"/>
    <x v="1"/>
    <x v="1"/>
    <x v="1"/>
    <x v="0"/>
  </r>
  <r>
    <n v="1622"/>
    <s v="C0235"/>
    <x v="243"/>
    <s v="15 days"/>
    <x v="21"/>
    <x v="307"/>
    <s v="5 days"/>
    <x v="2"/>
    <s v="Returning"/>
    <s v="Standard"/>
    <n v="15"/>
    <n v="5"/>
    <n v="4133"/>
    <n v="20665"/>
    <n v="20665"/>
    <x v="0"/>
    <x v="0"/>
    <x v="0"/>
    <x v="0"/>
  </r>
  <r>
    <n v="1623"/>
    <s v="C0658"/>
    <x v="233"/>
    <s v="4 days"/>
    <x v="301"/>
    <x v="308"/>
    <s v="5 days"/>
    <x v="2"/>
    <s v="Returning"/>
    <s v="Deluxe"/>
    <n v="4"/>
    <n v="5"/>
    <n v="7420"/>
    <n v="37100"/>
    <n v="37100"/>
    <x v="1"/>
    <x v="0"/>
    <x v="0"/>
    <x v="1"/>
  </r>
  <r>
    <n v="1624"/>
    <s v="C0751"/>
    <x v="21"/>
    <s v="29 days"/>
    <x v="291"/>
    <x v="150"/>
    <s v="2 days"/>
    <x v="4"/>
    <s v="New"/>
    <s v="Standard"/>
    <n v="29"/>
    <n v="2"/>
    <n v="5426"/>
    <n v="10852"/>
    <n v="0"/>
    <x v="1"/>
    <x v="1"/>
    <x v="1"/>
    <x v="0"/>
  </r>
  <r>
    <n v="1625"/>
    <s v="C0588"/>
    <x v="172"/>
    <s v="59 days"/>
    <x v="231"/>
    <x v="309"/>
    <s v="5 days"/>
    <x v="3"/>
    <s v="Returning"/>
    <s v="Standard"/>
    <n v="59"/>
    <n v="5"/>
    <n v="3852"/>
    <n v="19260"/>
    <n v="0"/>
    <x v="1"/>
    <x v="1"/>
    <x v="1"/>
    <x v="0"/>
  </r>
  <r>
    <n v="1626"/>
    <s v="C1033"/>
    <x v="228"/>
    <s v="9 days"/>
    <x v="189"/>
    <x v="283"/>
    <s v="3 days"/>
    <x v="3"/>
    <s v="New"/>
    <s v="Suite"/>
    <n v="9"/>
    <n v="3"/>
    <n v="6876"/>
    <n v="20628"/>
    <n v="20628"/>
    <x v="1"/>
    <x v="0"/>
    <x v="0"/>
    <x v="1"/>
  </r>
  <r>
    <n v="1627"/>
    <s v="C1098"/>
    <x v="204"/>
    <s v="27 days"/>
    <x v="160"/>
    <x v="177"/>
    <s v="2 days"/>
    <x v="3"/>
    <s v="Returning"/>
    <s v="Standard"/>
    <n v="27"/>
    <n v="2"/>
    <n v="3798"/>
    <n v="7596"/>
    <n v="7596"/>
    <x v="1"/>
    <x v="0"/>
    <x v="0"/>
    <x v="1"/>
  </r>
  <r>
    <n v="1628"/>
    <s v="C0954"/>
    <x v="297"/>
    <s v="26 days"/>
    <x v="292"/>
    <x v="310"/>
    <s v="3 days"/>
    <x v="3"/>
    <s v="New"/>
    <s v="Standard"/>
    <n v="26"/>
    <n v="3"/>
    <n v="7368"/>
    <n v="22104"/>
    <n v="0"/>
    <x v="1"/>
    <x v="1"/>
    <x v="1"/>
    <x v="0"/>
  </r>
  <r>
    <n v="1629"/>
    <s v="C0492"/>
    <x v="57"/>
    <s v="19 days"/>
    <x v="49"/>
    <x v="60"/>
    <s v="2 days"/>
    <x v="3"/>
    <s v="New"/>
    <s v="Standard"/>
    <n v="19"/>
    <n v="2"/>
    <n v="6467"/>
    <n v="12934"/>
    <n v="12934"/>
    <x v="0"/>
    <x v="0"/>
    <x v="0"/>
    <x v="1"/>
  </r>
  <r>
    <n v="1630"/>
    <s v="C0913"/>
    <x v="301"/>
    <s v="56 days"/>
    <x v="301"/>
    <x v="308"/>
    <s v="5 days"/>
    <x v="2"/>
    <s v="New"/>
    <s v="Standard"/>
    <n v="56"/>
    <n v="5"/>
    <n v="6923"/>
    <n v="34615"/>
    <n v="0"/>
    <x v="0"/>
    <x v="1"/>
    <x v="1"/>
    <x v="1"/>
  </r>
  <r>
    <n v="1631"/>
    <s v="C1277"/>
    <x v="180"/>
    <s v="28 days"/>
    <x v="164"/>
    <x v="168"/>
    <s v="3 days"/>
    <x v="1"/>
    <s v="Returning"/>
    <s v="Suite"/>
    <n v="28"/>
    <n v="3"/>
    <n v="4758"/>
    <n v="14274"/>
    <n v="14274"/>
    <x v="1"/>
    <x v="0"/>
    <x v="0"/>
    <x v="0"/>
  </r>
  <r>
    <n v="1632"/>
    <s v="C1254"/>
    <x v="121"/>
    <s v="17 days"/>
    <x v="228"/>
    <x v="62"/>
    <s v="3 days"/>
    <x v="1"/>
    <s v="New"/>
    <s v="Standard"/>
    <n v="17"/>
    <n v="3"/>
    <n v="7518"/>
    <n v="22554"/>
    <n v="22554"/>
    <x v="1"/>
    <x v="0"/>
    <x v="0"/>
    <x v="1"/>
  </r>
  <r>
    <n v="1633"/>
    <s v="C1198"/>
    <x v="288"/>
    <s v="43 days"/>
    <x v="114"/>
    <x v="142"/>
    <s v="3 days"/>
    <x v="4"/>
    <s v="New"/>
    <s v="Suite"/>
    <n v="43"/>
    <n v="3"/>
    <n v="7147"/>
    <n v="21441"/>
    <n v="0"/>
    <x v="1"/>
    <x v="1"/>
    <x v="1"/>
    <x v="0"/>
  </r>
  <r>
    <n v="1634"/>
    <s v="C1192"/>
    <x v="0"/>
    <s v="57 days"/>
    <x v="98"/>
    <x v="96"/>
    <s v="2 days"/>
    <x v="2"/>
    <s v="New"/>
    <s v="Standard"/>
    <n v="57"/>
    <n v="2"/>
    <n v="4573"/>
    <n v="9146"/>
    <n v="0"/>
    <x v="1"/>
    <x v="1"/>
    <x v="1"/>
    <x v="0"/>
  </r>
  <r>
    <n v="1635"/>
    <s v="C0170"/>
    <x v="302"/>
    <s v="41 days"/>
    <x v="302"/>
    <x v="93"/>
    <s v="4 days"/>
    <x v="3"/>
    <s v="New"/>
    <s v="Suite"/>
    <n v="41"/>
    <n v="4"/>
    <n v="8670"/>
    <n v="34680"/>
    <n v="34680"/>
    <x v="1"/>
    <x v="0"/>
    <x v="0"/>
    <x v="0"/>
  </r>
  <r>
    <n v="1636"/>
    <s v="C1417"/>
    <x v="303"/>
    <s v="42 days"/>
    <x v="303"/>
    <x v="311"/>
    <s v="5 days"/>
    <x v="1"/>
    <s v="Returning"/>
    <s v="Deluxe"/>
    <n v="42"/>
    <n v="5"/>
    <n v="3201"/>
    <n v="16005"/>
    <n v="0"/>
    <x v="0"/>
    <x v="1"/>
    <x v="1"/>
    <x v="0"/>
  </r>
  <r>
    <n v="1637"/>
    <s v="C0946"/>
    <x v="38"/>
    <s v="50 days"/>
    <x v="163"/>
    <x v="312"/>
    <s v="3 days"/>
    <x v="0"/>
    <s v="Returning"/>
    <s v="Suite"/>
    <n v="50"/>
    <n v="3"/>
    <n v="4419"/>
    <n v="13257"/>
    <n v="0"/>
    <x v="0"/>
    <x v="1"/>
    <x v="1"/>
    <x v="1"/>
  </r>
  <r>
    <n v="1638"/>
    <s v="C0795"/>
    <x v="179"/>
    <s v="20 days"/>
    <x v="273"/>
    <x v="266"/>
    <s v="4 days"/>
    <x v="0"/>
    <s v="New"/>
    <s v="Suite"/>
    <n v="20"/>
    <n v="4"/>
    <n v="4960"/>
    <n v="19840"/>
    <n v="19840"/>
    <x v="1"/>
    <x v="0"/>
    <x v="0"/>
    <x v="0"/>
  </r>
  <r>
    <n v="1639"/>
    <s v="C0634"/>
    <x v="41"/>
    <s v="45 days"/>
    <x v="65"/>
    <x v="53"/>
    <s v="5 days"/>
    <x v="0"/>
    <s v="New"/>
    <s v="Standard"/>
    <n v="45"/>
    <n v="5"/>
    <n v="6762"/>
    <n v="33810"/>
    <n v="33810"/>
    <x v="1"/>
    <x v="0"/>
    <x v="0"/>
    <x v="0"/>
  </r>
  <r>
    <n v="1640"/>
    <s v="C1218"/>
    <x v="41"/>
    <s v="40 days"/>
    <x v="72"/>
    <x v="289"/>
    <s v="5 days"/>
    <x v="3"/>
    <s v="Returning"/>
    <s v="Suite"/>
    <n v="40"/>
    <n v="5"/>
    <n v="6764"/>
    <n v="33820"/>
    <n v="33820"/>
    <x v="0"/>
    <x v="0"/>
    <x v="0"/>
    <x v="0"/>
  </r>
  <r>
    <n v="1641"/>
    <s v="C0029"/>
    <x v="54"/>
    <s v="39 days"/>
    <x v="185"/>
    <x v="132"/>
    <s v="3 days"/>
    <x v="3"/>
    <s v="New"/>
    <s v="Suite"/>
    <n v="39"/>
    <n v="3"/>
    <n v="6824"/>
    <n v="20472"/>
    <n v="20472"/>
    <x v="1"/>
    <x v="0"/>
    <x v="0"/>
    <x v="0"/>
  </r>
  <r>
    <n v="1642"/>
    <s v="C1189"/>
    <x v="110"/>
    <s v="49 days"/>
    <x v="103"/>
    <x v="313"/>
    <s v="3 days"/>
    <x v="4"/>
    <s v="Returning"/>
    <s v="Standard"/>
    <n v="49"/>
    <n v="3"/>
    <n v="8598"/>
    <n v="25794"/>
    <n v="0"/>
    <x v="1"/>
    <x v="1"/>
    <x v="1"/>
    <x v="1"/>
  </r>
  <r>
    <n v="1643"/>
    <s v="C1446"/>
    <x v="18"/>
    <s v="53 days"/>
    <x v="244"/>
    <x v="201"/>
    <s v="2 days"/>
    <x v="4"/>
    <s v="New"/>
    <s v="Deluxe"/>
    <n v="53"/>
    <n v="2"/>
    <n v="2866"/>
    <n v="5732"/>
    <n v="0"/>
    <x v="1"/>
    <x v="1"/>
    <x v="1"/>
    <x v="1"/>
  </r>
  <r>
    <n v="1644"/>
    <s v="C0339"/>
    <x v="222"/>
    <s v="23 days"/>
    <x v="175"/>
    <x v="172"/>
    <s v="4 days"/>
    <x v="4"/>
    <s v="Returning"/>
    <s v="Deluxe"/>
    <n v="23"/>
    <n v="4"/>
    <n v="3027"/>
    <n v="12108"/>
    <n v="12108"/>
    <x v="0"/>
    <x v="0"/>
    <x v="0"/>
    <x v="1"/>
  </r>
  <r>
    <n v="1645"/>
    <s v="C1389"/>
    <x v="218"/>
    <s v="47 days"/>
    <x v="214"/>
    <x v="175"/>
    <s v="4 days"/>
    <x v="0"/>
    <s v="New"/>
    <s v="Deluxe"/>
    <n v="47"/>
    <n v="4"/>
    <n v="7386"/>
    <n v="29544"/>
    <n v="29544"/>
    <x v="0"/>
    <x v="0"/>
    <x v="0"/>
    <x v="0"/>
  </r>
  <r>
    <n v="1646"/>
    <s v="C1366"/>
    <x v="253"/>
    <s v="32 days"/>
    <x v="194"/>
    <x v="76"/>
    <s v="3 days"/>
    <x v="3"/>
    <s v="Returning"/>
    <s v="Suite"/>
    <n v="32"/>
    <n v="3"/>
    <n v="6218"/>
    <n v="18654"/>
    <n v="0"/>
    <x v="1"/>
    <x v="1"/>
    <x v="1"/>
    <x v="1"/>
  </r>
  <r>
    <n v="1647"/>
    <s v="C0500"/>
    <x v="31"/>
    <s v="52 days"/>
    <x v="66"/>
    <x v="84"/>
    <s v="5 days"/>
    <x v="0"/>
    <s v="Returning"/>
    <s v="Standard"/>
    <n v="52"/>
    <n v="5"/>
    <n v="6109"/>
    <n v="30545"/>
    <n v="30545"/>
    <x v="0"/>
    <x v="0"/>
    <x v="0"/>
    <x v="1"/>
  </r>
  <r>
    <n v="1648"/>
    <s v="C0511"/>
    <x v="132"/>
    <s v="47 days"/>
    <x v="304"/>
    <x v="11"/>
    <s v="3 days"/>
    <x v="4"/>
    <s v="Returning"/>
    <s v="Deluxe"/>
    <n v="47"/>
    <n v="3"/>
    <n v="6435"/>
    <n v="19305"/>
    <n v="0"/>
    <x v="0"/>
    <x v="1"/>
    <x v="1"/>
    <x v="0"/>
  </r>
  <r>
    <n v="1649"/>
    <s v="C1351"/>
    <x v="304"/>
    <s v="33 days"/>
    <x v="97"/>
    <x v="179"/>
    <s v="5 days"/>
    <x v="3"/>
    <s v="New"/>
    <s v="Deluxe"/>
    <n v="33"/>
    <n v="5"/>
    <n v="7119"/>
    <n v="35595"/>
    <n v="0"/>
    <x v="1"/>
    <x v="1"/>
    <x v="1"/>
    <x v="1"/>
  </r>
  <r>
    <n v="1650"/>
    <s v="C0217"/>
    <x v="98"/>
    <s v="57 days"/>
    <x v="305"/>
    <x v="270"/>
    <s v="5 days"/>
    <x v="2"/>
    <s v="Returning"/>
    <s v="Deluxe"/>
    <n v="57"/>
    <n v="5"/>
    <n v="7691"/>
    <n v="38455"/>
    <n v="0"/>
    <x v="0"/>
    <x v="1"/>
    <x v="1"/>
    <x v="0"/>
  </r>
  <r>
    <n v="1651"/>
    <s v="C1325"/>
    <x v="120"/>
    <s v="46 days"/>
    <x v="38"/>
    <x v="235"/>
    <s v="3 days"/>
    <x v="1"/>
    <s v="Returning"/>
    <s v="Deluxe"/>
    <n v="46"/>
    <n v="3"/>
    <n v="8264"/>
    <n v="24792"/>
    <n v="0"/>
    <x v="0"/>
    <x v="1"/>
    <x v="1"/>
    <x v="1"/>
  </r>
  <r>
    <n v="1652"/>
    <s v="C1156"/>
    <x v="262"/>
    <s v="5 days"/>
    <x v="265"/>
    <x v="138"/>
    <s v="1 days"/>
    <x v="1"/>
    <s v="New"/>
    <s v="Standard"/>
    <n v="5"/>
    <n v="1"/>
    <n v="4653"/>
    <n v="4653"/>
    <n v="4653"/>
    <x v="0"/>
    <x v="0"/>
    <x v="0"/>
    <x v="1"/>
  </r>
  <r>
    <n v="1653"/>
    <s v="C1094"/>
    <x v="249"/>
    <s v="43 days"/>
    <x v="201"/>
    <x v="314"/>
    <s v="4 days"/>
    <x v="4"/>
    <s v="New"/>
    <s v="Deluxe"/>
    <n v="43"/>
    <n v="4"/>
    <n v="4408"/>
    <n v="17632"/>
    <n v="0"/>
    <x v="0"/>
    <x v="1"/>
    <x v="1"/>
    <x v="1"/>
  </r>
  <r>
    <n v="1654"/>
    <s v="C1276"/>
    <x v="276"/>
    <s v="48 days"/>
    <x v="306"/>
    <x v="147"/>
    <s v="5 days"/>
    <x v="0"/>
    <s v="New"/>
    <s v="Suite"/>
    <n v="48"/>
    <n v="5"/>
    <n v="5512"/>
    <n v="27560"/>
    <n v="0"/>
    <x v="0"/>
    <x v="1"/>
    <x v="1"/>
    <x v="1"/>
  </r>
  <r>
    <n v="1655"/>
    <s v="C1439"/>
    <x v="206"/>
    <s v="34 days"/>
    <x v="67"/>
    <x v="39"/>
    <s v="5 days"/>
    <x v="2"/>
    <s v="New"/>
    <s v="Suite"/>
    <n v="34"/>
    <n v="5"/>
    <n v="7901"/>
    <n v="39505"/>
    <n v="39505"/>
    <x v="0"/>
    <x v="0"/>
    <x v="0"/>
    <x v="0"/>
  </r>
  <r>
    <n v="1656"/>
    <s v="C0445"/>
    <x v="177"/>
    <s v="40 days"/>
    <x v="297"/>
    <x v="91"/>
    <s v="1 days"/>
    <x v="3"/>
    <s v="Returning"/>
    <s v="Standard"/>
    <n v="40"/>
    <n v="1"/>
    <n v="6728"/>
    <n v="6728"/>
    <n v="0"/>
    <x v="1"/>
    <x v="1"/>
    <x v="1"/>
    <x v="0"/>
  </r>
  <r>
    <n v="1657"/>
    <s v="C0876"/>
    <x v="142"/>
    <s v="11 days"/>
    <x v="96"/>
    <x v="302"/>
    <s v="2 days"/>
    <x v="0"/>
    <s v="New"/>
    <s v="Deluxe"/>
    <n v="11"/>
    <n v="2"/>
    <n v="5522"/>
    <n v="11044"/>
    <n v="0"/>
    <x v="1"/>
    <x v="1"/>
    <x v="1"/>
    <x v="1"/>
  </r>
  <r>
    <n v="1658"/>
    <s v="C1206"/>
    <x v="219"/>
    <s v="50 days"/>
    <x v="8"/>
    <x v="180"/>
    <s v="1 days"/>
    <x v="4"/>
    <s v="New"/>
    <s v="Deluxe"/>
    <n v="50"/>
    <n v="1"/>
    <n v="8912"/>
    <n v="8912"/>
    <n v="0"/>
    <x v="1"/>
    <x v="1"/>
    <x v="1"/>
    <x v="0"/>
  </r>
  <r>
    <n v="1659"/>
    <s v="C0167"/>
    <x v="296"/>
    <s v="3 days"/>
    <x v="139"/>
    <x v="58"/>
    <s v="1 days"/>
    <x v="0"/>
    <s v="New"/>
    <s v="Suite"/>
    <n v="3"/>
    <n v="1"/>
    <n v="5983"/>
    <n v="5983"/>
    <n v="5983"/>
    <x v="0"/>
    <x v="0"/>
    <x v="0"/>
    <x v="1"/>
  </r>
  <r>
    <n v="1660"/>
    <s v="C0091"/>
    <x v="136"/>
    <s v="58 days"/>
    <x v="70"/>
    <x v="315"/>
    <s v="5 days"/>
    <x v="4"/>
    <s v="New"/>
    <s v="Standard"/>
    <n v="58"/>
    <n v="5"/>
    <n v="5220"/>
    <n v="26100"/>
    <n v="0"/>
    <x v="1"/>
    <x v="1"/>
    <x v="1"/>
    <x v="1"/>
  </r>
  <r>
    <n v="1661"/>
    <s v="C0714"/>
    <x v="94"/>
    <s v="33 days"/>
    <x v="0"/>
    <x v="298"/>
    <s v="4 days"/>
    <x v="1"/>
    <s v="New"/>
    <s v="Suite"/>
    <n v="33"/>
    <n v="4"/>
    <n v="8238"/>
    <n v="32952"/>
    <n v="0"/>
    <x v="0"/>
    <x v="1"/>
    <x v="1"/>
    <x v="1"/>
  </r>
  <r>
    <n v="1662"/>
    <s v="C0039"/>
    <x v="80"/>
    <s v="11 days"/>
    <x v="125"/>
    <x v="216"/>
    <s v="1 days"/>
    <x v="1"/>
    <s v="New"/>
    <s v="Standard"/>
    <n v="11"/>
    <n v="1"/>
    <n v="8484"/>
    <n v="8484"/>
    <n v="8484"/>
    <x v="0"/>
    <x v="0"/>
    <x v="0"/>
    <x v="1"/>
  </r>
  <r>
    <n v="1663"/>
    <s v="C1150"/>
    <x v="256"/>
    <s v="16 days"/>
    <x v="144"/>
    <x v="92"/>
    <s v="2 days"/>
    <x v="0"/>
    <s v="New"/>
    <s v="Standard"/>
    <n v="16"/>
    <n v="2"/>
    <n v="4270"/>
    <n v="8540"/>
    <n v="8540"/>
    <x v="1"/>
    <x v="0"/>
    <x v="0"/>
    <x v="1"/>
  </r>
  <r>
    <n v="1664"/>
    <s v="C1475"/>
    <x v="305"/>
    <s v="18 days"/>
    <x v="81"/>
    <x v="170"/>
    <s v="3 days"/>
    <x v="2"/>
    <s v="Returning"/>
    <s v="Standard"/>
    <n v="18"/>
    <n v="3"/>
    <n v="6613"/>
    <n v="19839"/>
    <n v="0"/>
    <x v="0"/>
    <x v="1"/>
    <x v="1"/>
    <x v="1"/>
  </r>
  <r>
    <n v="1665"/>
    <s v="C0173"/>
    <x v="52"/>
    <s v="30 days"/>
    <x v="251"/>
    <x v="59"/>
    <s v="1 days"/>
    <x v="3"/>
    <s v="Returning"/>
    <s v="Suite"/>
    <n v="30"/>
    <n v="1"/>
    <n v="4277"/>
    <n v="4277"/>
    <n v="0"/>
    <x v="1"/>
    <x v="1"/>
    <x v="1"/>
    <x v="0"/>
  </r>
  <r>
    <n v="1666"/>
    <s v="C0653"/>
    <x v="214"/>
    <s v="48 days"/>
    <x v="218"/>
    <x v="203"/>
    <s v="1 days"/>
    <x v="4"/>
    <s v="Returning"/>
    <s v="Standard"/>
    <n v="48"/>
    <n v="1"/>
    <n v="6712"/>
    <n v="6712"/>
    <n v="0"/>
    <x v="0"/>
    <x v="1"/>
    <x v="1"/>
    <x v="0"/>
  </r>
  <r>
    <n v="1667"/>
    <s v="C0754"/>
    <x v="42"/>
    <s v="55 days"/>
    <x v="240"/>
    <x v="316"/>
    <s v="2 days"/>
    <x v="3"/>
    <s v="Returning"/>
    <s v="Suite"/>
    <n v="55"/>
    <n v="2"/>
    <n v="3297"/>
    <n v="6594"/>
    <n v="0"/>
    <x v="1"/>
    <x v="1"/>
    <x v="1"/>
    <x v="1"/>
  </r>
  <r>
    <n v="1668"/>
    <s v="C1244"/>
    <x v="306"/>
    <s v="10 days"/>
    <x v="141"/>
    <x v="60"/>
    <s v="4 days"/>
    <x v="1"/>
    <s v="Returning"/>
    <s v="Suite"/>
    <n v="10"/>
    <n v="4"/>
    <n v="5715"/>
    <n v="22860"/>
    <n v="22860"/>
    <x v="1"/>
    <x v="0"/>
    <x v="0"/>
    <x v="0"/>
  </r>
  <r>
    <n v="1669"/>
    <s v="C1082"/>
    <x v="207"/>
    <s v="18 days"/>
    <x v="22"/>
    <x v="101"/>
    <s v="1 days"/>
    <x v="2"/>
    <s v="New"/>
    <s v="Deluxe"/>
    <n v="18"/>
    <n v="1"/>
    <n v="6288"/>
    <n v="6288"/>
    <n v="6288"/>
    <x v="1"/>
    <x v="0"/>
    <x v="0"/>
    <x v="1"/>
  </r>
  <r>
    <n v="1670"/>
    <s v="C0476"/>
    <x v="221"/>
    <s v="38 days"/>
    <x v="251"/>
    <x v="59"/>
    <s v="1 days"/>
    <x v="2"/>
    <s v="New"/>
    <s v="Suite"/>
    <n v="38"/>
    <n v="1"/>
    <n v="5476"/>
    <n v="5476"/>
    <n v="0"/>
    <x v="1"/>
    <x v="1"/>
    <x v="1"/>
    <x v="0"/>
  </r>
  <r>
    <n v="1671"/>
    <s v="C0456"/>
    <x v="139"/>
    <s v="19 days"/>
    <x v="34"/>
    <x v="31"/>
    <s v="4 days"/>
    <x v="3"/>
    <s v="New"/>
    <s v="Suite"/>
    <n v="19"/>
    <n v="4"/>
    <n v="6237"/>
    <n v="24948"/>
    <n v="0"/>
    <x v="0"/>
    <x v="1"/>
    <x v="1"/>
    <x v="0"/>
  </r>
  <r>
    <n v="1672"/>
    <s v="C0829"/>
    <x v="89"/>
    <s v="36 days"/>
    <x v="6"/>
    <x v="6"/>
    <s v="2 days"/>
    <x v="1"/>
    <s v="New"/>
    <s v="Deluxe"/>
    <n v="36"/>
    <n v="2"/>
    <n v="4211"/>
    <n v="8422"/>
    <n v="0"/>
    <x v="1"/>
    <x v="1"/>
    <x v="1"/>
    <x v="0"/>
  </r>
  <r>
    <n v="1673"/>
    <s v="C0895"/>
    <x v="216"/>
    <s v="59 days"/>
    <x v="240"/>
    <x v="276"/>
    <s v="1 days"/>
    <x v="3"/>
    <s v="Returning"/>
    <s v="Deluxe"/>
    <n v="59"/>
    <n v="1"/>
    <n v="3252"/>
    <n v="3252"/>
    <n v="0"/>
    <x v="0"/>
    <x v="1"/>
    <x v="1"/>
    <x v="1"/>
  </r>
  <r>
    <n v="1674"/>
    <s v="C1385"/>
    <x v="191"/>
    <s v="13 days"/>
    <x v="277"/>
    <x v="317"/>
    <s v="4 days"/>
    <x v="0"/>
    <s v="Returning"/>
    <s v="Deluxe"/>
    <n v="13"/>
    <n v="4"/>
    <n v="4969"/>
    <n v="19876"/>
    <n v="19876"/>
    <x v="1"/>
    <x v="0"/>
    <x v="0"/>
    <x v="0"/>
  </r>
  <r>
    <n v="1675"/>
    <s v="C1025"/>
    <x v="227"/>
    <s v="56 days"/>
    <x v="179"/>
    <x v="4"/>
    <s v="1 days"/>
    <x v="2"/>
    <s v="New"/>
    <s v="Standard"/>
    <n v="56"/>
    <n v="1"/>
    <n v="6469"/>
    <n v="6469"/>
    <n v="0"/>
    <x v="1"/>
    <x v="1"/>
    <x v="1"/>
    <x v="1"/>
  </r>
  <r>
    <n v="1676"/>
    <s v="C0387"/>
    <x v="227"/>
    <s v="46 days"/>
    <x v="27"/>
    <x v="302"/>
    <s v="3 days"/>
    <x v="2"/>
    <s v="New"/>
    <s v="Standard"/>
    <n v="46"/>
    <n v="3"/>
    <n v="3892"/>
    <n v="11676"/>
    <n v="0"/>
    <x v="1"/>
    <x v="1"/>
    <x v="1"/>
    <x v="1"/>
  </r>
  <r>
    <n v="1677"/>
    <s v="C0348"/>
    <x v="213"/>
    <s v="3 days"/>
    <x v="93"/>
    <x v="318"/>
    <s v="5 days"/>
    <x v="0"/>
    <s v="Returning"/>
    <s v="Deluxe"/>
    <n v="3"/>
    <n v="5"/>
    <n v="5105"/>
    <n v="25525"/>
    <n v="25525"/>
    <x v="0"/>
    <x v="0"/>
    <x v="0"/>
    <x v="1"/>
  </r>
  <r>
    <n v="1678"/>
    <s v="C0190"/>
    <x v="217"/>
    <s v="10 days"/>
    <x v="307"/>
    <x v="112"/>
    <s v="3 days"/>
    <x v="1"/>
    <s v="Returning"/>
    <s v="Standard"/>
    <n v="10"/>
    <n v="3"/>
    <n v="8693"/>
    <n v="26079"/>
    <n v="26079"/>
    <x v="1"/>
    <x v="0"/>
    <x v="0"/>
    <x v="0"/>
  </r>
  <r>
    <n v="1679"/>
    <s v="C0505"/>
    <x v="46"/>
    <s v="38 days"/>
    <x v="153"/>
    <x v="291"/>
    <s v="1 days"/>
    <x v="2"/>
    <s v="Returning"/>
    <s v="Deluxe"/>
    <n v="38"/>
    <n v="1"/>
    <n v="3177"/>
    <n v="3177"/>
    <n v="0"/>
    <x v="1"/>
    <x v="1"/>
    <x v="1"/>
    <x v="0"/>
  </r>
  <r>
    <n v="1680"/>
    <s v="C1215"/>
    <x v="171"/>
    <s v="1 days"/>
    <x v="3"/>
    <x v="297"/>
    <s v="2 days"/>
    <x v="4"/>
    <s v="New"/>
    <s v="Standard"/>
    <n v="1"/>
    <n v="2"/>
    <n v="2605"/>
    <n v="5210"/>
    <n v="5210"/>
    <x v="0"/>
    <x v="0"/>
    <x v="0"/>
    <x v="0"/>
  </r>
  <r>
    <n v="1681"/>
    <s v="C1393"/>
    <x v="281"/>
    <s v="55 days"/>
    <x v="263"/>
    <x v="91"/>
    <s v="5 days"/>
    <x v="4"/>
    <s v="New"/>
    <s v="Suite"/>
    <n v="55"/>
    <n v="5"/>
    <n v="5787"/>
    <n v="28935"/>
    <n v="28935"/>
    <x v="1"/>
    <x v="0"/>
    <x v="0"/>
    <x v="1"/>
  </r>
  <r>
    <n v="1682"/>
    <s v="C1433"/>
    <x v="286"/>
    <s v="56 days"/>
    <x v="308"/>
    <x v="239"/>
    <s v="3 days"/>
    <x v="1"/>
    <s v="Returning"/>
    <s v="Standard"/>
    <n v="56"/>
    <n v="3"/>
    <n v="7253"/>
    <n v="21759"/>
    <n v="0"/>
    <x v="0"/>
    <x v="1"/>
    <x v="1"/>
    <x v="1"/>
  </r>
  <r>
    <n v="1683"/>
    <s v="C0824"/>
    <x v="169"/>
    <s v="27 days"/>
    <x v="302"/>
    <x v="93"/>
    <s v="4 days"/>
    <x v="0"/>
    <s v="Returning"/>
    <s v="Standard"/>
    <n v="27"/>
    <n v="4"/>
    <n v="4446"/>
    <n v="17784"/>
    <n v="17784"/>
    <x v="1"/>
    <x v="0"/>
    <x v="0"/>
    <x v="0"/>
  </r>
  <r>
    <n v="1684"/>
    <s v="C0929"/>
    <x v="307"/>
    <s v="46 days"/>
    <x v="104"/>
    <x v="319"/>
    <s v="2 days"/>
    <x v="3"/>
    <s v="New"/>
    <s v="Suite"/>
    <n v="46"/>
    <n v="2"/>
    <n v="8044"/>
    <n v="16088"/>
    <n v="0"/>
    <x v="1"/>
    <x v="1"/>
    <x v="1"/>
    <x v="1"/>
  </r>
  <r>
    <n v="1685"/>
    <s v="C0934"/>
    <x v="24"/>
    <s v="8 days"/>
    <x v="309"/>
    <x v="4"/>
    <s v="3 days"/>
    <x v="1"/>
    <s v="New"/>
    <s v="Deluxe"/>
    <n v="8"/>
    <n v="3"/>
    <n v="3595"/>
    <n v="10785"/>
    <n v="10785"/>
    <x v="1"/>
    <x v="0"/>
    <x v="0"/>
    <x v="0"/>
  </r>
  <r>
    <n v="1686"/>
    <s v="C1141"/>
    <x v="175"/>
    <s v="51 days"/>
    <x v="310"/>
    <x v="278"/>
    <s v="4 days"/>
    <x v="3"/>
    <s v="New"/>
    <s v="Standard"/>
    <n v="51"/>
    <n v="4"/>
    <n v="7583"/>
    <n v="30332"/>
    <n v="0"/>
    <x v="0"/>
    <x v="1"/>
    <x v="1"/>
    <x v="0"/>
  </r>
  <r>
    <n v="1687"/>
    <s v="C0134"/>
    <x v="118"/>
    <s v="46 days"/>
    <x v="311"/>
    <x v="36"/>
    <s v="1 days"/>
    <x v="1"/>
    <s v="New"/>
    <s v="Standard"/>
    <n v="46"/>
    <n v="1"/>
    <n v="8404"/>
    <n v="8404"/>
    <n v="8404"/>
    <x v="1"/>
    <x v="0"/>
    <x v="0"/>
    <x v="0"/>
  </r>
  <r>
    <n v="1688"/>
    <s v="C0058"/>
    <x v="308"/>
    <s v="42 days"/>
    <x v="28"/>
    <x v="47"/>
    <s v="4 days"/>
    <x v="4"/>
    <s v="Returning"/>
    <s v="Suite"/>
    <n v="42"/>
    <n v="4"/>
    <n v="4282"/>
    <n v="17128"/>
    <n v="17128"/>
    <x v="1"/>
    <x v="0"/>
    <x v="0"/>
    <x v="0"/>
  </r>
  <r>
    <n v="1689"/>
    <s v="C0685"/>
    <x v="154"/>
    <s v="17 days"/>
    <x v="312"/>
    <x v="293"/>
    <s v="3 days"/>
    <x v="0"/>
    <s v="Returning"/>
    <s v="Suite"/>
    <n v="17"/>
    <n v="3"/>
    <n v="7041"/>
    <n v="21123"/>
    <n v="21123"/>
    <x v="1"/>
    <x v="0"/>
    <x v="0"/>
    <x v="1"/>
  </r>
  <r>
    <n v="1690"/>
    <s v="C0672"/>
    <x v="196"/>
    <s v="9 days"/>
    <x v="126"/>
    <x v="93"/>
    <s v="3 days"/>
    <x v="4"/>
    <s v="Returning"/>
    <s v="Suite"/>
    <n v="9"/>
    <n v="3"/>
    <n v="8544"/>
    <n v="25632"/>
    <n v="25632"/>
    <x v="0"/>
    <x v="0"/>
    <x v="0"/>
    <x v="0"/>
  </r>
  <r>
    <n v="1691"/>
    <s v="C0173"/>
    <x v="227"/>
    <s v="6 days"/>
    <x v="313"/>
    <x v="99"/>
    <s v="1 days"/>
    <x v="0"/>
    <s v="New"/>
    <s v="Suite"/>
    <n v="6"/>
    <n v="1"/>
    <n v="5757"/>
    <n v="5757"/>
    <n v="5757"/>
    <x v="0"/>
    <x v="0"/>
    <x v="0"/>
    <x v="0"/>
  </r>
  <r>
    <n v="1692"/>
    <s v="C0815"/>
    <x v="309"/>
    <s v="43 days"/>
    <x v="6"/>
    <x v="316"/>
    <s v="4 days"/>
    <x v="3"/>
    <s v="New"/>
    <s v="Deluxe"/>
    <n v="43"/>
    <n v="4"/>
    <n v="8713"/>
    <n v="34852"/>
    <n v="0"/>
    <x v="0"/>
    <x v="1"/>
    <x v="1"/>
    <x v="0"/>
  </r>
  <r>
    <n v="1693"/>
    <s v="C1173"/>
    <x v="295"/>
    <s v="25 days"/>
    <x v="314"/>
    <x v="320"/>
    <s v="4 days"/>
    <x v="1"/>
    <s v="New"/>
    <s v="Standard"/>
    <n v="25"/>
    <n v="4"/>
    <n v="4497"/>
    <n v="17988"/>
    <n v="17988"/>
    <x v="0"/>
    <x v="0"/>
    <x v="0"/>
    <x v="0"/>
  </r>
  <r>
    <n v="1694"/>
    <s v="C0080"/>
    <x v="310"/>
    <s v="39 days"/>
    <x v="133"/>
    <x v="321"/>
    <s v="1 days"/>
    <x v="2"/>
    <s v="Returning"/>
    <s v="Standard"/>
    <n v="39"/>
    <n v="1"/>
    <n v="8793"/>
    <n v="8793"/>
    <n v="8793"/>
    <x v="0"/>
    <x v="0"/>
    <x v="0"/>
    <x v="0"/>
  </r>
  <r>
    <n v="1695"/>
    <s v="C0886"/>
    <x v="311"/>
    <s v="49 days"/>
    <x v="267"/>
    <x v="66"/>
    <s v="4 days"/>
    <x v="2"/>
    <s v="Returning"/>
    <s v="Standard"/>
    <n v="49"/>
    <n v="4"/>
    <n v="7369"/>
    <n v="29476"/>
    <n v="0"/>
    <x v="0"/>
    <x v="1"/>
    <x v="1"/>
    <x v="0"/>
  </r>
  <r>
    <n v="1696"/>
    <s v="C1237"/>
    <x v="312"/>
    <s v="28 days"/>
    <x v="0"/>
    <x v="79"/>
    <s v="1 days"/>
    <x v="0"/>
    <s v="Returning"/>
    <s v="Standard"/>
    <n v="28"/>
    <n v="1"/>
    <n v="4061"/>
    <n v="4061"/>
    <n v="4061"/>
    <x v="1"/>
    <x v="0"/>
    <x v="0"/>
    <x v="0"/>
  </r>
  <r>
    <n v="1697"/>
    <s v="C0203"/>
    <x v="80"/>
    <s v="33 days"/>
    <x v="49"/>
    <x v="60"/>
    <s v="2 days"/>
    <x v="0"/>
    <s v="New"/>
    <s v="Deluxe"/>
    <n v="33"/>
    <n v="2"/>
    <n v="6506"/>
    <n v="13012"/>
    <n v="13012"/>
    <x v="1"/>
    <x v="0"/>
    <x v="0"/>
    <x v="1"/>
  </r>
  <r>
    <n v="1698"/>
    <s v="C0764"/>
    <x v="97"/>
    <s v="54 days"/>
    <x v="135"/>
    <x v="322"/>
    <s v="3 days"/>
    <x v="4"/>
    <s v="New"/>
    <s v="Standard"/>
    <n v="54"/>
    <n v="3"/>
    <n v="4175"/>
    <n v="12525"/>
    <n v="0"/>
    <x v="1"/>
    <x v="1"/>
    <x v="1"/>
    <x v="1"/>
  </r>
  <r>
    <n v="1699"/>
    <s v="C1253"/>
    <x v="9"/>
    <s v="37 days"/>
    <x v="164"/>
    <x v="163"/>
    <s v="2 days"/>
    <x v="2"/>
    <s v="Returning"/>
    <s v="Deluxe"/>
    <n v="37"/>
    <n v="2"/>
    <n v="3622"/>
    <n v="7244"/>
    <n v="0"/>
    <x v="1"/>
    <x v="1"/>
    <x v="1"/>
    <x v="1"/>
  </r>
  <r>
    <n v="1700"/>
    <s v="C1251"/>
    <x v="294"/>
    <s v="9 days"/>
    <x v="288"/>
    <x v="188"/>
    <s v="5 days"/>
    <x v="4"/>
    <s v="New"/>
    <s v="Deluxe"/>
    <n v="9"/>
    <n v="5"/>
    <n v="6481"/>
    <n v="32405"/>
    <n v="0"/>
    <x v="1"/>
    <x v="1"/>
    <x v="1"/>
    <x v="1"/>
  </r>
  <r>
    <n v="1701"/>
    <s v="C1465"/>
    <x v="12"/>
    <s v="18 days"/>
    <x v="196"/>
    <x v="110"/>
    <s v="5 days"/>
    <x v="3"/>
    <s v="Returning"/>
    <s v="Suite"/>
    <n v="18"/>
    <n v="5"/>
    <n v="3801"/>
    <n v="19005"/>
    <n v="0"/>
    <x v="0"/>
    <x v="1"/>
    <x v="1"/>
    <x v="0"/>
  </r>
  <r>
    <n v="1702"/>
    <s v="C1426"/>
    <x v="214"/>
    <s v="56 days"/>
    <x v="95"/>
    <x v="140"/>
    <s v="5 days"/>
    <x v="2"/>
    <s v="Returning"/>
    <s v="Suite"/>
    <n v="56"/>
    <n v="5"/>
    <n v="8182"/>
    <n v="40910"/>
    <n v="0"/>
    <x v="0"/>
    <x v="1"/>
    <x v="1"/>
    <x v="1"/>
  </r>
  <r>
    <n v="1703"/>
    <s v="C0047"/>
    <x v="214"/>
    <s v="59 days"/>
    <x v="212"/>
    <x v="308"/>
    <s v="1 days"/>
    <x v="3"/>
    <s v="Returning"/>
    <s v="Standard"/>
    <n v="59"/>
    <n v="1"/>
    <n v="8282"/>
    <n v="8282"/>
    <n v="0"/>
    <x v="0"/>
    <x v="1"/>
    <x v="1"/>
    <x v="1"/>
  </r>
  <r>
    <n v="1704"/>
    <s v="C1257"/>
    <x v="93"/>
    <s v="21 days"/>
    <x v="211"/>
    <x v="29"/>
    <s v="4 days"/>
    <x v="1"/>
    <s v="Returning"/>
    <s v="Deluxe"/>
    <n v="21"/>
    <n v="4"/>
    <n v="3443"/>
    <n v="13772"/>
    <n v="0"/>
    <x v="1"/>
    <x v="1"/>
    <x v="1"/>
    <x v="1"/>
  </r>
  <r>
    <n v="1705"/>
    <s v="C1329"/>
    <x v="124"/>
    <s v="2 days"/>
    <x v="161"/>
    <x v="289"/>
    <s v="2 days"/>
    <x v="4"/>
    <s v="New"/>
    <s v="Suite"/>
    <n v="2"/>
    <n v="2"/>
    <n v="7050"/>
    <n v="14100"/>
    <n v="14100"/>
    <x v="0"/>
    <x v="0"/>
    <x v="0"/>
    <x v="0"/>
  </r>
  <r>
    <n v="1706"/>
    <s v="C1167"/>
    <x v="249"/>
    <s v="58 days"/>
    <x v="315"/>
    <x v="323"/>
    <s v="2 days"/>
    <x v="0"/>
    <s v="New"/>
    <s v="Deluxe"/>
    <n v="58"/>
    <n v="2"/>
    <n v="7723"/>
    <n v="15446"/>
    <n v="15446"/>
    <x v="1"/>
    <x v="0"/>
    <x v="0"/>
    <x v="1"/>
  </r>
  <r>
    <n v="1707"/>
    <s v="C1439"/>
    <x v="266"/>
    <s v="43 days"/>
    <x v="262"/>
    <x v="324"/>
    <s v="2 days"/>
    <x v="2"/>
    <s v="New"/>
    <s v="Suite"/>
    <n v="43"/>
    <n v="2"/>
    <n v="3445"/>
    <n v="6890"/>
    <n v="0"/>
    <x v="0"/>
    <x v="1"/>
    <x v="1"/>
    <x v="1"/>
  </r>
  <r>
    <n v="1708"/>
    <s v="C1397"/>
    <x v="313"/>
    <s v="59 days"/>
    <x v="316"/>
    <x v="273"/>
    <s v="2 days"/>
    <x v="4"/>
    <s v="New"/>
    <s v="Deluxe"/>
    <n v="59"/>
    <n v="2"/>
    <n v="3100"/>
    <n v="6200"/>
    <n v="0"/>
    <x v="1"/>
    <x v="1"/>
    <x v="1"/>
    <x v="0"/>
  </r>
  <r>
    <n v="1709"/>
    <s v="C1283"/>
    <x v="103"/>
    <s v="38 days"/>
    <x v="289"/>
    <x v="114"/>
    <s v="5 days"/>
    <x v="0"/>
    <s v="New"/>
    <s v="Standard"/>
    <n v="38"/>
    <n v="5"/>
    <n v="5200"/>
    <n v="26000"/>
    <n v="0"/>
    <x v="0"/>
    <x v="1"/>
    <x v="1"/>
    <x v="1"/>
  </r>
  <r>
    <n v="1710"/>
    <s v="C0656"/>
    <x v="314"/>
    <s v="58 days"/>
    <x v="313"/>
    <x v="277"/>
    <s v="2 days"/>
    <x v="1"/>
    <s v="New"/>
    <s v="Standard"/>
    <n v="58"/>
    <n v="2"/>
    <n v="7320"/>
    <n v="14640"/>
    <n v="0"/>
    <x v="1"/>
    <x v="1"/>
    <x v="1"/>
    <x v="0"/>
  </r>
  <r>
    <n v="1711"/>
    <s v="C0471"/>
    <x v="158"/>
    <s v="40 days"/>
    <x v="88"/>
    <x v="222"/>
    <s v="4 days"/>
    <x v="2"/>
    <s v="Returning"/>
    <s v="Deluxe"/>
    <n v="40"/>
    <n v="4"/>
    <n v="8876"/>
    <n v="35504"/>
    <n v="35504"/>
    <x v="0"/>
    <x v="0"/>
    <x v="0"/>
    <x v="1"/>
  </r>
  <r>
    <n v="1712"/>
    <s v="C0971"/>
    <x v="178"/>
    <s v="36 days"/>
    <x v="308"/>
    <x v="284"/>
    <s v="5 days"/>
    <x v="3"/>
    <s v="New"/>
    <s v="Suite"/>
    <n v="36"/>
    <n v="5"/>
    <n v="3917"/>
    <n v="19585"/>
    <n v="0"/>
    <x v="1"/>
    <x v="1"/>
    <x v="1"/>
    <x v="0"/>
  </r>
  <r>
    <n v="1713"/>
    <s v="C1036"/>
    <x v="262"/>
    <s v="50 days"/>
    <x v="65"/>
    <x v="168"/>
    <s v="2 days"/>
    <x v="1"/>
    <s v="New"/>
    <s v="Suite"/>
    <n v="50"/>
    <n v="2"/>
    <n v="4024"/>
    <n v="8048"/>
    <n v="8048"/>
    <x v="0"/>
    <x v="0"/>
    <x v="0"/>
    <x v="1"/>
  </r>
  <r>
    <n v="1714"/>
    <s v="C1354"/>
    <x v="113"/>
    <s v="43 days"/>
    <x v="209"/>
    <x v="144"/>
    <s v="1 days"/>
    <x v="0"/>
    <s v="New"/>
    <s v="Standard"/>
    <n v="43"/>
    <n v="1"/>
    <n v="6266"/>
    <n v="6266"/>
    <n v="0"/>
    <x v="1"/>
    <x v="1"/>
    <x v="1"/>
    <x v="1"/>
  </r>
  <r>
    <n v="1715"/>
    <s v="C0736"/>
    <x v="215"/>
    <s v="37 days"/>
    <x v="178"/>
    <x v="199"/>
    <s v="3 days"/>
    <x v="2"/>
    <s v="Returning"/>
    <s v="Standard"/>
    <n v="37"/>
    <n v="3"/>
    <n v="2750"/>
    <n v="8250"/>
    <n v="8250"/>
    <x v="1"/>
    <x v="0"/>
    <x v="0"/>
    <x v="1"/>
  </r>
  <r>
    <n v="1716"/>
    <s v="C0784"/>
    <x v="315"/>
    <s v="15 days"/>
    <x v="0"/>
    <x v="0"/>
    <s v="3 days"/>
    <x v="2"/>
    <s v="New"/>
    <s v="Standard"/>
    <n v="15"/>
    <n v="3"/>
    <n v="4044"/>
    <n v="12132"/>
    <n v="0"/>
    <x v="1"/>
    <x v="1"/>
    <x v="1"/>
    <x v="0"/>
  </r>
  <r>
    <n v="1717"/>
    <s v="C0968"/>
    <x v="37"/>
    <s v="28 days"/>
    <x v="99"/>
    <x v="184"/>
    <s v="3 days"/>
    <x v="1"/>
    <s v="Returning"/>
    <s v="Suite"/>
    <n v="28"/>
    <n v="3"/>
    <n v="2578"/>
    <n v="7734"/>
    <n v="0"/>
    <x v="1"/>
    <x v="1"/>
    <x v="1"/>
    <x v="1"/>
  </r>
  <r>
    <n v="1718"/>
    <s v="C0358"/>
    <x v="316"/>
    <s v="18 days"/>
    <x v="111"/>
    <x v="325"/>
    <s v="5 days"/>
    <x v="2"/>
    <s v="New"/>
    <s v="Suite"/>
    <n v="18"/>
    <n v="5"/>
    <n v="5623"/>
    <n v="28115"/>
    <n v="0"/>
    <x v="0"/>
    <x v="1"/>
    <x v="1"/>
    <x v="0"/>
  </r>
  <r>
    <n v="1719"/>
    <s v="C0972"/>
    <x v="246"/>
    <s v="34 days"/>
    <x v="36"/>
    <x v="37"/>
    <s v="2 days"/>
    <x v="0"/>
    <s v="New"/>
    <s v="Standard"/>
    <n v="34"/>
    <n v="2"/>
    <n v="3397"/>
    <n v="6794"/>
    <n v="0"/>
    <x v="0"/>
    <x v="1"/>
    <x v="1"/>
    <x v="0"/>
  </r>
  <r>
    <n v="1720"/>
    <s v="C1432"/>
    <x v="79"/>
    <s v="22 days"/>
    <x v="195"/>
    <x v="205"/>
    <s v="5 days"/>
    <x v="1"/>
    <s v="New"/>
    <s v="Deluxe"/>
    <n v="22"/>
    <n v="5"/>
    <n v="7376"/>
    <n v="36880"/>
    <n v="0"/>
    <x v="0"/>
    <x v="1"/>
    <x v="1"/>
    <x v="0"/>
  </r>
  <r>
    <n v="1721"/>
    <s v="C0668"/>
    <x v="139"/>
    <s v="11 days"/>
    <x v="305"/>
    <x v="254"/>
    <s v="4 days"/>
    <x v="3"/>
    <s v="Returning"/>
    <s v="Suite"/>
    <n v="11"/>
    <n v="4"/>
    <n v="2725"/>
    <n v="10900"/>
    <n v="0"/>
    <x v="1"/>
    <x v="1"/>
    <x v="1"/>
    <x v="0"/>
  </r>
  <r>
    <n v="1722"/>
    <s v="C0373"/>
    <x v="221"/>
    <s v="58 days"/>
    <x v="40"/>
    <x v="280"/>
    <s v="1 days"/>
    <x v="1"/>
    <s v="Returning"/>
    <s v="Standard"/>
    <n v="58"/>
    <n v="1"/>
    <n v="7670"/>
    <n v="7670"/>
    <n v="7670"/>
    <x v="0"/>
    <x v="0"/>
    <x v="0"/>
    <x v="1"/>
  </r>
  <r>
    <n v="1723"/>
    <s v="C1032"/>
    <x v="299"/>
    <s v="57 days"/>
    <x v="317"/>
    <x v="326"/>
    <s v="1 days"/>
    <x v="1"/>
    <s v="New"/>
    <s v="Deluxe"/>
    <n v="57"/>
    <n v="1"/>
    <n v="3709"/>
    <n v="3709"/>
    <n v="0"/>
    <x v="1"/>
    <x v="1"/>
    <x v="1"/>
    <x v="1"/>
  </r>
  <r>
    <n v="1724"/>
    <s v="C1146"/>
    <x v="154"/>
    <s v="13 days"/>
    <x v="56"/>
    <x v="55"/>
    <s v="3 days"/>
    <x v="3"/>
    <s v="New"/>
    <s v="Suite"/>
    <n v="13"/>
    <n v="3"/>
    <n v="7653"/>
    <n v="22959"/>
    <n v="0"/>
    <x v="0"/>
    <x v="1"/>
    <x v="1"/>
    <x v="1"/>
  </r>
  <r>
    <n v="1725"/>
    <s v="C1372"/>
    <x v="317"/>
    <s v="4 days"/>
    <x v="31"/>
    <x v="327"/>
    <s v="3 days"/>
    <x v="0"/>
    <s v="New"/>
    <s v="Deluxe"/>
    <n v="4"/>
    <n v="3"/>
    <n v="7398"/>
    <n v="22194"/>
    <n v="0"/>
    <x v="1"/>
    <x v="1"/>
    <x v="1"/>
    <x v="0"/>
  </r>
  <r>
    <n v="1726"/>
    <s v="C0676"/>
    <x v="209"/>
    <s v="22 days"/>
    <x v="80"/>
    <x v="266"/>
    <s v="3 days"/>
    <x v="4"/>
    <s v="Returning"/>
    <s v="Deluxe"/>
    <n v="22"/>
    <n v="3"/>
    <n v="7337"/>
    <n v="22011"/>
    <n v="22011"/>
    <x v="0"/>
    <x v="0"/>
    <x v="0"/>
    <x v="1"/>
  </r>
  <r>
    <n v="1727"/>
    <s v="C0090"/>
    <x v="265"/>
    <s v="7 days"/>
    <x v="231"/>
    <x v="126"/>
    <s v="2 days"/>
    <x v="4"/>
    <s v="Returning"/>
    <s v="Suite"/>
    <n v="7"/>
    <n v="2"/>
    <n v="4678"/>
    <n v="9356"/>
    <n v="0"/>
    <x v="1"/>
    <x v="1"/>
    <x v="1"/>
    <x v="0"/>
  </r>
  <r>
    <n v="1728"/>
    <s v="C0698"/>
    <x v="318"/>
    <s v="43 days"/>
    <x v="143"/>
    <x v="281"/>
    <s v="4 days"/>
    <x v="3"/>
    <s v="New"/>
    <s v="Standard"/>
    <n v="43"/>
    <n v="4"/>
    <n v="5179"/>
    <n v="20716"/>
    <n v="20716"/>
    <x v="1"/>
    <x v="0"/>
    <x v="0"/>
    <x v="0"/>
  </r>
  <r>
    <n v="1729"/>
    <s v="C1340"/>
    <x v="72"/>
    <s v="54 days"/>
    <x v="146"/>
    <x v="20"/>
    <s v="4 days"/>
    <x v="0"/>
    <s v="Returning"/>
    <s v="Deluxe"/>
    <n v="54"/>
    <n v="4"/>
    <n v="5385"/>
    <n v="21540"/>
    <n v="21540"/>
    <x v="0"/>
    <x v="0"/>
    <x v="0"/>
    <x v="0"/>
  </r>
  <r>
    <n v="1730"/>
    <s v="C1202"/>
    <x v="308"/>
    <s v="24 days"/>
    <x v="318"/>
    <x v="289"/>
    <s v="4 days"/>
    <x v="2"/>
    <s v="Returning"/>
    <s v="Standard"/>
    <n v="24"/>
    <n v="4"/>
    <n v="5306"/>
    <n v="21224"/>
    <n v="0"/>
    <x v="0"/>
    <x v="1"/>
    <x v="1"/>
    <x v="1"/>
  </r>
  <r>
    <n v="1731"/>
    <s v="C0540"/>
    <x v="60"/>
    <s v="4 days"/>
    <x v="310"/>
    <x v="278"/>
    <s v="4 days"/>
    <x v="3"/>
    <s v="Returning"/>
    <s v="Suite"/>
    <n v="4"/>
    <n v="4"/>
    <n v="3203"/>
    <n v="12812"/>
    <n v="12812"/>
    <x v="0"/>
    <x v="0"/>
    <x v="0"/>
    <x v="1"/>
  </r>
  <r>
    <n v="1732"/>
    <s v="C0732"/>
    <x v="319"/>
    <s v="28 days"/>
    <x v="6"/>
    <x v="276"/>
    <s v="3 days"/>
    <x v="4"/>
    <s v="Returning"/>
    <s v="Deluxe"/>
    <n v="28"/>
    <n v="3"/>
    <n v="5044"/>
    <n v="15132"/>
    <n v="0"/>
    <x v="1"/>
    <x v="1"/>
    <x v="1"/>
    <x v="0"/>
  </r>
  <r>
    <n v="1733"/>
    <s v="C0869"/>
    <x v="229"/>
    <s v="15 days"/>
    <x v="83"/>
    <x v="134"/>
    <s v="1 days"/>
    <x v="0"/>
    <s v="New"/>
    <s v="Deluxe"/>
    <n v="15"/>
    <n v="1"/>
    <n v="8022"/>
    <n v="8022"/>
    <n v="8022"/>
    <x v="1"/>
    <x v="0"/>
    <x v="0"/>
    <x v="1"/>
  </r>
  <r>
    <n v="1734"/>
    <s v="C0041"/>
    <x v="99"/>
    <s v="1 days"/>
    <x v="214"/>
    <x v="264"/>
    <s v="3 days"/>
    <x v="1"/>
    <s v="New"/>
    <s v="Deluxe"/>
    <n v="1"/>
    <n v="3"/>
    <n v="4870"/>
    <n v="14610"/>
    <n v="14610"/>
    <x v="1"/>
    <x v="0"/>
    <x v="0"/>
    <x v="1"/>
  </r>
  <r>
    <n v="1735"/>
    <s v="C0740"/>
    <x v="164"/>
    <s v="55 days"/>
    <x v="207"/>
    <x v="213"/>
    <s v="4 days"/>
    <x v="0"/>
    <s v="Returning"/>
    <s v="Deluxe"/>
    <n v="55"/>
    <n v="4"/>
    <n v="5781"/>
    <n v="23124"/>
    <n v="0"/>
    <x v="0"/>
    <x v="1"/>
    <x v="1"/>
    <x v="0"/>
  </r>
  <r>
    <n v="1736"/>
    <s v="C0502"/>
    <x v="283"/>
    <s v="3 days"/>
    <x v="316"/>
    <x v="127"/>
    <s v="3 days"/>
    <x v="0"/>
    <s v="Returning"/>
    <s v="Deluxe"/>
    <n v="3"/>
    <n v="3"/>
    <n v="7210"/>
    <n v="21630"/>
    <n v="0"/>
    <x v="1"/>
    <x v="1"/>
    <x v="1"/>
    <x v="0"/>
  </r>
  <r>
    <n v="1737"/>
    <s v="C0959"/>
    <x v="48"/>
    <s v="14 days"/>
    <x v="71"/>
    <x v="121"/>
    <s v="4 days"/>
    <x v="4"/>
    <s v="Returning"/>
    <s v="Suite"/>
    <n v="14"/>
    <n v="4"/>
    <n v="2828"/>
    <n v="11312"/>
    <n v="11312"/>
    <x v="0"/>
    <x v="0"/>
    <x v="0"/>
    <x v="1"/>
  </r>
  <r>
    <n v="1738"/>
    <s v="C1169"/>
    <x v="146"/>
    <s v="38 days"/>
    <x v="319"/>
    <x v="213"/>
    <s v="5 days"/>
    <x v="4"/>
    <s v="New"/>
    <s v="Deluxe"/>
    <n v="38"/>
    <n v="5"/>
    <n v="7991"/>
    <n v="39955"/>
    <n v="0"/>
    <x v="1"/>
    <x v="1"/>
    <x v="1"/>
    <x v="0"/>
  </r>
  <r>
    <n v="1739"/>
    <s v="C1225"/>
    <x v="320"/>
    <s v="50 days"/>
    <x v="122"/>
    <x v="328"/>
    <s v="1 days"/>
    <x v="2"/>
    <s v="New"/>
    <s v="Suite"/>
    <n v="50"/>
    <n v="1"/>
    <n v="8079"/>
    <n v="8079"/>
    <n v="0"/>
    <x v="0"/>
    <x v="1"/>
    <x v="1"/>
    <x v="0"/>
  </r>
  <r>
    <n v="1740"/>
    <s v="C0929"/>
    <x v="245"/>
    <s v="57 days"/>
    <x v="293"/>
    <x v="241"/>
    <s v="5 days"/>
    <x v="2"/>
    <s v="Returning"/>
    <s v="Standard"/>
    <n v="57"/>
    <n v="5"/>
    <n v="6728"/>
    <n v="33640"/>
    <n v="0"/>
    <x v="1"/>
    <x v="1"/>
    <x v="1"/>
    <x v="1"/>
  </r>
  <r>
    <n v="1741"/>
    <s v="C0461"/>
    <x v="4"/>
    <s v="1 days"/>
    <x v="251"/>
    <x v="252"/>
    <s v="2 days"/>
    <x v="3"/>
    <s v="Returning"/>
    <s v="Suite"/>
    <n v="1"/>
    <n v="2"/>
    <n v="7430"/>
    <n v="14860"/>
    <n v="14860"/>
    <x v="1"/>
    <x v="0"/>
    <x v="0"/>
    <x v="1"/>
  </r>
  <r>
    <n v="1742"/>
    <s v="C0732"/>
    <x v="76"/>
    <s v="38 days"/>
    <x v="29"/>
    <x v="18"/>
    <s v="3 days"/>
    <x v="1"/>
    <s v="Returning"/>
    <s v="Deluxe"/>
    <n v="38"/>
    <n v="3"/>
    <n v="2620"/>
    <n v="7860"/>
    <n v="7860"/>
    <x v="0"/>
    <x v="0"/>
    <x v="0"/>
    <x v="0"/>
  </r>
  <r>
    <n v="1743"/>
    <s v="C0752"/>
    <x v="176"/>
    <s v="38 days"/>
    <x v="320"/>
    <x v="148"/>
    <s v="2 days"/>
    <x v="2"/>
    <s v="Returning"/>
    <s v="Standard"/>
    <n v="38"/>
    <n v="2"/>
    <n v="8071"/>
    <n v="16142"/>
    <n v="0"/>
    <x v="1"/>
    <x v="1"/>
    <x v="1"/>
    <x v="1"/>
  </r>
  <r>
    <n v="1744"/>
    <s v="C0925"/>
    <x v="268"/>
    <s v="21 days"/>
    <x v="54"/>
    <x v="265"/>
    <s v="3 days"/>
    <x v="4"/>
    <s v="New"/>
    <s v="Suite"/>
    <n v="21"/>
    <n v="3"/>
    <n v="3464"/>
    <n v="10392"/>
    <n v="10392"/>
    <x v="1"/>
    <x v="0"/>
    <x v="0"/>
    <x v="0"/>
  </r>
  <r>
    <n v="1745"/>
    <s v="C0909"/>
    <x v="40"/>
    <s v="48 days"/>
    <x v="113"/>
    <x v="299"/>
    <s v="5 days"/>
    <x v="0"/>
    <s v="New"/>
    <s v="Suite"/>
    <n v="48"/>
    <n v="5"/>
    <n v="6724"/>
    <n v="33620"/>
    <n v="0"/>
    <x v="0"/>
    <x v="1"/>
    <x v="1"/>
    <x v="0"/>
  </r>
  <r>
    <n v="1746"/>
    <s v="C1277"/>
    <x v="31"/>
    <s v="29 days"/>
    <x v="321"/>
    <x v="329"/>
    <s v="4 days"/>
    <x v="3"/>
    <s v="New"/>
    <s v="Suite"/>
    <n v="29"/>
    <n v="4"/>
    <n v="6175"/>
    <n v="24700"/>
    <n v="0"/>
    <x v="1"/>
    <x v="1"/>
    <x v="1"/>
    <x v="1"/>
  </r>
  <r>
    <n v="1747"/>
    <s v="C0390"/>
    <x v="120"/>
    <s v="5 days"/>
    <x v="109"/>
    <x v="129"/>
    <s v="4 days"/>
    <x v="2"/>
    <s v="New"/>
    <s v="Deluxe"/>
    <n v="5"/>
    <n v="4"/>
    <n v="8194"/>
    <n v="32776"/>
    <n v="32776"/>
    <x v="0"/>
    <x v="0"/>
    <x v="0"/>
    <x v="0"/>
  </r>
  <r>
    <n v="1748"/>
    <s v="C0883"/>
    <x v="198"/>
    <s v="49 days"/>
    <x v="165"/>
    <x v="330"/>
    <s v="3 days"/>
    <x v="0"/>
    <s v="New"/>
    <s v="Deluxe"/>
    <n v="49"/>
    <n v="3"/>
    <n v="4576"/>
    <n v="13728"/>
    <n v="0"/>
    <x v="0"/>
    <x v="1"/>
    <x v="1"/>
    <x v="0"/>
  </r>
  <r>
    <n v="1749"/>
    <s v="C0256"/>
    <x v="6"/>
    <s v="10 days"/>
    <x v="322"/>
    <x v="228"/>
    <s v="4 days"/>
    <x v="0"/>
    <s v="New"/>
    <s v="Suite"/>
    <n v="10"/>
    <n v="4"/>
    <n v="8143"/>
    <n v="32572"/>
    <n v="32572"/>
    <x v="1"/>
    <x v="0"/>
    <x v="0"/>
    <x v="0"/>
  </r>
  <r>
    <n v="1750"/>
    <s v="C0709"/>
    <x v="186"/>
    <s v="28 days"/>
    <x v="123"/>
    <x v="197"/>
    <s v="5 days"/>
    <x v="2"/>
    <s v="Returning"/>
    <s v="Suite"/>
    <n v="28"/>
    <n v="5"/>
    <n v="2832"/>
    <n v="14160"/>
    <n v="0"/>
    <x v="1"/>
    <x v="1"/>
    <x v="1"/>
    <x v="1"/>
  </r>
  <r>
    <n v="1751"/>
    <s v="C0450"/>
    <x v="203"/>
    <s v="21 days"/>
    <x v="135"/>
    <x v="221"/>
    <s v="4 days"/>
    <x v="1"/>
    <s v="Returning"/>
    <s v="Standard"/>
    <n v="21"/>
    <n v="4"/>
    <n v="5868"/>
    <n v="23472"/>
    <n v="23472"/>
    <x v="1"/>
    <x v="0"/>
    <x v="0"/>
    <x v="1"/>
  </r>
  <r>
    <n v="1752"/>
    <s v="C0010"/>
    <x v="108"/>
    <s v="50 days"/>
    <x v="160"/>
    <x v="93"/>
    <s v="5 days"/>
    <x v="1"/>
    <s v="New"/>
    <s v="Deluxe"/>
    <n v="50"/>
    <n v="5"/>
    <n v="7749"/>
    <n v="38745"/>
    <n v="0"/>
    <x v="0"/>
    <x v="1"/>
    <x v="1"/>
    <x v="1"/>
  </r>
  <r>
    <n v="1753"/>
    <s v="C0824"/>
    <x v="174"/>
    <s v="7 days"/>
    <x v="323"/>
    <x v="95"/>
    <s v="2 days"/>
    <x v="3"/>
    <s v="New"/>
    <s v="Deluxe"/>
    <n v="7"/>
    <n v="2"/>
    <n v="3816"/>
    <n v="7632"/>
    <n v="7632"/>
    <x v="1"/>
    <x v="0"/>
    <x v="0"/>
    <x v="0"/>
  </r>
  <r>
    <n v="1754"/>
    <s v="C0798"/>
    <x v="41"/>
    <s v="3 days"/>
    <x v="88"/>
    <x v="209"/>
    <s v="5 days"/>
    <x v="1"/>
    <s v="New"/>
    <s v="Standard"/>
    <n v="3"/>
    <n v="5"/>
    <n v="3696"/>
    <n v="18480"/>
    <n v="18480"/>
    <x v="0"/>
    <x v="0"/>
    <x v="0"/>
    <x v="0"/>
  </r>
  <r>
    <n v="1755"/>
    <s v="C1266"/>
    <x v="164"/>
    <s v="45 days"/>
    <x v="153"/>
    <x v="291"/>
    <s v="1 days"/>
    <x v="3"/>
    <s v="Returning"/>
    <s v="Suite"/>
    <n v="45"/>
    <n v="1"/>
    <n v="5670"/>
    <n v="5670"/>
    <n v="5670"/>
    <x v="1"/>
    <x v="0"/>
    <x v="0"/>
    <x v="1"/>
  </r>
  <r>
    <n v="1756"/>
    <s v="C1275"/>
    <x v="248"/>
    <s v="47 days"/>
    <x v="61"/>
    <x v="265"/>
    <s v="1 days"/>
    <x v="4"/>
    <s v="Returning"/>
    <s v="Suite"/>
    <n v="47"/>
    <n v="1"/>
    <n v="3929"/>
    <n v="3929"/>
    <n v="3929"/>
    <x v="1"/>
    <x v="0"/>
    <x v="0"/>
    <x v="1"/>
  </r>
  <r>
    <n v="1757"/>
    <s v="C0877"/>
    <x v="158"/>
    <s v="20 days"/>
    <x v="89"/>
    <x v="300"/>
    <s v="1 days"/>
    <x v="2"/>
    <s v="Returning"/>
    <s v="Standard"/>
    <n v="20"/>
    <n v="1"/>
    <n v="2855"/>
    <n v="2855"/>
    <n v="0"/>
    <x v="0"/>
    <x v="1"/>
    <x v="1"/>
    <x v="1"/>
  </r>
  <r>
    <n v="1758"/>
    <s v="C1029"/>
    <x v="222"/>
    <s v="19 days"/>
    <x v="169"/>
    <x v="258"/>
    <s v="3 days"/>
    <x v="0"/>
    <s v="Returning"/>
    <s v="Suite"/>
    <n v="19"/>
    <n v="3"/>
    <n v="6734"/>
    <n v="20202"/>
    <n v="20202"/>
    <x v="1"/>
    <x v="0"/>
    <x v="0"/>
    <x v="0"/>
  </r>
  <r>
    <n v="1759"/>
    <s v="C1143"/>
    <x v="198"/>
    <s v="35 days"/>
    <x v="253"/>
    <x v="305"/>
    <s v="3 days"/>
    <x v="3"/>
    <s v="New"/>
    <s v="Suite"/>
    <n v="35"/>
    <n v="3"/>
    <n v="4026"/>
    <n v="12078"/>
    <n v="12078"/>
    <x v="1"/>
    <x v="0"/>
    <x v="0"/>
    <x v="1"/>
  </r>
  <r>
    <n v="1760"/>
    <s v="C1016"/>
    <x v="240"/>
    <s v="4 days"/>
    <x v="173"/>
    <x v="212"/>
    <s v="3 days"/>
    <x v="1"/>
    <s v="Returning"/>
    <s v="Standard"/>
    <n v="4"/>
    <n v="3"/>
    <n v="6397"/>
    <n v="19191"/>
    <n v="0"/>
    <x v="1"/>
    <x v="1"/>
    <x v="1"/>
    <x v="0"/>
  </r>
  <r>
    <n v="1761"/>
    <s v="C0374"/>
    <x v="46"/>
    <s v="5 days"/>
    <x v="324"/>
    <x v="331"/>
    <s v="5 days"/>
    <x v="3"/>
    <s v="New"/>
    <s v="Standard"/>
    <n v="5"/>
    <n v="5"/>
    <n v="7793"/>
    <n v="38965"/>
    <n v="38965"/>
    <x v="1"/>
    <x v="0"/>
    <x v="0"/>
    <x v="1"/>
  </r>
  <r>
    <n v="1762"/>
    <s v="C1089"/>
    <x v="124"/>
    <s v="1 days"/>
    <x v="238"/>
    <x v="289"/>
    <s v="3 days"/>
    <x v="3"/>
    <s v="Returning"/>
    <s v="Standard"/>
    <n v="1"/>
    <n v="3"/>
    <n v="2528"/>
    <n v="7584"/>
    <n v="7584"/>
    <x v="1"/>
    <x v="0"/>
    <x v="0"/>
    <x v="0"/>
  </r>
  <r>
    <n v="1763"/>
    <s v="C0146"/>
    <x v="32"/>
    <s v="4 days"/>
    <x v="255"/>
    <x v="259"/>
    <s v="2 days"/>
    <x v="1"/>
    <s v="Returning"/>
    <s v="Suite"/>
    <n v="4"/>
    <n v="2"/>
    <n v="7526"/>
    <n v="15052"/>
    <n v="15052"/>
    <x v="0"/>
    <x v="0"/>
    <x v="0"/>
    <x v="0"/>
  </r>
  <r>
    <n v="1764"/>
    <s v="C0224"/>
    <x v="287"/>
    <s v="12 days"/>
    <x v="325"/>
    <x v="315"/>
    <s v="1 days"/>
    <x v="1"/>
    <s v="Returning"/>
    <s v="Standard"/>
    <n v="12"/>
    <n v="1"/>
    <n v="3513"/>
    <n v="3513"/>
    <n v="0"/>
    <x v="1"/>
    <x v="1"/>
    <x v="1"/>
    <x v="1"/>
  </r>
  <r>
    <n v="1765"/>
    <s v="C1263"/>
    <x v="1"/>
    <s v="27 days"/>
    <x v="135"/>
    <x v="131"/>
    <s v="5 days"/>
    <x v="2"/>
    <s v="Returning"/>
    <s v="Suite"/>
    <n v="27"/>
    <n v="5"/>
    <n v="5202"/>
    <n v="26010"/>
    <n v="0"/>
    <x v="0"/>
    <x v="1"/>
    <x v="1"/>
    <x v="0"/>
  </r>
  <r>
    <n v="1766"/>
    <s v="C0177"/>
    <x v="292"/>
    <s v="56 days"/>
    <x v="107"/>
    <x v="247"/>
    <s v="1 days"/>
    <x v="0"/>
    <s v="New"/>
    <s v="Deluxe"/>
    <n v="56"/>
    <n v="1"/>
    <n v="3327"/>
    <n v="3327"/>
    <n v="0"/>
    <x v="1"/>
    <x v="1"/>
    <x v="1"/>
    <x v="1"/>
  </r>
  <r>
    <n v="1767"/>
    <s v="C0853"/>
    <x v="289"/>
    <s v="42 days"/>
    <x v="171"/>
    <x v="38"/>
    <s v="3 days"/>
    <x v="2"/>
    <s v="New"/>
    <s v="Deluxe"/>
    <n v="42"/>
    <n v="3"/>
    <n v="6946"/>
    <n v="20838"/>
    <n v="0"/>
    <x v="1"/>
    <x v="1"/>
    <x v="1"/>
    <x v="0"/>
  </r>
  <r>
    <n v="1768"/>
    <s v="C1306"/>
    <x v="113"/>
    <s v="23 days"/>
    <x v="48"/>
    <x v="210"/>
    <s v="5 days"/>
    <x v="2"/>
    <s v="New"/>
    <s v="Standard"/>
    <n v="23"/>
    <n v="5"/>
    <n v="4524"/>
    <n v="22620"/>
    <n v="0"/>
    <x v="0"/>
    <x v="1"/>
    <x v="1"/>
    <x v="0"/>
  </r>
  <r>
    <n v="1769"/>
    <s v="C0063"/>
    <x v="106"/>
    <s v="25 days"/>
    <x v="326"/>
    <x v="249"/>
    <s v="4 days"/>
    <x v="1"/>
    <s v="New"/>
    <s v="Suite"/>
    <n v="25"/>
    <n v="4"/>
    <n v="2798"/>
    <n v="11192"/>
    <n v="11192"/>
    <x v="1"/>
    <x v="0"/>
    <x v="0"/>
    <x v="1"/>
  </r>
  <r>
    <n v="1770"/>
    <s v="C1241"/>
    <x v="131"/>
    <s v="21 days"/>
    <x v="284"/>
    <x v="295"/>
    <s v="2 days"/>
    <x v="1"/>
    <s v="New"/>
    <s v="Suite"/>
    <n v="21"/>
    <n v="2"/>
    <n v="8339"/>
    <n v="16678"/>
    <n v="16678"/>
    <x v="1"/>
    <x v="0"/>
    <x v="0"/>
    <x v="0"/>
  </r>
  <r>
    <n v="1771"/>
    <s v="C0827"/>
    <x v="288"/>
    <s v="58 days"/>
    <x v="186"/>
    <x v="179"/>
    <s v="3 days"/>
    <x v="0"/>
    <s v="New"/>
    <s v="Suite"/>
    <n v="58"/>
    <n v="3"/>
    <n v="4365"/>
    <n v="13095"/>
    <n v="0"/>
    <x v="0"/>
    <x v="1"/>
    <x v="1"/>
    <x v="1"/>
  </r>
  <r>
    <n v="1772"/>
    <s v="C0795"/>
    <x v="321"/>
    <s v="52 days"/>
    <x v="59"/>
    <x v="58"/>
    <s v="3 days"/>
    <x v="3"/>
    <s v="New"/>
    <s v="Standard"/>
    <n v="52"/>
    <n v="3"/>
    <n v="6516"/>
    <n v="19548"/>
    <n v="0"/>
    <x v="0"/>
    <x v="1"/>
    <x v="1"/>
    <x v="1"/>
  </r>
  <r>
    <n v="1773"/>
    <s v="C0689"/>
    <x v="88"/>
    <s v="24 days"/>
    <x v="196"/>
    <x v="332"/>
    <s v="2 days"/>
    <x v="2"/>
    <s v="Returning"/>
    <s v="Suite"/>
    <n v="24"/>
    <n v="2"/>
    <n v="7811"/>
    <n v="15622"/>
    <n v="15622"/>
    <x v="1"/>
    <x v="0"/>
    <x v="0"/>
    <x v="1"/>
  </r>
  <r>
    <n v="1774"/>
    <s v="C1485"/>
    <x v="239"/>
    <s v="25 days"/>
    <x v="327"/>
    <x v="333"/>
    <s v="2 days"/>
    <x v="0"/>
    <s v="New"/>
    <s v="Suite"/>
    <n v="25"/>
    <n v="2"/>
    <n v="8291"/>
    <n v="16582"/>
    <n v="16582"/>
    <x v="0"/>
    <x v="0"/>
    <x v="0"/>
    <x v="0"/>
  </r>
  <r>
    <n v="1775"/>
    <s v="C0105"/>
    <x v="23"/>
    <s v="45 days"/>
    <x v="220"/>
    <x v="201"/>
    <s v="4 days"/>
    <x v="2"/>
    <s v="Returning"/>
    <s v="Suite"/>
    <n v="45"/>
    <n v="4"/>
    <n v="4611"/>
    <n v="18444"/>
    <n v="0"/>
    <x v="0"/>
    <x v="1"/>
    <x v="1"/>
    <x v="0"/>
  </r>
  <r>
    <n v="1776"/>
    <s v="C1123"/>
    <x v="65"/>
    <s v="55 days"/>
    <x v="328"/>
    <x v="278"/>
    <s v="3 days"/>
    <x v="3"/>
    <s v="New"/>
    <s v="Deluxe"/>
    <n v="55"/>
    <n v="3"/>
    <n v="3254"/>
    <n v="9762"/>
    <n v="0"/>
    <x v="0"/>
    <x v="1"/>
    <x v="1"/>
    <x v="0"/>
  </r>
  <r>
    <n v="1777"/>
    <s v="C0511"/>
    <x v="78"/>
    <s v="46 days"/>
    <x v="13"/>
    <x v="334"/>
    <s v="3 days"/>
    <x v="2"/>
    <s v="Returning"/>
    <s v="Suite"/>
    <n v="46"/>
    <n v="3"/>
    <n v="3269"/>
    <n v="9807"/>
    <n v="9807"/>
    <x v="0"/>
    <x v="0"/>
    <x v="0"/>
    <x v="1"/>
  </r>
  <r>
    <n v="1778"/>
    <s v="C0385"/>
    <x v="322"/>
    <s v="32 days"/>
    <x v="283"/>
    <x v="103"/>
    <s v="1 days"/>
    <x v="4"/>
    <s v="New"/>
    <s v="Deluxe"/>
    <n v="32"/>
    <n v="1"/>
    <n v="6235"/>
    <n v="6235"/>
    <n v="6235"/>
    <x v="1"/>
    <x v="0"/>
    <x v="0"/>
    <x v="1"/>
  </r>
  <r>
    <n v="1779"/>
    <s v="C0405"/>
    <x v="5"/>
    <s v="55 days"/>
    <x v="9"/>
    <x v="50"/>
    <s v="5 days"/>
    <x v="0"/>
    <s v="Returning"/>
    <s v="Suite"/>
    <n v="55"/>
    <n v="5"/>
    <n v="3738"/>
    <n v="18690"/>
    <n v="0"/>
    <x v="1"/>
    <x v="1"/>
    <x v="1"/>
    <x v="0"/>
  </r>
  <r>
    <n v="1780"/>
    <s v="C0823"/>
    <x v="98"/>
    <s v="32 days"/>
    <x v="236"/>
    <x v="229"/>
    <s v="5 days"/>
    <x v="1"/>
    <s v="New"/>
    <s v="Suite"/>
    <n v="32"/>
    <n v="5"/>
    <n v="7429"/>
    <n v="37145"/>
    <n v="37145"/>
    <x v="0"/>
    <x v="0"/>
    <x v="0"/>
    <x v="0"/>
  </r>
  <r>
    <n v="1781"/>
    <s v="C0518"/>
    <x v="230"/>
    <s v="5 days"/>
    <x v="329"/>
    <x v="335"/>
    <s v="1 days"/>
    <x v="2"/>
    <s v="New"/>
    <s v="Suite"/>
    <n v="5"/>
    <n v="1"/>
    <n v="4713"/>
    <n v="4713"/>
    <n v="0"/>
    <x v="1"/>
    <x v="1"/>
    <x v="1"/>
    <x v="1"/>
  </r>
  <r>
    <n v="1782"/>
    <s v="C0476"/>
    <x v="73"/>
    <s v="36 days"/>
    <x v="21"/>
    <x v="307"/>
    <s v="5 days"/>
    <x v="0"/>
    <s v="New"/>
    <s v="Deluxe"/>
    <n v="36"/>
    <n v="5"/>
    <n v="4406"/>
    <n v="22030"/>
    <n v="0"/>
    <x v="0"/>
    <x v="1"/>
    <x v="1"/>
    <x v="0"/>
  </r>
  <r>
    <n v="1783"/>
    <s v="C0709"/>
    <x v="303"/>
    <s v="46 days"/>
    <x v="108"/>
    <x v="294"/>
    <s v="2 days"/>
    <x v="0"/>
    <s v="New"/>
    <s v="Suite"/>
    <n v="46"/>
    <n v="2"/>
    <n v="4064"/>
    <n v="8128"/>
    <n v="0"/>
    <x v="1"/>
    <x v="1"/>
    <x v="1"/>
    <x v="1"/>
  </r>
  <r>
    <n v="1784"/>
    <s v="C0771"/>
    <x v="257"/>
    <s v="42 days"/>
    <x v="32"/>
    <x v="225"/>
    <s v="5 days"/>
    <x v="2"/>
    <s v="Returning"/>
    <s v="Standard"/>
    <n v="42"/>
    <n v="5"/>
    <n v="3718"/>
    <n v="18590"/>
    <n v="0"/>
    <x v="1"/>
    <x v="1"/>
    <x v="1"/>
    <x v="0"/>
  </r>
  <r>
    <n v="1785"/>
    <s v="C1461"/>
    <x v="6"/>
    <s v="49 days"/>
    <x v="255"/>
    <x v="143"/>
    <s v="5 days"/>
    <x v="1"/>
    <s v="New"/>
    <s v="Suite"/>
    <n v="49"/>
    <n v="5"/>
    <n v="7101"/>
    <n v="35505"/>
    <n v="35505"/>
    <x v="0"/>
    <x v="0"/>
    <x v="0"/>
    <x v="1"/>
  </r>
  <r>
    <n v="1786"/>
    <s v="C1047"/>
    <x v="145"/>
    <s v="42 days"/>
    <x v="205"/>
    <x v="122"/>
    <s v="1 days"/>
    <x v="1"/>
    <s v="New"/>
    <s v="Deluxe"/>
    <n v="42"/>
    <n v="1"/>
    <n v="3857"/>
    <n v="3857"/>
    <n v="0"/>
    <x v="0"/>
    <x v="1"/>
    <x v="1"/>
    <x v="0"/>
  </r>
  <r>
    <n v="1787"/>
    <s v="C0997"/>
    <x v="31"/>
    <s v="58 days"/>
    <x v="145"/>
    <x v="186"/>
    <s v="4 days"/>
    <x v="2"/>
    <s v="Returning"/>
    <s v="Deluxe"/>
    <n v="58"/>
    <n v="4"/>
    <n v="6339"/>
    <n v="25356"/>
    <n v="0"/>
    <x v="1"/>
    <x v="1"/>
    <x v="1"/>
    <x v="0"/>
  </r>
  <r>
    <n v="1788"/>
    <s v="C0677"/>
    <x v="145"/>
    <s v="39 days"/>
    <x v="110"/>
    <x v="227"/>
    <s v="5 days"/>
    <x v="0"/>
    <s v="New"/>
    <s v="Standard"/>
    <n v="39"/>
    <n v="5"/>
    <n v="3960"/>
    <n v="19800"/>
    <n v="19800"/>
    <x v="1"/>
    <x v="0"/>
    <x v="0"/>
    <x v="1"/>
  </r>
  <r>
    <n v="1789"/>
    <s v="C0714"/>
    <x v="78"/>
    <s v="16 days"/>
    <x v="196"/>
    <x v="110"/>
    <s v="5 days"/>
    <x v="1"/>
    <s v="Returning"/>
    <s v="Standard"/>
    <n v="16"/>
    <n v="5"/>
    <n v="6485"/>
    <n v="32425"/>
    <n v="0"/>
    <x v="1"/>
    <x v="1"/>
    <x v="1"/>
    <x v="1"/>
  </r>
  <r>
    <n v="1790"/>
    <s v="C1482"/>
    <x v="323"/>
    <s v="33 days"/>
    <x v="319"/>
    <x v="215"/>
    <s v="4 days"/>
    <x v="2"/>
    <s v="Returning"/>
    <s v="Standard"/>
    <n v="33"/>
    <n v="4"/>
    <n v="3916"/>
    <n v="15664"/>
    <n v="15664"/>
    <x v="0"/>
    <x v="0"/>
    <x v="0"/>
    <x v="1"/>
  </r>
  <r>
    <n v="1791"/>
    <s v="C0083"/>
    <x v="293"/>
    <s v="49 days"/>
    <x v="7"/>
    <x v="119"/>
    <s v="1 days"/>
    <x v="2"/>
    <s v="New"/>
    <s v="Deluxe"/>
    <n v="49"/>
    <n v="1"/>
    <n v="5353"/>
    <n v="5353"/>
    <n v="5353"/>
    <x v="1"/>
    <x v="0"/>
    <x v="0"/>
    <x v="0"/>
  </r>
  <r>
    <n v="1792"/>
    <s v="C1169"/>
    <x v="168"/>
    <s v="21 days"/>
    <x v="310"/>
    <x v="278"/>
    <s v="4 days"/>
    <x v="2"/>
    <s v="New"/>
    <s v="Suite"/>
    <n v="21"/>
    <n v="4"/>
    <n v="7768"/>
    <n v="31072"/>
    <n v="31072"/>
    <x v="0"/>
    <x v="0"/>
    <x v="0"/>
    <x v="1"/>
  </r>
  <r>
    <n v="1793"/>
    <s v="C1109"/>
    <x v="26"/>
    <s v="9 days"/>
    <x v="318"/>
    <x v="50"/>
    <s v="1 days"/>
    <x v="0"/>
    <s v="Returning"/>
    <s v="Suite"/>
    <n v="9"/>
    <n v="1"/>
    <n v="7356"/>
    <n v="7356"/>
    <n v="0"/>
    <x v="0"/>
    <x v="1"/>
    <x v="1"/>
    <x v="1"/>
  </r>
  <r>
    <n v="1794"/>
    <s v="C1102"/>
    <x v="232"/>
    <s v="6 days"/>
    <x v="87"/>
    <x v="82"/>
    <s v="2 days"/>
    <x v="1"/>
    <s v="New"/>
    <s v="Standard"/>
    <n v="6"/>
    <n v="2"/>
    <n v="7428"/>
    <n v="14856"/>
    <n v="14856"/>
    <x v="0"/>
    <x v="0"/>
    <x v="0"/>
    <x v="0"/>
  </r>
  <r>
    <n v="1795"/>
    <s v="C0457"/>
    <x v="153"/>
    <s v="51 days"/>
    <x v="104"/>
    <x v="111"/>
    <s v="1 days"/>
    <x v="0"/>
    <s v="Returning"/>
    <s v="Standard"/>
    <n v="51"/>
    <n v="1"/>
    <n v="3928"/>
    <n v="3928"/>
    <n v="0"/>
    <x v="1"/>
    <x v="1"/>
    <x v="1"/>
    <x v="1"/>
  </r>
  <r>
    <n v="1796"/>
    <s v="C0001"/>
    <x v="282"/>
    <s v="45 days"/>
    <x v="52"/>
    <x v="336"/>
    <s v="2 days"/>
    <x v="4"/>
    <s v="New"/>
    <s v="Suite"/>
    <n v="45"/>
    <n v="2"/>
    <n v="6878"/>
    <n v="13756"/>
    <n v="0"/>
    <x v="0"/>
    <x v="1"/>
    <x v="1"/>
    <x v="1"/>
  </r>
  <r>
    <n v="1797"/>
    <s v="C0051"/>
    <x v="212"/>
    <s v="35 days"/>
    <x v="208"/>
    <x v="337"/>
    <s v="2 days"/>
    <x v="1"/>
    <s v="New"/>
    <s v="Standard"/>
    <n v="35"/>
    <n v="2"/>
    <n v="6974"/>
    <n v="13948"/>
    <n v="0"/>
    <x v="1"/>
    <x v="1"/>
    <x v="1"/>
    <x v="1"/>
  </r>
  <r>
    <n v="1798"/>
    <s v="C0685"/>
    <x v="253"/>
    <s v="39 days"/>
    <x v="187"/>
    <x v="268"/>
    <s v="1 days"/>
    <x v="0"/>
    <s v="Returning"/>
    <s v="Suite"/>
    <n v="39"/>
    <n v="1"/>
    <n v="6793"/>
    <n v="6793"/>
    <n v="6793"/>
    <x v="0"/>
    <x v="0"/>
    <x v="0"/>
    <x v="0"/>
  </r>
  <r>
    <n v="1799"/>
    <s v="C0717"/>
    <x v="279"/>
    <s v="22 days"/>
    <x v="252"/>
    <x v="270"/>
    <s v="3 days"/>
    <x v="1"/>
    <s v="New"/>
    <s v="Suite"/>
    <n v="22"/>
    <n v="3"/>
    <n v="5562"/>
    <n v="16686"/>
    <n v="0"/>
    <x v="1"/>
    <x v="1"/>
    <x v="1"/>
    <x v="0"/>
  </r>
  <r>
    <n v="1800"/>
    <s v="C1470"/>
    <x v="226"/>
    <s v="41 days"/>
    <x v="93"/>
    <x v="104"/>
    <s v="1 days"/>
    <x v="4"/>
    <s v="New"/>
    <s v="Suite"/>
    <n v="41"/>
    <n v="1"/>
    <n v="5571"/>
    <n v="5571"/>
    <n v="5571"/>
    <x v="1"/>
    <x v="0"/>
    <x v="0"/>
    <x v="0"/>
  </r>
  <r>
    <n v="1801"/>
    <s v="C0449"/>
    <x v="324"/>
    <s v="54 days"/>
    <x v="284"/>
    <x v="338"/>
    <s v="5 days"/>
    <x v="3"/>
    <s v="New"/>
    <s v="Suite"/>
    <n v="54"/>
    <n v="5"/>
    <n v="3055"/>
    <n v="15275"/>
    <n v="0"/>
    <x v="0"/>
    <x v="1"/>
    <x v="1"/>
    <x v="1"/>
  </r>
  <r>
    <n v="1802"/>
    <s v="C0881"/>
    <x v="78"/>
    <s v="5 days"/>
    <x v="17"/>
    <x v="339"/>
    <s v="5 days"/>
    <x v="2"/>
    <s v="Returning"/>
    <s v="Deluxe"/>
    <n v="5"/>
    <n v="5"/>
    <n v="2855"/>
    <n v="14275"/>
    <n v="14275"/>
    <x v="0"/>
    <x v="0"/>
    <x v="0"/>
    <x v="0"/>
  </r>
  <r>
    <n v="1803"/>
    <s v="C0488"/>
    <x v="281"/>
    <s v="42 days"/>
    <x v="16"/>
    <x v="16"/>
    <s v="3 days"/>
    <x v="0"/>
    <s v="New"/>
    <s v="Suite"/>
    <n v="42"/>
    <n v="3"/>
    <n v="4063"/>
    <n v="12189"/>
    <n v="12189"/>
    <x v="1"/>
    <x v="0"/>
    <x v="0"/>
    <x v="1"/>
  </r>
  <r>
    <n v="1804"/>
    <s v="C0034"/>
    <x v="80"/>
    <s v="23 days"/>
    <x v="184"/>
    <x v="329"/>
    <s v="2 days"/>
    <x v="4"/>
    <s v="Returning"/>
    <s v="Standard"/>
    <n v="23"/>
    <n v="2"/>
    <n v="6000"/>
    <n v="12000"/>
    <n v="0"/>
    <x v="1"/>
    <x v="1"/>
    <x v="1"/>
    <x v="1"/>
  </r>
  <r>
    <n v="1805"/>
    <s v="C1372"/>
    <x v="193"/>
    <s v="17 days"/>
    <x v="199"/>
    <x v="182"/>
    <s v="3 days"/>
    <x v="4"/>
    <s v="New"/>
    <s v="Standard"/>
    <n v="17"/>
    <n v="3"/>
    <n v="3540"/>
    <n v="10620"/>
    <n v="0"/>
    <x v="0"/>
    <x v="1"/>
    <x v="1"/>
    <x v="1"/>
  </r>
  <r>
    <n v="1806"/>
    <s v="C0095"/>
    <x v="325"/>
    <s v="12 days"/>
    <x v="45"/>
    <x v="340"/>
    <s v="5 days"/>
    <x v="1"/>
    <s v="Returning"/>
    <s v="Standard"/>
    <n v="12"/>
    <n v="5"/>
    <n v="5186"/>
    <n v="25930"/>
    <n v="25930"/>
    <x v="0"/>
    <x v="0"/>
    <x v="0"/>
    <x v="0"/>
  </r>
  <r>
    <n v="1807"/>
    <s v="C1096"/>
    <x v="167"/>
    <s v="23 days"/>
    <x v="89"/>
    <x v="188"/>
    <s v="3 days"/>
    <x v="1"/>
    <s v="New"/>
    <s v="Standard"/>
    <n v="23"/>
    <n v="3"/>
    <n v="6974"/>
    <n v="20922"/>
    <n v="20922"/>
    <x v="1"/>
    <x v="0"/>
    <x v="0"/>
    <x v="0"/>
  </r>
  <r>
    <n v="1808"/>
    <s v="C0154"/>
    <x v="23"/>
    <s v="16 days"/>
    <x v="23"/>
    <x v="12"/>
    <s v="1 days"/>
    <x v="2"/>
    <s v="New"/>
    <s v="Deluxe"/>
    <n v="16"/>
    <n v="1"/>
    <n v="7275"/>
    <n v="7275"/>
    <n v="7275"/>
    <x v="1"/>
    <x v="0"/>
    <x v="0"/>
    <x v="1"/>
  </r>
  <r>
    <n v="1809"/>
    <s v="C0250"/>
    <x v="164"/>
    <s v="3 days"/>
    <x v="330"/>
    <x v="341"/>
    <s v="3 days"/>
    <x v="1"/>
    <s v="Returning"/>
    <s v="Suite"/>
    <n v="3"/>
    <n v="3"/>
    <n v="5053"/>
    <n v="15159"/>
    <n v="15159"/>
    <x v="0"/>
    <x v="0"/>
    <x v="0"/>
    <x v="1"/>
  </r>
  <r>
    <n v="1810"/>
    <s v="C0674"/>
    <x v="91"/>
    <s v="30 days"/>
    <x v="331"/>
    <x v="194"/>
    <s v="2 days"/>
    <x v="0"/>
    <s v="New"/>
    <s v="Suite"/>
    <n v="30"/>
    <n v="2"/>
    <n v="4279"/>
    <n v="8558"/>
    <n v="0"/>
    <x v="1"/>
    <x v="1"/>
    <x v="1"/>
    <x v="0"/>
  </r>
  <r>
    <n v="1811"/>
    <s v="C0438"/>
    <x v="40"/>
    <s v="57 days"/>
    <x v="162"/>
    <x v="96"/>
    <s v="1 days"/>
    <x v="0"/>
    <s v="Returning"/>
    <s v="Standard"/>
    <n v="57"/>
    <n v="1"/>
    <n v="7494"/>
    <n v="7494"/>
    <n v="7494"/>
    <x v="0"/>
    <x v="0"/>
    <x v="0"/>
    <x v="0"/>
  </r>
  <r>
    <n v="1812"/>
    <s v="C0118"/>
    <x v="105"/>
    <s v="22 days"/>
    <x v="173"/>
    <x v="111"/>
    <s v="4 days"/>
    <x v="0"/>
    <s v="New"/>
    <s v="Standard"/>
    <n v="22"/>
    <n v="4"/>
    <n v="2575"/>
    <n v="10300"/>
    <n v="10300"/>
    <x v="0"/>
    <x v="0"/>
    <x v="0"/>
    <x v="0"/>
  </r>
  <r>
    <n v="1813"/>
    <s v="C0771"/>
    <x v="6"/>
    <s v="9 days"/>
    <x v="64"/>
    <x v="228"/>
    <s v="5 days"/>
    <x v="3"/>
    <s v="Returning"/>
    <s v="Standard"/>
    <n v="9"/>
    <n v="5"/>
    <n v="6826"/>
    <n v="34130"/>
    <n v="34130"/>
    <x v="0"/>
    <x v="0"/>
    <x v="0"/>
    <x v="1"/>
  </r>
  <r>
    <n v="1814"/>
    <s v="C1330"/>
    <x v="244"/>
    <s v="29 days"/>
    <x v="1"/>
    <x v="231"/>
    <s v="5 days"/>
    <x v="0"/>
    <s v="New"/>
    <s v="Suite"/>
    <n v="29"/>
    <n v="5"/>
    <n v="8335"/>
    <n v="41675"/>
    <n v="41675"/>
    <x v="0"/>
    <x v="0"/>
    <x v="0"/>
    <x v="0"/>
  </r>
  <r>
    <n v="1815"/>
    <s v="C0268"/>
    <x v="220"/>
    <s v="47 days"/>
    <x v="72"/>
    <x v="342"/>
    <s v="3 days"/>
    <x v="1"/>
    <s v="Returning"/>
    <s v="Deluxe"/>
    <n v="47"/>
    <n v="3"/>
    <n v="7557"/>
    <n v="22671"/>
    <n v="0"/>
    <x v="1"/>
    <x v="1"/>
    <x v="1"/>
    <x v="0"/>
  </r>
  <r>
    <n v="1816"/>
    <s v="C1078"/>
    <x v="323"/>
    <s v="37 days"/>
    <x v="244"/>
    <x v="213"/>
    <s v="1 days"/>
    <x v="1"/>
    <s v="New"/>
    <s v="Deluxe"/>
    <n v="37"/>
    <n v="1"/>
    <n v="5819"/>
    <n v="5819"/>
    <n v="0"/>
    <x v="0"/>
    <x v="1"/>
    <x v="1"/>
    <x v="0"/>
  </r>
  <r>
    <n v="1817"/>
    <s v="C0236"/>
    <x v="326"/>
    <s v="23 days"/>
    <x v="214"/>
    <x v="175"/>
    <s v="4 days"/>
    <x v="0"/>
    <s v="Returning"/>
    <s v="Deluxe"/>
    <n v="23"/>
    <n v="4"/>
    <n v="4849"/>
    <n v="19396"/>
    <n v="0"/>
    <x v="0"/>
    <x v="1"/>
    <x v="1"/>
    <x v="1"/>
  </r>
  <r>
    <n v="1818"/>
    <s v="C0389"/>
    <x v="188"/>
    <s v="13 days"/>
    <x v="110"/>
    <x v="107"/>
    <s v="1 days"/>
    <x v="4"/>
    <s v="Returning"/>
    <s v="Deluxe"/>
    <n v="13"/>
    <n v="1"/>
    <n v="5273"/>
    <n v="5273"/>
    <n v="5273"/>
    <x v="1"/>
    <x v="0"/>
    <x v="0"/>
    <x v="0"/>
  </r>
  <r>
    <n v="1819"/>
    <s v="C0990"/>
    <x v="147"/>
    <s v="32 days"/>
    <x v="154"/>
    <x v="269"/>
    <s v="5 days"/>
    <x v="4"/>
    <s v="New"/>
    <s v="Standard"/>
    <n v="32"/>
    <n v="5"/>
    <n v="4762"/>
    <n v="23810"/>
    <n v="23810"/>
    <x v="1"/>
    <x v="0"/>
    <x v="0"/>
    <x v="1"/>
  </r>
  <r>
    <n v="1820"/>
    <s v="C0763"/>
    <x v="141"/>
    <s v="46 days"/>
    <x v="95"/>
    <x v="343"/>
    <s v="1 days"/>
    <x v="4"/>
    <s v="Returning"/>
    <s v="Suite"/>
    <n v="46"/>
    <n v="1"/>
    <n v="5729"/>
    <n v="5729"/>
    <n v="0"/>
    <x v="0"/>
    <x v="1"/>
    <x v="1"/>
    <x v="1"/>
  </r>
  <r>
    <n v="1821"/>
    <s v="C0401"/>
    <x v="226"/>
    <s v="52 days"/>
    <x v="332"/>
    <x v="284"/>
    <s v="4 days"/>
    <x v="2"/>
    <s v="Returning"/>
    <s v="Standard"/>
    <n v="52"/>
    <n v="4"/>
    <n v="4616"/>
    <n v="18464"/>
    <n v="0"/>
    <x v="0"/>
    <x v="1"/>
    <x v="1"/>
    <x v="1"/>
  </r>
  <r>
    <n v="1822"/>
    <s v="C0624"/>
    <x v="210"/>
    <s v="47 days"/>
    <x v="283"/>
    <x v="344"/>
    <s v="3 days"/>
    <x v="3"/>
    <s v="New"/>
    <s v="Deluxe"/>
    <n v="47"/>
    <n v="3"/>
    <n v="2892"/>
    <n v="8676"/>
    <n v="8676"/>
    <x v="0"/>
    <x v="0"/>
    <x v="0"/>
    <x v="0"/>
  </r>
  <r>
    <n v="1823"/>
    <s v="C0767"/>
    <x v="70"/>
    <s v="48 days"/>
    <x v="333"/>
    <x v="244"/>
    <s v="2 days"/>
    <x v="0"/>
    <s v="New"/>
    <s v="Standard"/>
    <n v="48"/>
    <n v="2"/>
    <n v="3608"/>
    <n v="7216"/>
    <n v="0"/>
    <x v="0"/>
    <x v="1"/>
    <x v="1"/>
    <x v="0"/>
  </r>
  <r>
    <n v="1824"/>
    <s v="C1327"/>
    <x v="327"/>
    <s v="23 days"/>
    <x v="309"/>
    <x v="35"/>
    <s v="1 days"/>
    <x v="2"/>
    <s v="New"/>
    <s v="Deluxe"/>
    <n v="23"/>
    <n v="1"/>
    <n v="6862"/>
    <n v="6862"/>
    <n v="6862"/>
    <x v="0"/>
    <x v="0"/>
    <x v="0"/>
    <x v="0"/>
  </r>
  <r>
    <n v="1825"/>
    <s v="C0919"/>
    <x v="303"/>
    <s v="45 days"/>
    <x v="5"/>
    <x v="311"/>
    <s v="2 days"/>
    <x v="4"/>
    <s v="New"/>
    <s v="Suite"/>
    <n v="45"/>
    <n v="2"/>
    <n v="7688"/>
    <n v="15376"/>
    <n v="15376"/>
    <x v="0"/>
    <x v="0"/>
    <x v="0"/>
    <x v="1"/>
  </r>
  <r>
    <n v="1826"/>
    <s v="C1231"/>
    <x v="204"/>
    <s v="17 days"/>
    <x v="145"/>
    <x v="109"/>
    <s v="5 days"/>
    <x v="0"/>
    <s v="New"/>
    <s v="Deluxe"/>
    <n v="17"/>
    <n v="5"/>
    <n v="3110"/>
    <n v="15550"/>
    <n v="0"/>
    <x v="1"/>
    <x v="1"/>
    <x v="1"/>
    <x v="0"/>
  </r>
  <r>
    <n v="1827"/>
    <s v="C1253"/>
    <x v="228"/>
    <s v="55 days"/>
    <x v="102"/>
    <x v="345"/>
    <s v="3 days"/>
    <x v="2"/>
    <s v="New"/>
    <s v="Standard"/>
    <n v="55"/>
    <n v="3"/>
    <n v="7966"/>
    <n v="23898"/>
    <n v="0"/>
    <x v="1"/>
    <x v="1"/>
    <x v="1"/>
    <x v="1"/>
  </r>
  <r>
    <n v="1828"/>
    <s v="C0853"/>
    <x v="122"/>
    <s v="40 days"/>
    <x v="291"/>
    <x v="269"/>
    <s v="3 days"/>
    <x v="1"/>
    <s v="Returning"/>
    <s v="Suite"/>
    <n v="40"/>
    <n v="3"/>
    <n v="7604"/>
    <n v="22812"/>
    <n v="22812"/>
    <x v="0"/>
    <x v="0"/>
    <x v="0"/>
    <x v="0"/>
  </r>
  <r>
    <n v="1829"/>
    <s v="C0578"/>
    <x v="245"/>
    <s v="21 days"/>
    <x v="237"/>
    <x v="230"/>
    <s v="1 days"/>
    <x v="4"/>
    <s v="Returning"/>
    <s v="Deluxe"/>
    <n v="21"/>
    <n v="1"/>
    <n v="7557"/>
    <n v="7557"/>
    <n v="7557"/>
    <x v="1"/>
    <x v="0"/>
    <x v="0"/>
    <x v="0"/>
  </r>
  <r>
    <n v="1830"/>
    <s v="C0075"/>
    <x v="288"/>
    <s v="2 days"/>
    <x v="40"/>
    <x v="236"/>
    <s v="3 days"/>
    <x v="2"/>
    <s v="Returning"/>
    <s v="Deluxe"/>
    <n v="2"/>
    <n v="3"/>
    <n v="5275"/>
    <n v="15825"/>
    <n v="15825"/>
    <x v="1"/>
    <x v="0"/>
    <x v="0"/>
    <x v="0"/>
  </r>
  <r>
    <n v="1831"/>
    <s v="C0435"/>
    <x v="166"/>
    <s v="37 days"/>
    <x v="100"/>
    <x v="49"/>
    <s v="1 days"/>
    <x v="1"/>
    <s v="New"/>
    <s v="Suite"/>
    <n v="37"/>
    <n v="1"/>
    <n v="6498"/>
    <n v="6498"/>
    <n v="0"/>
    <x v="0"/>
    <x v="1"/>
    <x v="1"/>
    <x v="0"/>
  </r>
  <r>
    <n v="1832"/>
    <s v="C0103"/>
    <x v="328"/>
    <s v="6 days"/>
    <x v="118"/>
    <x v="319"/>
    <s v="1 days"/>
    <x v="4"/>
    <s v="New"/>
    <s v="Standard"/>
    <n v="6"/>
    <n v="1"/>
    <n v="3172"/>
    <n v="3172"/>
    <n v="3172"/>
    <x v="1"/>
    <x v="0"/>
    <x v="0"/>
    <x v="1"/>
  </r>
  <r>
    <n v="1833"/>
    <s v="C1446"/>
    <x v="133"/>
    <s v="44 days"/>
    <x v="87"/>
    <x v="82"/>
    <s v="2 days"/>
    <x v="3"/>
    <s v="Returning"/>
    <s v="Suite"/>
    <n v="44"/>
    <n v="2"/>
    <n v="6177"/>
    <n v="12354"/>
    <n v="0"/>
    <x v="1"/>
    <x v="1"/>
    <x v="1"/>
    <x v="1"/>
  </r>
  <r>
    <n v="1834"/>
    <s v="C0764"/>
    <x v="146"/>
    <s v="18 days"/>
    <x v="271"/>
    <x v="346"/>
    <s v="3 days"/>
    <x v="4"/>
    <s v="Returning"/>
    <s v="Standard"/>
    <n v="18"/>
    <n v="3"/>
    <n v="8296"/>
    <n v="24888"/>
    <n v="24888"/>
    <x v="0"/>
    <x v="0"/>
    <x v="0"/>
    <x v="1"/>
  </r>
  <r>
    <n v="1835"/>
    <s v="C0738"/>
    <x v="197"/>
    <s v="30 days"/>
    <x v="84"/>
    <x v="42"/>
    <s v="1 days"/>
    <x v="3"/>
    <s v="New"/>
    <s v="Deluxe"/>
    <n v="30"/>
    <n v="1"/>
    <n v="8758"/>
    <n v="8758"/>
    <n v="8758"/>
    <x v="0"/>
    <x v="0"/>
    <x v="0"/>
    <x v="1"/>
  </r>
  <r>
    <n v="1836"/>
    <s v="C0806"/>
    <x v="0"/>
    <s v="22 days"/>
    <x v="0"/>
    <x v="62"/>
    <s v="2 days"/>
    <x v="3"/>
    <s v="Returning"/>
    <s v="Deluxe"/>
    <n v="22"/>
    <n v="2"/>
    <n v="8863"/>
    <n v="17726"/>
    <n v="17726"/>
    <x v="0"/>
    <x v="0"/>
    <x v="0"/>
    <x v="0"/>
  </r>
  <r>
    <n v="1837"/>
    <s v="C1330"/>
    <x v="54"/>
    <s v="54 days"/>
    <x v="52"/>
    <x v="52"/>
    <s v="4 days"/>
    <x v="3"/>
    <s v="New"/>
    <s v="Suite"/>
    <n v="54"/>
    <n v="4"/>
    <n v="2530"/>
    <n v="10120"/>
    <n v="10120"/>
    <x v="1"/>
    <x v="0"/>
    <x v="0"/>
    <x v="1"/>
  </r>
  <r>
    <n v="1838"/>
    <s v="C0098"/>
    <x v="286"/>
    <s v="33 days"/>
    <x v="334"/>
    <x v="67"/>
    <s v="2 days"/>
    <x v="0"/>
    <s v="New"/>
    <s v="Deluxe"/>
    <n v="33"/>
    <n v="2"/>
    <n v="7962"/>
    <n v="15924"/>
    <n v="15924"/>
    <x v="0"/>
    <x v="0"/>
    <x v="0"/>
    <x v="1"/>
  </r>
  <r>
    <n v="1839"/>
    <s v="C0798"/>
    <x v="295"/>
    <s v="30 days"/>
    <x v="32"/>
    <x v="129"/>
    <s v="2 days"/>
    <x v="0"/>
    <s v="Returning"/>
    <s v="Suite"/>
    <n v="30"/>
    <n v="2"/>
    <n v="3900"/>
    <n v="7800"/>
    <n v="0"/>
    <x v="1"/>
    <x v="1"/>
    <x v="1"/>
    <x v="1"/>
  </r>
  <r>
    <n v="1840"/>
    <s v="C1359"/>
    <x v="286"/>
    <s v="17 days"/>
    <x v="335"/>
    <x v="211"/>
    <s v="1 days"/>
    <x v="3"/>
    <s v="New"/>
    <s v="Deluxe"/>
    <n v="17"/>
    <n v="1"/>
    <n v="7749"/>
    <n v="7749"/>
    <n v="7749"/>
    <x v="0"/>
    <x v="0"/>
    <x v="0"/>
    <x v="0"/>
  </r>
  <r>
    <n v="1841"/>
    <s v="C0859"/>
    <x v="189"/>
    <s v="43 days"/>
    <x v="289"/>
    <x v="114"/>
    <s v="5 days"/>
    <x v="1"/>
    <s v="New"/>
    <s v="Deluxe"/>
    <n v="43"/>
    <n v="5"/>
    <n v="6571"/>
    <n v="32855"/>
    <n v="32855"/>
    <x v="0"/>
    <x v="0"/>
    <x v="0"/>
    <x v="1"/>
  </r>
  <r>
    <n v="1842"/>
    <s v="C0435"/>
    <x v="327"/>
    <s v="32 days"/>
    <x v="336"/>
    <x v="178"/>
    <s v="5 days"/>
    <x v="3"/>
    <s v="New"/>
    <s v="Standard"/>
    <n v="32"/>
    <n v="5"/>
    <n v="3116"/>
    <n v="15580"/>
    <n v="0"/>
    <x v="0"/>
    <x v="1"/>
    <x v="1"/>
    <x v="1"/>
  </r>
  <r>
    <n v="1843"/>
    <s v="C0447"/>
    <x v="242"/>
    <s v="42 days"/>
    <x v="278"/>
    <x v="130"/>
    <s v="5 days"/>
    <x v="2"/>
    <s v="New"/>
    <s v="Suite"/>
    <n v="42"/>
    <n v="5"/>
    <n v="7134"/>
    <n v="35670"/>
    <n v="0"/>
    <x v="0"/>
    <x v="1"/>
    <x v="1"/>
    <x v="0"/>
  </r>
  <r>
    <n v="1844"/>
    <s v="C1332"/>
    <x v="295"/>
    <s v="51 days"/>
    <x v="102"/>
    <x v="255"/>
    <s v="2 days"/>
    <x v="3"/>
    <s v="Returning"/>
    <s v="Suite"/>
    <n v="51"/>
    <n v="2"/>
    <n v="5286"/>
    <n v="10572"/>
    <n v="0"/>
    <x v="1"/>
    <x v="1"/>
    <x v="1"/>
    <x v="0"/>
  </r>
  <r>
    <n v="1845"/>
    <s v="C0249"/>
    <x v="77"/>
    <s v="14 days"/>
    <x v="337"/>
    <x v="125"/>
    <s v="1 days"/>
    <x v="0"/>
    <s v="New"/>
    <s v="Deluxe"/>
    <n v="14"/>
    <n v="1"/>
    <n v="3370"/>
    <n v="3370"/>
    <n v="3370"/>
    <x v="1"/>
    <x v="0"/>
    <x v="0"/>
    <x v="1"/>
  </r>
  <r>
    <n v="1846"/>
    <s v="C0166"/>
    <x v="77"/>
    <s v="58 days"/>
    <x v="150"/>
    <x v="205"/>
    <s v="3 days"/>
    <x v="0"/>
    <s v="New"/>
    <s v="Standard"/>
    <n v="58"/>
    <n v="3"/>
    <n v="6696"/>
    <n v="20088"/>
    <n v="0"/>
    <x v="0"/>
    <x v="1"/>
    <x v="1"/>
    <x v="1"/>
  </r>
  <r>
    <n v="1847"/>
    <s v="C0984"/>
    <x v="44"/>
    <s v="10 days"/>
    <x v="44"/>
    <x v="219"/>
    <s v="2 days"/>
    <x v="2"/>
    <s v="Returning"/>
    <s v="Standard"/>
    <n v="10"/>
    <n v="2"/>
    <n v="6104"/>
    <n v="12208"/>
    <n v="12208"/>
    <x v="1"/>
    <x v="0"/>
    <x v="0"/>
    <x v="0"/>
  </r>
  <r>
    <n v="1848"/>
    <s v="C1359"/>
    <x v="62"/>
    <s v="47 days"/>
    <x v="338"/>
    <x v="111"/>
    <s v="2 days"/>
    <x v="2"/>
    <s v="New"/>
    <s v="Suite"/>
    <n v="47"/>
    <n v="2"/>
    <n v="3912"/>
    <n v="7824"/>
    <n v="0"/>
    <x v="0"/>
    <x v="1"/>
    <x v="1"/>
    <x v="1"/>
  </r>
  <r>
    <n v="1849"/>
    <s v="C1020"/>
    <x v="48"/>
    <s v="51 days"/>
    <x v="145"/>
    <x v="141"/>
    <s v="1 days"/>
    <x v="4"/>
    <s v="New"/>
    <s v="Suite"/>
    <n v="51"/>
    <n v="1"/>
    <n v="5239"/>
    <n v="5239"/>
    <n v="0"/>
    <x v="0"/>
    <x v="1"/>
    <x v="1"/>
    <x v="0"/>
  </r>
  <r>
    <n v="1850"/>
    <s v="C0542"/>
    <x v="43"/>
    <s v="36 days"/>
    <x v="24"/>
    <x v="208"/>
    <s v="4 days"/>
    <x v="1"/>
    <s v="Returning"/>
    <s v="Deluxe"/>
    <n v="36"/>
    <n v="4"/>
    <n v="3440"/>
    <n v="13760"/>
    <n v="13760"/>
    <x v="1"/>
    <x v="0"/>
    <x v="0"/>
    <x v="1"/>
  </r>
  <r>
    <n v="1851"/>
    <s v="C0759"/>
    <x v="85"/>
    <s v="34 days"/>
    <x v="64"/>
    <x v="127"/>
    <s v="2 days"/>
    <x v="1"/>
    <s v="Returning"/>
    <s v="Suite"/>
    <n v="34"/>
    <n v="2"/>
    <n v="2840"/>
    <n v="5680"/>
    <n v="0"/>
    <x v="1"/>
    <x v="1"/>
    <x v="1"/>
    <x v="1"/>
  </r>
  <r>
    <n v="1852"/>
    <s v="C1130"/>
    <x v="82"/>
    <s v="9 days"/>
    <x v="210"/>
    <x v="260"/>
    <s v="4 days"/>
    <x v="1"/>
    <s v="New"/>
    <s v="Deluxe"/>
    <n v="9"/>
    <n v="4"/>
    <n v="5408"/>
    <n v="21632"/>
    <n v="21632"/>
    <x v="0"/>
    <x v="0"/>
    <x v="0"/>
    <x v="1"/>
  </r>
  <r>
    <n v="1853"/>
    <s v="C0081"/>
    <x v="279"/>
    <s v="42 days"/>
    <x v="318"/>
    <x v="289"/>
    <s v="4 days"/>
    <x v="0"/>
    <s v="New"/>
    <s v="Standard"/>
    <n v="42"/>
    <n v="4"/>
    <n v="7639"/>
    <n v="30556"/>
    <n v="30556"/>
    <x v="0"/>
    <x v="0"/>
    <x v="0"/>
    <x v="1"/>
  </r>
  <r>
    <n v="1854"/>
    <s v="C0133"/>
    <x v="301"/>
    <s v="28 days"/>
    <x v="328"/>
    <x v="177"/>
    <s v="5 days"/>
    <x v="1"/>
    <s v="Returning"/>
    <s v="Suite"/>
    <n v="28"/>
    <n v="5"/>
    <n v="6633"/>
    <n v="33165"/>
    <n v="33165"/>
    <x v="0"/>
    <x v="0"/>
    <x v="0"/>
    <x v="1"/>
  </r>
  <r>
    <n v="1855"/>
    <s v="C0797"/>
    <x v="20"/>
    <s v="11 days"/>
    <x v="19"/>
    <x v="62"/>
    <s v="1 days"/>
    <x v="4"/>
    <s v="New"/>
    <s v="Standard"/>
    <n v="11"/>
    <n v="1"/>
    <n v="3159"/>
    <n v="3159"/>
    <n v="0"/>
    <x v="1"/>
    <x v="1"/>
    <x v="1"/>
    <x v="0"/>
  </r>
  <r>
    <n v="1856"/>
    <s v="C0900"/>
    <x v="199"/>
    <s v="14 days"/>
    <x v="244"/>
    <x v="347"/>
    <s v="4 days"/>
    <x v="4"/>
    <s v="New"/>
    <s v="Standard"/>
    <n v="14"/>
    <n v="4"/>
    <n v="4533"/>
    <n v="18132"/>
    <n v="18132"/>
    <x v="0"/>
    <x v="0"/>
    <x v="0"/>
    <x v="0"/>
  </r>
  <r>
    <n v="1857"/>
    <s v="C0138"/>
    <x v="82"/>
    <s v="39 days"/>
    <x v="208"/>
    <x v="82"/>
    <s v="1 days"/>
    <x v="1"/>
    <s v="New"/>
    <s v="Deluxe"/>
    <n v="39"/>
    <n v="1"/>
    <n v="4060"/>
    <n v="4060"/>
    <n v="4060"/>
    <x v="0"/>
    <x v="0"/>
    <x v="0"/>
    <x v="1"/>
  </r>
  <r>
    <n v="1858"/>
    <s v="C0184"/>
    <x v="199"/>
    <s v="55 days"/>
    <x v="231"/>
    <x v="309"/>
    <s v="5 days"/>
    <x v="2"/>
    <s v="Returning"/>
    <s v="Standard"/>
    <n v="55"/>
    <n v="5"/>
    <n v="5957"/>
    <n v="29785"/>
    <n v="29785"/>
    <x v="0"/>
    <x v="0"/>
    <x v="0"/>
    <x v="1"/>
  </r>
  <r>
    <n v="1859"/>
    <s v="C1425"/>
    <x v="219"/>
    <s v="47 days"/>
    <x v="149"/>
    <x v="272"/>
    <s v="1 days"/>
    <x v="4"/>
    <s v="New"/>
    <s v="Deluxe"/>
    <n v="47"/>
    <n v="1"/>
    <n v="4156"/>
    <n v="4156"/>
    <n v="0"/>
    <x v="0"/>
    <x v="1"/>
    <x v="1"/>
    <x v="1"/>
  </r>
  <r>
    <n v="1860"/>
    <s v="C1354"/>
    <x v="175"/>
    <s v="54 days"/>
    <x v="193"/>
    <x v="191"/>
    <s v="2 days"/>
    <x v="2"/>
    <s v="Returning"/>
    <s v="Deluxe"/>
    <n v="54"/>
    <n v="2"/>
    <n v="5475"/>
    <n v="10950"/>
    <n v="0"/>
    <x v="0"/>
    <x v="1"/>
    <x v="1"/>
    <x v="0"/>
  </r>
  <r>
    <n v="1861"/>
    <s v="C0785"/>
    <x v="322"/>
    <s v="19 days"/>
    <x v="339"/>
    <x v="131"/>
    <s v="4 days"/>
    <x v="0"/>
    <s v="Returning"/>
    <s v="Standard"/>
    <n v="19"/>
    <n v="4"/>
    <n v="3549"/>
    <n v="14196"/>
    <n v="14196"/>
    <x v="0"/>
    <x v="0"/>
    <x v="0"/>
    <x v="0"/>
  </r>
  <r>
    <n v="1862"/>
    <s v="C0984"/>
    <x v="282"/>
    <s v="54 days"/>
    <x v="340"/>
    <x v="330"/>
    <s v="1 days"/>
    <x v="4"/>
    <s v="Returning"/>
    <s v="Standard"/>
    <n v="54"/>
    <n v="1"/>
    <n v="2953"/>
    <n v="2953"/>
    <n v="2953"/>
    <x v="1"/>
    <x v="0"/>
    <x v="0"/>
    <x v="0"/>
  </r>
  <r>
    <n v="1863"/>
    <s v="C0069"/>
    <x v="329"/>
    <s v="15 days"/>
    <x v="49"/>
    <x v="49"/>
    <s v="3 days"/>
    <x v="2"/>
    <s v="Returning"/>
    <s v="Deluxe"/>
    <n v="15"/>
    <n v="3"/>
    <n v="4204"/>
    <n v="12612"/>
    <n v="12612"/>
    <x v="0"/>
    <x v="0"/>
    <x v="0"/>
    <x v="0"/>
  </r>
  <r>
    <n v="1864"/>
    <s v="C0546"/>
    <x v="131"/>
    <s v="28 days"/>
    <x v="189"/>
    <x v="269"/>
    <s v="1 days"/>
    <x v="1"/>
    <s v="New"/>
    <s v="Deluxe"/>
    <n v="28"/>
    <n v="1"/>
    <n v="7942"/>
    <n v="7942"/>
    <n v="0"/>
    <x v="0"/>
    <x v="1"/>
    <x v="1"/>
    <x v="0"/>
  </r>
  <r>
    <n v="1865"/>
    <s v="C0053"/>
    <x v="27"/>
    <s v="24 days"/>
    <x v="2"/>
    <x v="307"/>
    <s v="4 days"/>
    <x v="0"/>
    <s v="Returning"/>
    <s v="Standard"/>
    <n v="24"/>
    <n v="4"/>
    <n v="5284"/>
    <n v="21136"/>
    <n v="0"/>
    <x v="1"/>
    <x v="1"/>
    <x v="1"/>
    <x v="0"/>
  </r>
  <r>
    <n v="1866"/>
    <s v="C1474"/>
    <x v="330"/>
    <s v="8 days"/>
    <x v="341"/>
    <x v="328"/>
    <s v="5 days"/>
    <x v="3"/>
    <s v="New"/>
    <s v="Deluxe"/>
    <n v="8"/>
    <n v="5"/>
    <n v="3318"/>
    <n v="16590"/>
    <n v="16590"/>
    <x v="1"/>
    <x v="0"/>
    <x v="0"/>
    <x v="0"/>
  </r>
  <r>
    <n v="1867"/>
    <s v="C0205"/>
    <x v="218"/>
    <s v="43 days"/>
    <x v="126"/>
    <x v="40"/>
    <s v="5 days"/>
    <x v="3"/>
    <s v="Returning"/>
    <s v="Deluxe"/>
    <n v="43"/>
    <n v="5"/>
    <n v="7368"/>
    <n v="36840"/>
    <n v="0"/>
    <x v="0"/>
    <x v="1"/>
    <x v="1"/>
    <x v="0"/>
  </r>
  <r>
    <n v="1868"/>
    <s v="C0126"/>
    <x v="209"/>
    <s v="9 days"/>
    <x v="220"/>
    <x v="201"/>
    <s v="4 days"/>
    <x v="1"/>
    <s v="Returning"/>
    <s v="Suite"/>
    <n v="9"/>
    <n v="4"/>
    <n v="2512"/>
    <n v="10048"/>
    <n v="0"/>
    <x v="1"/>
    <x v="1"/>
    <x v="1"/>
    <x v="1"/>
  </r>
  <r>
    <n v="1869"/>
    <s v="C0043"/>
    <x v="236"/>
    <s v="47 days"/>
    <x v="65"/>
    <x v="168"/>
    <s v="2 days"/>
    <x v="0"/>
    <s v="New"/>
    <s v="Suite"/>
    <n v="47"/>
    <n v="2"/>
    <n v="6479"/>
    <n v="12958"/>
    <n v="12958"/>
    <x v="0"/>
    <x v="0"/>
    <x v="0"/>
    <x v="0"/>
  </r>
  <r>
    <n v="1870"/>
    <s v="C0111"/>
    <x v="66"/>
    <s v="33 days"/>
    <x v="321"/>
    <x v="320"/>
    <s v="2 days"/>
    <x v="0"/>
    <s v="Returning"/>
    <s v="Suite"/>
    <n v="33"/>
    <n v="2"/>
    <n v="3420"/>
    <n v="6840"/>
    <n v="0"/>
    <x v="1"/>
    <x v="1"/>
    <x v="1"/>
    <x v="0"/>
  </r>
  <r>
    <n v="1871"/>
    <s v="C0761"/>
    <x v="295"/>
    <s v="33 days"/>
    <x v="29"/>
    <x v="29"/>
    <s v="5 days"/>
    <x v="0"/>
    <s v="Returning"/>
    <s v="Suite"/>
    <n v="33"/>
    <n v="5"/>
    <n v="7420"/>
    <n v="37100"/>
    <n v="37100"/>
    <x v="1"/>
    <x v="0"/>
    <x v="0"/>
    <x v="0"/>
  </r>
  <r>
    <n v="1872"/>
    <s v="C1207"/>
    <x v="54"/>
    <s v="19 days"/>
    <x v="156"/>
    <x v="135"/>
    <s v="5 days"/>
    <x v="0"/>
    <s v="New"/>
    <s v="Suite"/>
    <n v="19"/>
    <n v="5"/>
    <n v="4918"/>
    <n v="24590"/>
    <n v="0"/>
    <x v="0"/>
    <x v="1"/>
    <x v="1"/>
    <x v="0"/>
  </r>
  <r>
    <n v="1873"/>
    <s v="C0848"/>
    <x v="220"/>
    <s v="3 days"/>
    <x v="108"/>
    <x v="5"/>
    <s v="4 days"/>
    <x v="3"/>
    <s v="Returning"/>
    <s v="Deluxe"/>
    <n v="3"/>
    <n v="4"/>
    <n v="3814"/>
    <n v="15256"/>
    <n v="15256"/>
    <x v="1"/>
    <x v="0"/>
    <x v="0"/>
    <x v="1"/>
  </r>
  <r>
    <n v="1874"/>
    <s v="C0095"/>
    <x v="48"/>
    <s v="10 days"/>
    <x v="8"/>
    <x v="144"/>
    <s v="2 days"/>
    <x v="2"/>
    <s v="Returning"/>
    <s v="Deluxe"/>
    <n v="10"/>
    <n v="2"/>
    <n v="8975"/>
    <n v="17950"/>
    <n v="0"/>
    <x v="0"/>
    <x v="1"/>
    <x v="1"/>
    <x v="0"/>
  </r>
  <r>
    <n v="1875"/>
    <s v="C1398"/>
    <x v="82"/>
    <s v="40 days"/>
    <x v="147"/>
    <x v="303"/>
    <s v="5 days"/>
    <x v="0"/>
    <s v="Returning"/>
    <s v="Suite"/>
    <n v="40"/>
    <n v="5"/>
    <n v="6177"/>
    <n v="30885"/>
    <n v="0"/>
    <x v="1"/>
    <x v="1"/>
    <x v="1"/>
    <x v="1"/>
  </r>
  <r>
    <n v="1876"/>
    <s v="C0900"/>
    <x v="304"/>
    <s v="47 days"/>
    <x v="342"/>
    <x v="348"/>
    <s v="2 days"/>
    <x v="2"/>
    <s v="New"/>
    <s v="Standard"/>
    <n v="47"/>
    <n v="2"/>
    <n v="8904"/>
    <n v="17808"/>
    <n v="17808"/>
    <x v="0"/>
    <x v="0"/>
    <x v="0"/>
    <x v="1"/>
  </r>
  <r>
    <n v="1877"/>
    <s v="C0360"/>
    <x v="150"/>
    <s v="42 days"/>
    <x v="343"/>
    <x v="349"/>
    <s v="5 days"/>
    <x v="0"/>
    <s v="Returning"/>
    <s v="Suite"/>
    <n v="42"/>
    <n v="5"/>
    <n v="4517"/>
    <n v="22585"/>
    <n v="22585"/>
    <x v="1"/>
    <x v="0"/>
    <x v="0"/>
    <x v="1"/>
  </r>
  <r>
    <n v="1878"/>
    <s v="C0900"/>
    <x v="179"/>
    <s v="1 days"/>
    <x v="86"/>
    <x v="149"/>
    <s v="1 days"/>
    <x v="4"/>
    <s v="New"/>
    <s v="Standard"/>
    <n v="1"/>
    <n v="1"/>
    <n v="3728"/>
    <n v="3728"/>
    <n v="0"/>
    <x v="0"/>
    <x v="1"/>
    <x v="1"/>
    <x v="0"/>
  </r>
  <r>
    <n v="1879"/>
    <s v="C0281"/>
    <x v="83"/>
    <s v="29 days"/>
    <x v="172"/>
    <x v="119"/>
    <s v="3 days"/>
    <x v="4"/>
    <s v="New"/>
    <s v="Deluxe"/>
    <n v="29"/>
    <n v="3"/>
    <n v="7292"/>
    <n v="21876"/>
    <n v="0"/>
    <x v="0"/>
    <x v="1"/>
    <x v="1"/>
    <x v="0"/>
  </r>
  <r>
    <n v="1880"/>
    <s v="C1219"/>
    <x v="81"/>
    <s v="50 days"/>
    <x v="344"/>
    <x v="1"/>
    <s v="1 days"/>
    <x v="4"/>
    <s v="New"/>
    <s v="Standard"/>
    <n v="50"/>
    <n v="1"/>
    <n v="7545"/>
    <n v="7545"/>
    <n v="0"/>
    <x v="0"/>
    <x v="1"/>
    <x v="1"/>
    <x v="0"/>
  </r>
  <r>
    <n v="1881"/>
    <s v="C1219"/>
    <x v="124"/>
    <s v="34 days"/>
    <x v="345"/>
    <x v="208"/>
    <s v="5 days"/>
    <x v="0"/>
    <s v="Returning"/>
    <s v="Deluxe"/>
    <n v="34"/>
    <n v="5"/>
    <n v="4934"/>
    <n v="24670"/>
    <n v="24670"/>
    <x v="0"/>
    <x v="0"/>
    <x v="0"/>
    <x v="1"/>
  </r>
  <r>
    <n v="1882"/>
    <s v="C0667"/>
    <x v="130"/>
    <s v="51 days"/>
    <x v="346"/>
    <x v="192"/>
    <s v="3 days"/>
    <x v="2"/>
    <s v="Returning"/>
    <s v="Standard"/>
    <n v="51"/>
    <n v="3"/>
    <n v="5368"/>
    <n v="16104"/>
    <n v="16104"/>
    <x v="1"/>
    <x v="0"/>
    <x v="0"/>
    <x v="1"/>
  </r>
  <r>
    <n v="1883"/>
    <s v="C0093"/>
    <x v="272"/>
    <s v="13 days"/>
    <x v="118"/>
    <x v="136"/>
    <s v="3 days"/>
    <x v="3"/>
    <s v="Returning"/>
    <s v="Deluxe"/>
    <n v="13"/>
    <n v="3"/>
    <n v="5015"/>
    <n v="15045"/>
    <n v="15045"/>
    <x v="0"/>
    <x v="0"/>
    <x v="0"/>
    <x v="1"/>
  </r>
  <r>
    <n v="1884"/>
    <s v="C0672"/>
    <x v="222"/>
    <s v="54 days"/>
    <x v="347"/>
    <x v="198"/>
    <s v="5 days"/>
    <x v="1"/>
    <s v="Returning"/>
    <s v="Deluxe"/>
    <n v="54"/>
    <n v="5"/>
    <n v="3938"/>
    <n v="19690"/>
    <n v="0"/>
    <x v="1"/>
    <x v="1"/>
    <x v="1"/>
    <x v="1"/>
  </r>
  <r>
    <n v="1885"/>
    <s v="C0061"/>
    <x v="206"/>
    <s v="1 days"/>
    <x v="177"/>
    <x v="173"/>
    <s v="5 days"/>
    <x v="3"/>
    <s v="New"/>
    <s v="Suite"/>
    <n v="1"/>
    <n v="5"/>
    <n v="6664"/>
    <n v="33320"/>
    <n v="33320"/>
    <x v="1"/>
    <x v="0"/>
    <x v="0"/>
    <x v="0"/>
  </r>
  <r>
    <n v="1886"/>
    <s v="C0634"/>
    <x v="192"/>
    <s v="34 days"/>
    <x v="139"/>
    <x v="344"/>
    <s v="2 days"/>
    <x v="0"/>
    <s v="New"/>
    <s v="Deluxe"/>
    <n v="34"/>
    <n v="2"/>
    <n v="6043"/>
    <n v="12086"/>
    <n v="0"/>
    <x v="0"/>
    <x v="1"/>
    <x v="1"/>
    <x v="0"/>
  </r>
  <r>
    <n v="1887"/>
    <s v="C1075"/>
    <x v="133"/>
    <s v="29 days"/>
    <x v="348"/>
    <x v="220"/>
    <s v="5 days"/>
    <x v="4"/>
    <s v="Returning"/>
    <s v="Suite"/>
    <n v="29"/>
    <n v="5"/>
    <n v="5675"/>
    <n v="28375"/>
    <n v="0"/>
    <x v="0"/>
    <x v="1"/>
    <x v="1"/>
    <x v="0"/>
  </r>
  <r>
    <n v="1888"/>
    <s v="C1427"/>
    <x v="41"/>
    <s v="48 days"/>
    <x v="150"/>
    <x v="145"/>
    <s v="4 days"/>
    <x v="4"/>
    <s v="Returning"/>
    <s v="Suite"/>
    <n v="48"/>
    <n v="4"/>
    <n v="4281"/>
    <n v="17124"/>
    <n v="17124"/>
    <x v="1"/>
    <x v="0"/>
    <x v="0"/>
    <x v="1"/>
  </r>
  <r>
    <n v="1889"/>
    <s v="C1029"/>
    <x v="328"/>
    <s v="47 days"/>
    <x v="201"/>
    <x v="52"/>
    <s v="5 days"/>
    <x v="2"/>
    <s v="New"/>
    <s v="Suite"/>
    <n v="47"/>
    <n v="5"/>
    <n v="8843"/>
    <n v="44215"/>
    <n v="44215"/>
    <x v="1"/>
    <x v="0"/>
    <x v="0"/>
    <x v="1"/>
  </r>
  <r>
    <n v="1890"/>
    <s v="C1490"/>
    <x v="230"/>
    <s v="13 days"/>
    <x v="67"/>
    <x v="326"/>
    <s v="4 days"/>
    <x v="0"/>
    <s v="Returning"/>
    <s v="Standard"/>
    <n v="13"/>
    <n v="4"/>
    <n v="4763"/>
    <n v="19052"/>
    <n v="19052"/>
    <x v="1"/>
    <x v="0"/>
    <x v="0"/>
    <x v="0"/>
  </r>
  <r>
    <n v="1891"/>
    <s v="C0604"/>
    <x v="131"/>
    <s v="48 days"/>
    <x v="314"/>
    <x v="292"/>
    <s v="5 days"/>
    <x v="3"/>
    <s v="Returning"/>
    <s v="Standard"/>
    <n v="48"/>
    <n v="5"/>
    <n v="4469"/>
    <n v="22345"/>
    <n v="0"/>
    <x v="0"/>
    <x v="1"/>
    <x v="1"/>
    <x v="0"/>
  </r>
  <r>
    <n v="1892"/>
    <s v="C0682"/>
    <x v="279"/>
    <s v="49 days"/>
    <x v="150"/>
    <x v="53"/>
    <s v="2 days"/>
    <x v="0"/>
    <s v="Returning"/>
    <s v="Deluxe"/>
    <n v="49"/>
    <n v="2"/>
    <n v="2711"/>
    <n v="5422"/>
    <n v="0"/>
    <x v="0"/>
    <x v="1"/>
    <x v="1"/>
    <x v="1"/>
  </r>
  <r>
    <n v="1893"/>
    <s v="C0534"/>
    <x v="93"/>
    <s v="53 days"/>
    <x v="160"/>
    <x v="78"/>
    <s v="4 days"/>
    <x v="0"/>
    <s v="Returning"/>
    <s v="Suite"/>
    <n v="53"/>
    <n v="4"/>
    <n v="3007"/>
    <n v="12028"/>
    <n v="0"/>
    <x v="1"/>
    <x v="1"/>
    <x v="1"/>
    <x v="0"/>
  </r>
  <r>
    <n v="1894"/>
    <s v="C1429"/>
    <x v="32"/>
    <s v="29 days"/>
    <x v="250"/>
    <x v="5"/>
    <s v="1 days"/>
    <x v="4"/>
    <s v="Returning"/>
    <s v="Suite"/>
    <n v="29"/>
    <n v="1"/>
    <n v="8659"/>
    <n v="8659"/>
    <n v="8659"/>
    <x v="1"/>
    <x v="0"/>
    <x v="0"/>
    <x v="0"/>
  </r>
  <r>
    <n v="1895"/>
    <s v="C0838"/>
    <x v="4"/>
    <s v="39 days"/>
    <x v="27"/>
    <x v="24"/>
    <s v="4 days"/>
    <x v="3"/>
    <s v="Returning"/>
    <s v="Deluxe"/>
    <n v="39"/>
    <n v="4"/>
    <n v="8117"/>
    <n v="32468"/>
    <n v="0"/>
    <x v="1"/>
    <x v="1"/>
    <x v="1"/>
    <x v="1"/>
  </r>
  <r>
    <n v="1896"/>
    <s v="C0645"/>
    <x v="108"/>
    <s v="24 days"/>
    <x v="112"/>
    <x v="49"/>
    <s v="2 days"/>
    <x v="1"/>
    <s v="New"/>
    <s v="Suite"/>
    <n v="24"/>
    <n v="2"/>
    <n v="2831"/>
    <n v="5662"/>
    <n v="5662"/>
    <x v="0"/>
    <x v="0"/>
    <x v="0"/>
    <x v="1"/>
  </r>
  <r>
    <n v="1897"/>
    <s v="C0233"/>
    <x v="225"/>
    <s v="26 days"/>
    <x v="65"/>
    <x v="64"/>
    <s v="4 days"/>
    <x v="4"/>
    <s v="New"/>
    <s v="Deluxe"/>
    <n v="26"/>
    <n v="4"/>
    <n v="3050"/>
    <n v="12200"/>
    <n v="12200"/>
    <x v="1"/>
    <x v="0"/>
    <x v="0"/>
    <x v="1"/>
  </r>
  <r>
    <n v="1898"/>
    <s v="C0524"/>
    <x v="62"/>
    <s v="17 days"/>
    <x v="94"/>
    <x v="171"/>
    <s v="5 days"/>
    <x v="3"/>
    <s v="New"/>
    <s v="Suite"/>
    <n v="17"/>
    <n v="5"/>
    <n v="8220"/>
    <n v="41100"/>
    <n v="0"/>
    <x v="1"/>
    <x v="1"/>
    <x v="1"/>
    <x v="0"/>
  </r>
  <r>
    <n v="1899"/>
    <s v="C0346"/>
    <x v="19"/>
    <s v="7 days"/>
    <x v="283"/>
    <x v="137"/>
    <s v="5 days"/>
    <x v="2"/>
    <s v="New"/>
    <s v="Standard"/>
    <n v="7"/>
    <n v="5"/>
    <n v="3441"/>
    <n v="17205"/>
    <n v="17205"/>
    <x v="1"/>
    <x v="0"/>
    <x v="0"/>
    <x v="1"/>
  </r>
  <r>
    <n v="1900"/>
    <s v="C1070"/>
    <x v="35"/>
    <s v="13 days"/>
    <x v="169"/>
    <x v="208"/>
    <s v="2 days"/>
    <x v="4"/>
    <s v="Returning"/>
    <s v="Deluxe"/>
    <n v="13"/>
    <n v="2"/>
    <n v="8899"/>
    <n v="17798"/>
    <n v="17798"/>
    <x v="1"/>
    <x v="0"/>
    <x v="0"/>
    <x v="0"/>
  </r>
  <r>
    <n v="1901"/>
    <s v="C0546"/>
    <x v="331"/>
    <s v="5 days"/>
    <x v="318"/>
    <x v="350"/>
    <s v="3 days"/>
    <x v="2"/>
    <s v="Returning"/>
    <s v="Deluxe"/>
    <n v="5"/>
    <n v="3"/>
    <n v="3227"/>
    <n v="9681"/>
    <n v="9681"/>
    <x v="0"/>
    <x v="0"/>
    <x v="0"/>
    <x v="0"/>
  </r>
  <r>
    <n v="1902"/>
    <s v="C1102"/>
    <x v="332"/>
    <s v="26 days"/>
    <x v="212"/>
    <x v="200"/>
    <s v="5 days"/>
    <x v="4"/>
    <s v="New"/>
    <s v="Standard"/>
    <n v="26"/>
    <n v="5"/>
    <n v="7475"/>
    <n v="37375"/>
    <n v="0"/>
    <x v="1"/>
    <x v="1"/>
    <x v="1"/>
    <x v="1"/>
  </r>
  <r>
    <n v="1903"/>
    <s v="C1097"/>
    <x v="309"/>
    <s v="49 days"/>
    <x v="349"/>
    <x v="351"/>
    <s v="1 days"/>
    <x v="0"/>
    <s v="New"/>
    <s v="Deluxe"/>
    <n v="49"/>
    <n v="1"/>
    <n v="5362"/>
    <n v="5362"/>
    <n v="0"/>
    <x v="0"/>
    <x v="1"/>
    <x v="1"/>
    <x v="0"/>
  </r>
  <r>
    <n v="1904"/>
    <s v="C0794"/>
    <x v="30"/>
    <s v="3 days"/>
    <x v="320"/>
    <x v="148"/>
    <s v="2 days"/>
    <x v="3"/>
    <s v="New"/>
    <s v="Standard"/>
    <n v="3"/>
    <n v="2"/>
    <n v="5743"/>
    <n v="11486"/>
    <n v="11486"/>
    <x v="0"/>
    <x v="0"/>
    <x v="0"/>
    <x v="1"/>
  </r>
  <r>
    <n v="1905"/>
    <s v="C0249"/>
    <x v="174"/>
    <s v="7 days"/>
    <x v="323"/>
    <x v="179"/>
    <s v="4 days"/>
    <x v="2"/>
    <s v="New"/>
    <s v="Suite"/>
    <n v="7"/>
    <n v="4"/>
    <n v="3148"/>
    <n v="12592"/>
    <n v="12592"/>
    <x v="1"/>
    <x v="0"/>
    <x v="0"/>
    <x v="1"/>
  </r>
  <r>
    <n v="1906"/>
    <s v="C0047"/>
    <x v="226"/>
    <s v="58 days"/>
    <x v="331"/>
    <x v="257"/>
    <s v="4 days"/>
    <x v="4"/>
    <s v="New"/>
    <s v="Standard"/>
    <n v="58"/>
    <n v="4"/>
    <n v="7595"/>
    <n v="30380"/>
    <n v="30380"/>
    <x v="0"/>
    <x v="0"/>
    <x v="0"/>
    <x v="0"/>
  </r>
  <r>
    <n v="1907"/>
    <s v="C1145"/>
    <x v="324"/>
    <s v="49 days"/>
    <x v="59"/>
    <x v="309"/>
    <s v="1 days"/>
    <x v="2"/>
    <s v="Returning"/>
    <s v="Standard"/>
    <n v="49"/>
    <n v="1"/>
    <n v="8117"/>
    <n v="8117"/>
    <n v="8117"/>
    <x v="1"/>
    <x v="0"/>
    <x v="0"/>
    <x v="0"/>
  </r>
  <r>
    <n v="1908"/>
    <s v="C0214"/>
    <x v="271"/>
    <s v="39 days"/>
    <x v="194"/>
    <x v="266"/>
    <s v="5 days"/>
    <x v="4"/>
    <s v="Returning"/>
    <s v="Deluxe"/>
    <n v="39"/>
    <n v="5"/>
    <n v="5237"/>
    <n v="26185"/>
    <n v="0"/>
    <x v="1"/>
    <x v="1"/>
    <x v="1"/>
    <x v="1"/>
  </r>
  <r>
    <n v="1909"/>
    <s v="C0239"/>
    <x v="33"/>
    <s v="53 days"/>
    <x v="10"/>
    <x v="286"/>
    <s v="2 days"/>
    <x v="4"/>
    <s v="New"/>
    <s v="Suite"/>
    <n v="53"/>
    <n v="2"/>
    <n v="8208"/>
    <n v="16416"/>
    <n v="0"/>
    <x v="1"/>
    <x v="1"/>
    <x v="1"/>
    <x v="1"/>
  </r>
  <r>
    <n v="1910"/>
    <s v="C1080"/>
    <x v="204"/>
    <s v="1 days"/>
    <x v="112"/>
    <x v="60"/>
    <s v="1 days"/>
    <x v="1"/>
    <s v="New"/>
    <s v="Standard"/>
    <n v="1"/>
    <n v="1"/>
    <n v="5247"/>
    <n v="5247"/>
    <n v="5247"/>
    <x v="1"/>
    <x v="0"/>
    <x v="0"/>
    <x v="1"/>
  </r>
  <r>
    <n v="1911"/>
    <s v="C0350"/>
    <x v="195"/>
    <s v="49 days"/>
    <x v="344"/>
    <x v="195"/>
    <s v="5 days"/>
    <x v="1"/>
    <s v="Returning"/>
    <s v="Suite"/>
    <n v="49"/>
    <n v="5"/>
    <n v="3509"/>
    <n v="17545"/>
    <n v="17545"/>
    <x v="1"/>
    <x v="0"/>
    <x v="0"/>
    <x v="1"/>
  </r>
  <r>
    <n v="1912"/>
    <s v="C0107"/>
    <x v="154"/>
    <s v="17 days"/>
    <x v="312"/>
    <x v="315"/>
    <s v="2 days"/>
    <x v="1"/>
    <s v="Returning"/>
    <s v="Standard"/>
    <n v="17"/>
    <n v="2"/>
    <n v="4050"/>
    <n v="8100"/>
    <n v="0"/>
    <x v="0"/>
    <x v="1"/>
    <x v="1"/>
    <x v="1"/>
  </r>
  <r>
    <n v="1913"/>
    <s v="C0831"/>
    <x v="174"/>
    <s v="43 days"/>
    <x v="343"/>
    <x v="117"/>
    <s v="4 days"/>
    <x v="2"/>
    <s v="Returning"/>
    <s v="Deluxe"/>
    <n v="43"/>
    <n v="4"/>
    <n v="3303"/>
    <n v="13212"/>
    <n v="0"/>
    <x v="0"/>
    <x v="1"/>
    <x v="1"/>
    <x v="1"/>
  </r>
  <r>
    <n v="1914"/>
    <s v="C0048"/>
    <x v="187"/>
    <s v="25 days"/>
    <x v="143"/>
    <x v="69"/>
    <s v="2 days"/>
    <x v="0"/>
    <s v="New"/>
    <s v="Standard"/>
    <n v="25"/>
    <n v="2"/>
    <n v="6580"/>
    <n v="13160"/>
    <n v="0"/>
    <x v="1"/>
    <x v="1"/>
    <x v="1"/>
    <x v="0"/>
  </r>
  <r>
    <n v="1915"/>
    <s v="C0337"/>
    <x v="237"/>
    <s v="59 days"/>
    <x v="103"/>
    <x v="313"/>
    <s v="3 days"/>
    <x v="4"/>
    <s v="Returning"/>
    <s v="Standard"/>
    <n v="59"/>
    <n v="3"/>
    <n v="6809"/>
    <n v="20427"/>
    <n v="20427"/>
    <x v="0"/>
    <x v="0"/>
    <x v="0"/>
    <x v="0"/>
  </r>
  <r>
    <n v="1916"/>
    <s v="C1050"/>
    <x v="132"/>
    <s v="3 days"/>
    <x v="349"/>
    <x v="217"/>
    <s v="2 days"/>
    <x v="3"/>
    <s v="New"/>
    <s v="Suite"/>
    <n v="3"/>
    <n v="2"/>
    <n v="6764"/>
    <n v="13528"/>
    <n v="0"/>
    <x v="1"/>
    <x v="1"/>
    <x v="1"/>
    <x v="0"/>
  </r>
  <r>
    <n v="1917"/>
    <s v="C0804"/>
    <x v="39"/>
    <s v="15 days"/>
    <x v="193"/>
    <x v="177"/>
    <s v="3 days"/>
    <x v="1"/>
    <s v="New"/>
    <s v="Standard"/>
    <n v="15"/>
    <n v="3"/>
    <n v="5901"/>
    <n v="17703"/>
    <n v="17703"/>
    <x v="0"/>
    <x v="0"/>
    <x v="0"/>
    <x v="0"/>
  </r>
  <r>
    <n v="1918"/>
    <s v="C1281"/>
    <x v="132"/>
    <s v="29 days"/>
    <x v="228"/>
    <x v="79"/>
    <s v="2 days"/>
    <x v="2"/>
    <s v="Returning"/>
    <s v="Deluxe"/>
    <n v="29"/>
    <n v="2"/>
    <n v="7573"/>
    <n v="15146"/>
    <n v="15146"/>
    <x v="0"/>
    <x v="0"/>
    <x v="0"/>
    <x v="1"/>
  </r>
  <r>
    <n v="1919"/>
    <s v="C0008"/>
    <x v="49"/>
    <s v="53 days"/>
    <x v="290"/>
    <x v="73"/>
    <s v="3 days"/>
    <x v="2"/>
    <s v="Returning"/>
    <s v="Deluxe"/>
    <n v="53"/>
    <n v="3"/>
    <n v="7924"/>
    <n v="23772"/>
    <n v="0"/>
    <x v="1"/>
    <x v="1"/>
    <x v="1"/>
    <x v="0"/>
  </r>
  <r>
    <n v="1920"/>
    <s v="C0625"/>
    <x v="71"/>
    <s v="43 days"/>
    <x v="66"/>
    <x v="345"/>
    <s v="4 days"/>
    <x v="2"/>
    <s v="Returning"/>
    <s v="Standard"/>
    <n v="43"/>
    <n v="4"/>
    <n v="6741"/>
    <n v="26964"/>
    <n v="0"/>
    <x v="0"/>
    <x v="1"/>
    <x v="1"/>
    <x v="0"/>
  </r>
  <r>
    <n v="1921"/>
    <s v="C1277"/>
    <x v="105"/>
    <s v="32 days"/>
    <x v="83"/>
    <x v="95"/>
    <s v="5 days"/>
    <x v="3"/>
    <s v="New"/>
    <s v="Standard"/>
    <n v="32"/>
    <n v="5"/>
    <n v="8394"/>
    <n v="41970"/>
    <n v="0"/>
    <x v="0"/>
    <x v="1"/>
    <x v="1"/>
    <x v="1"/>
  </r>
  <r>
    <n v="1922"/>
    <s v="C0719"/>
    <x v="332"/>
    <s v="26 days"/>
    <x v="212"/>
    <x v="260"/>
    <s v="3 days"/>
    <x v="3"/>
    <s v="Returning"/>
    <s v="Suite"/>
    <n v="26"/>
    <n v="3"/>
    <n v="7111"/>
    <n v="21333"/>
    <n v="21333"/>
    <x v="0"/>
    <x v="0"/>
    <x v="0"/>
    <x v="0"/>
  </r>
  <r>
    <n v="1923"/>
    <s v="C0303"/>
    <x v="187"/>
    <s v="16 days"/>
    <x v="350"/>
    <x v="296"/>
    <s v="3 days"/>
    <x v="1"/>
    <s v="Returning"/>
    <s v="Suite"/>
    <n v="16"/>
    <n v="3"/>
    <n v="5661"/>
    <n v="16983"/>
    <n v="0"/>
    <x v="1"/>
    <x v="1"/>
    <x v="1"/>
    <x v="1"/>
  </r>
  <r>
    <n v="1924"/>
    <s v="C0639"/>
    <x v="94"/>
    <s v="25 days"/>
    <x v="288"/>
    <x v="174"/>
    <s v="4 days"/>
    <x v="3"/>
    <s v="New"/>
    <s v="Deluxe"/>
    <n v="25"/>
    <n v="4"/>
    <n v="7048"/>
    <n v="28192"/>
    <n v="28192"/>
    <x v="0"/>
    <x v="0"/>
    <x v="0"/>
    <x v="1"/>
  </r>
  <r>
    <n v="1925"/>
    <s v="C0056"/>
    <x v="333"/>
    <s v="54 days"/>
    <x v="326"/>
    <x v="138"/>
    <s v="3 days"/>
    <x v="1"/>
    <s v="Returning"/>
    <s v="Suite"/>
    <n v="54"/>
    <n v="3"/>
    <n v="6655"/>
    <n v="19965"/>
    <n v="0"/>
    <x v="0"/>
    <x v="1"/>
    <x v="1"/>
    <x v="1"/>
  </r>
  <r>
    <n v="1926"/>
    <s v="C0726"/>
    <x v="230"/>
    <s v="28 days"/>
    <x v="146"/>
    <x v="116"/>
    <s v="1 days"/>
    <x v="3"/>
    <s v="Returning"/>
    <s v="Standard"/>
    <n v="28"/>
    <n v="1"/>
    <n v="3027"/>
    <n v="3027"/>
    <n v="0"/>
    <x v="0"/>
    <x v="1"/>
    <x v="1"/>
    <x v="1"/>
  </r>
  <r>
    <n v="1927"/>
    <s v="C0526"/>
    <x v="72"/>
    <s v="9 days"/>
    <x v="37"/>
    <x v="169"/>
    <s v="4 days"/>
    <x v="3"/>
    <s v="New"/>
    <s v="Deluxe"/>
    <n v="9"/>
    <n v="4"/>
    <n v="5798"/>
    <n v="23192"/>
    <n v="0"/>
    <x v="0"/>
    <x v="1"/>
    <x v="1"/>
    <x v="1"/>
  </r>
  <r>
    <n v="1928"/>
    <s v="C0474"/>
    <x v="276"/>
    <s v="56 days"/>
    <x v="351"/>
    <x v="348"/>
    <s v="1 days"/>
    <x v="3"/>
    <s v="New"/>
    <s v="Suite"/>
    <n v="56"/>
    <n v="1"/>
    <n v="3523"/>
    <n v="3523"/>
    <n v="0"/>
    <x v="0"/>
    <x v="1"/>
    <x v="1"/>
    <x v="0"/>
  </r>
  <r>
    <n v="1929"/>
    <s v="C0028"/>
    <x v="43"/>
    <s v="56 days"/>
    <x v="114"/>
    <x v="212"/>
    <s v="4 days"/>
    <x v="1"/>
    <s v="New"/>
    <s v="Deluxe"/>
    <n v="56"/>
    <n v="4"/>
    <n v="8160"/>
    <n v="32640"/>
    <n v="0"/>
    <x v="0"/>
    <x v="1"/>
    <x v="1"/>
    <x v="0"/>
  </r>
  <r>
    <n v="1930"/>
    <s v="C0078"/>
    <x v="0"/>
    <s v="1 days"/>
    <x v="93"/>
    <x v="315"/>
    <s v="3 days"/>
    <x v="4"/>
    <s v="New"/>
    <s v="Standard"/>
    <n v="1"/>
    <n v="3"/>
    <n v="6234"/>
    <n v="18702"/>
    <n v="18702"/>
    <x v="0"/>
    <x v="0"/>
    <x v="0"/>
    <x v="0"/>
  </r>
  <r>
    <n v="1931"/>
    <s v="C1240"/>
    <x v="99"/>
    <s v="29 days"/>
    <x v="192"/>
    <x v="61"/>
    <s v="1 days"/>
    <x v="1"/>
    <s v="New"/>
    <s v="Suite"/>
    <n v="29"/>
    <n v="1"/>
    <n v="7698"/>
    <n v="7698"/>
    <n v="7698"/>
    <x v="0"/>
    <x v="0"/>
    <x v="0"/>
    <x v="1"/>
  </r>
  <r>
    <n v="1932"/>
    <s v="C1410"/>
    <x v="66"/>
    <s v="57 days"/>
    <x v="102"/>
    <x v="345"/>
    <s v="3 days"/>
    <x v="4"/>
    <s v="Returning"/>
    <s v="Standard"/>
    <n v="57"/>
    <n v="3"/>
    <n v="2932"/>
    <n v="8796"/>
    <n v="0"/>
    <x v="0"/>
    <x v="1"/>
    <x v="1"/>
    <x v="0"/>
  </r>
  <r>
    <n v="1933"/>
    <s v="C0365"/>
    <x v="33"/>
    <s v="22 days"/>
    <x v="59"/>
    <x v="344"/>
    <s v="4 days"/>
    <x v="2"/>
    <s v="Returning"/>
    <s v="Standard"/>
    <n v="22"/>
    <n v="4"/>
    <n v="3676"/>
    <n v="14704"/>
    <n v="14704"/>
    <x v="1"/>
    <x v="0"/>
    <x v="0"/>
    <x v="0"/>
  </r>
  <r>
    <n v="1934"/>
    <s v="C0666"/>
    <x v="290"/>
    <s v="16 days"/>
    <x v="247"/>
    <x v="43"/>
    <s v="3 days"/>
    <x v="2"/>
    <s v="New"/>
    <s v="Deluxe"/>
    <n v="16"/>
    <n v="3"/>
    <n v="2900"/>
    <n v="8700"/>
    <n v="8700"/>
    <x v="0"/>
    <x v="0"/>
    <x v="0"/>
    <x v="0"/>
  </r>
  <r>
    <n v="1935"/>
    <s v="C0526"/>
    <x v="334"/>
    <s v="41 days"/>
    <x v="76"/>
    <x v="31"/>
    <s v="1 days"/>
    <x v="1"/>
    <s v="Returning"/>
    <s v="Deluxe"/>
    <n v="41"/>
    <n v="1"/>
    <n v="4604"/>
    <n v="4604"/>
    <n v="4604"/>
    <x v="0"/>
    <x v="0"/>
    <x v="0"/>
    <x v="0"/>
  </r>
  <r>
    <n v="1936"/>
    <s v="C0699"/>
    <x v="335"/>
    <s v="51 days"/>
    <x v="352"/>
    <x v="352"/>
    <s v="1 days"/>
    <x v="4"/>
    <s v="Returning"/>
    <s v="Deluxe"/>
    <n v="51"/>
    <n v="1"/>
    <n v="5550"/>
    <n v="5550"/>
    <n v="0"/>
    <x v="0"/>
    <x v="1"/>
    <x v="1"/>
    <x v="1"/>
  </r>
  <r>
    <n v="1937"/>
    <s v="C1336"/>
    <x v="14"/>
    <s v="44 days"/>
    <x v="353"/>
    <x v="72"/>
    <s v="3 days"/>
    <x v="4"/>
    <s v="New"/>
    <s v="Suite"/>
    <n v="44"/>
    <n v="3"/>
    <n v="4733"/>
    <n v="14199"/>
    <n v="0"/>
    <x v="0"/>
    <x v="1"/>
    <x v="1"/>
    <x v="0"/>
  </r>
  <r>
    <n v="1938"/>
    <s v="C0883"/>
    <x v="231"/>
    <s v="51 days"/>
    <x v="354"/>
    <x v="85"/>
    <s v="2 days"/>
    <x v="4"/>
    <s v="New"/>
    <s v="Suite"/>
    <n v="51"/>
    <n v="2"/>
    <n v="4945"/>
    <n v="9890"/>
    <n v="0"/>
    <x v="0"/>
    <x v="1"/>
    <x v="1"/>
    <x v="1"/>
  </r>
  <r>
    <n v="1939"/>
    <s v="C1031"/>
    <x v="100"/>
    <s v="54 days"/>
    <x v="300"/>
    <x v="333"/>
    <s v="4 days"/>
    <x v="2"/>
    <s v="New"/>
    <s v="Deluxe"/>
    <n v="54"/>
    <n v="4"/>
    <n v="7200"/>
    <n v="28800"/>
    <n v="0"/>
    <x v="1"/>
    <x v="1"/>
    <x v="1"/>
    <x v="1"/>
  </r>
  <r>
    <n v="1940"/>
    <s v="C1027"/>
    <x v="261"/>
    <s v="41 days"/>
    <x v="153"/>
    <x v="230"/>
    <s v="4 days"/>
    <x v="1"/>
    <s v="Returning"/>
    <s v="Suite"/>
    <n v="41"/>
    <n v="4"/>
    <n v="5335"/>
    <n v="21340"/>
    <n v="0"/>
    <x v="1"/>
    <x v="1"/>
    <x v="1"/>
    <x v="0"/>
  </r>
  <r>
    <n v="1941"/>
    <s v="C0919"/>
    <x v="230"/>
    <s v="7 days"/>
    <x v="187"/>
    <x v="160"/>
    <s v="3 days"/>
    <x v="0"/>
    <s v="New"/>
    <s v="Suite"/>
    <n v="7"/>
    <n v="3"/>
    <n v="8801"/>
    <n v="26403"/>
    <n v="26403"/>
    <x v="1"/>
    <x v="0"/>
    <x v="0"/>
    <x v="1"/>
  </r>
  <r>
    <n v="1942"/>
    <s v="C0750"/>
    <x v="336"/>
    <s v="14 days"/>
    <x v="109"/>
    <x v="292"/>
    <s v="2 days"/>
    <x v="4"/>
    <s v="Returning"/>
    <s v="Deluxe"/>
    <n v="14"/>
    <n v="2"/>
    <n v="8406"/>
    <n v="16812"/>
    <n v="0"/>
    <x v="1"/>
    <x v="1"/>
    <x v="1"/>
    <x v="1"/>
  </r>
  <r>
    <n v="1943"/>
    <s v="C0363"/>
    <x v="216"/>
    <s v="29 days"/>
    <x v="289"/>
    <x v="199"/>
    <s v="1 days"/>
    <x v="4"/>
    <s v="Returning"/>
    <s v="Standard"/>
    <n v="29"/>
    <n v="1"/>
    <n v="8059"/>
    <n v="8059"/>
    <n v="8059"/>
    <x v="0"/>
    <x v="0"/>
    <x v="0"/>
    <x v="1"/>
  </r>
  <r>
    <n v="1944"/>
    <s v="C1298"/>
    <x v="250"/>
    <s v="19 days"/>
    <x v="304"/>
    <x v="353"/>
    <s v="5 days"/>
    <x v="0"/>
    <s v="Returning"/>
    <s v="Suite"/>
    <n v="19"/>
    <n v="5"/>
    <n v="5013"/>
    <n v="25065"/>
    <n v="0"/>
    <x v="0"/>
    <x v="1"/>
    <x v="1"/>
    <x v="1"/>
  </r>
  <r>
    <n v="1945"/>
    <s v="C0806"/>
    <x v="178"/>
    <s v="19 days"/>
    <x v="355"/>
    <x v="354"/>
    <s v="5 days"/>
    <x v="1"/>
    <s v="Returning"/>
    <s v="Suite"/>
    <n v="19"/>
    <n v="5"/>
    <n v="4273"/>
    <n v="21365"/>
    <n v="0"/>
    <x v="0"/>
    <x v="1"/>
    <x v="1"/>
    <x v="1"/>
  </r>
  <r>
    <n v="1946"/>
    <s v="C0739"/>
    <x v="301"/>
    <s v="2 days"/>
    <x v="141"/>
    <x v="355"/>
    <s v="3 days"/>
    <x v="4"/>
    <s v="New"/>
    <s v="Standard"/>
    <n v="2"/>
    <n v="3"/>
    <n v="8149"/>
    <n v="24447"/>
    <n v="24447"/>
    <x v="1"/>
    <x v="0"/>
    <x v="0"/>
    <x v="1"/>
  </r>
  <r>
    <n v="1947"/>
    <s v="C1039"/>
    <x v="155"/>
    <s v="41 days"/>
    <x v="356"/>
    <x v="40"/>
    <s v="2 days"/>
    <x v="1"/>
    <s v="Returning"/>
    <s v="Standard"/>
    <n v="41"/>
    <n v="2"/>
    <n v="3596"/>
    <n v="7192"/>
    <n v="0"/>
    <x v="1"/>
    <x v="1"/>
    <x v="1"/>
    <x v="1"/>
  </r>
  <r>
    <n v="1948"/>
    <s v="C1216"/>
    <x v="157"/>
    <s v="45 days"/>
    <x v="89"/>
    <x v="174"/>
    <s v="2 days"/>
    <x v="4"/>
    <s v="New"/>
    <s v="Standard"/>
    <n v="45"/>
    <n v="2"/>
    <n v="3428"/>
    <n v="6856"/>
    <n v="0"/>
    <x v="1"/>
    <x v="1"/>
    <x v="1"/>
    <x v="0"/>
  </r>
  <r>
    <n v="1949"/>
    <s v="C0485"/>
    <x v="168"/>
    <s v="15 days"/>
    <x v="145"/>
    <x v="186"/>
    <s v="4 days"/>
    <x v="3"/>
    <s v="Returning"/>
    <s v="Deluxe"/>
    <n v="15"/>
    <n v="4"/>
    <n v="4451"/>
    <n v="17804"/>
    <n v="0"/>
    <x v="1"/>
    <x v="1"/>
    <x v="1"/>
    <x v="0"/>
  </r>
  <r>
    <n v="1950"/>
    <s v="C0028"/>
    <x v="127"/>
    <s v="3 days"/>
    <x v="232"/>
    <x v="108"/>
    <s v="1 days"/>
    <x v="4"/>
    <s v="New"/>
    <s v="Standard"/>
    <n v="3"/>
    <n v="1"/>
    <n v="4473"/>
    <n v="4473"/>
    <n v="4473"/>
    <x v="0"/>
    <x v="0"/>
    <x v="0"/>
    <x v="1"/>
  </r>
  <r>
    <n v="1951"/>
    <s v="C0714"/>
    <x v="62"/>
    <s v="11 days"/>
    <x v="260"/>
    <x v="73"/>
    <s v="2 days"/>
    <x v="3"/>
    <s v="New"/>
    <s v="Deluxe"/>
    <n v="11"/>
    <n v="2"/>
    <n v="8660"/>
    <n v="17320"/>
    <n v="17320"/>
    <x v="0"/>
    <x v="0"/>
    <x v="0"/>
    <x v="1"/>
  </r>
  <r>
    <n v="1952"/>
    <s v="C1063"/>
    <x v="69"/>
    <s v="53 days"/>
    <x v="272"/>
    <x v="233"/>
    <s v="5 days"/>
    <x v="1"/>
    <s v="New"/>
    <s v="Standard"/>
    <n v="53"/>
    <n v="5"/>
    <n v="4054"/>
    <n v="20270"/>
    <n v="0"/>
    <x v="1"/>
    <x v="1"/>
    <x v="1"/>
    <x v="0"/>
  </r>
  <r>
    <n v="1953"/>
    <s v="C1297"/>
    <x v="288"/>
    <s v="46 days"/>
    <x v="338"/>
    <x v="212"/>
    <s v="1 days"/>
    <x v="4"/>
    <s v="Returning"/>
    <s v="Standard"/>
    <n v="46"/>
    <n v="1"/>
    <n v="5278"/>
    <n v="5278"/>
    <n v="0"/>
    <x v="0"/>
    <x v="1"/>
    <x v="1"/>
    <x v="0"/>
  </r>
  <r>
    <n v="1954"/>
    <s v="C1255"/>
    <x v="14"/>
    <s v="30 days"/>
    <x v="237"/>
    <x v="230"/>
    <s v="1 days"/>
    <x v="2"/>
    <s v="Returning"/>
    <s v="Deluxe"/>
    <n v="30"/>
    <n v="1"/>
    <n v="6921"/>
    <n v="6921"/>
    <n v="6921"/>
    <x v="1"/>
    <x v="0"/>
    <x v="0"/>
    <x v="0"/>
  </r>
  <r>
    <n v="1955"/>
    <s v="C0086"/>
    <x v="147"/>
    <s v="57 days"/>
    <x v="62"/>
    <x v="320"/>
    <s v="3 days"/>
    <x v="2"/>
    <s v="Returning"/>
    <s v="Deluxe"/>
    <n v="57"/>
    <n v="3"/>
    <n v="3494"/>
    <n v="10482"/>
    <n v="0"/>
    <x v="1"/>
    <x v="1"/>
    <x v="1"/>
    <x v="0"/>
  </r>
  <r>
    <n v="1956"/>
    <s v="C1498"/>
    <x v="130"/>
    <s v="40 days"/>
    <x v="48"/>
    <x v="48"/>
    <s v="2 days"/>
    <x v="0"/>
    <s v="New"/>
    <s v="Standard"/>
    <n v="40"/>
    <n v="2"/>
    <n v="3112"/>
    <n v="6224"/>
    <n v="0"/>
    <x v="1"/>
    <x v="1"/>
    <x v="1"/>
    <x v="1"/>
  </r>
  <r>
    <n v="1957"/>
    <s v="C0126"/>
    <x v="10"/>
    <s v="18 days"/>
    <x v="54"/>
    <x v="265"/>
    <s v="3 days"/>
    <x v="2"/>
    <s v="Returning"/>
    <s v="Standard"/>
    <n v="18"/>
    <n v="3"/>
    <n v="5093"/>
    <n v="15279"/>
    <n v="0"/>
    <x v="1"/>
    <x v="1"/>
    <x v="1"/>
    <x v="1"/>
  </r>
  <r>
    <n v="1958"/>
    <s v="C0812"/>
    <x v="21"/>
    <s v="51 days"/>
    <x v="314"/>
    <x v="206"/>
    <s v="2 days"/>
    <x v="3"/>
    <s v="Returning"/>
    <s v="Standard"/>
    <n v="51"/>
    <n v="2"/>
    <n v="3095"/>
    <n v="6190"/>
    <n v="0"/>
    <x v="0"/>
    <x v="1"/>
    <x v="1"/>
    <x v="0"/>
  </r>
  <r>
    <n v="1959"/>
    <s v="C0537"/>
    <x v="117"/>
    <s v="48 days"/>
    <x v="11"/>
    <x v="11"/>
    <s v="4 days"/>
    <x v="2"/>
    <s v="Returning"/>
    <s v="Suite"/>
    <n v="48"/>
    <n v="4"/>
    <n v="7516"/>
    <n v="30064"/>
    <n v="0"/>
    <x v="0"/>
    <x v="1"/>
    <x v="1"/>
    <x v="0"/>
  </r>
  <r>
    <n v="1960"/>
    <s v="C0145"/>
    <x v="70"/>
    <s v="2 days"/>
    <x v="195"/>
    <x v="64"/>
    <s v="3 days"/>
    <x v="2"/>
    <s v="New"/>
    <s v="Standard"/>
    <n v="2"/>
    <n v="3"/>
    <n v="3341"/>
    <n v="10023"/>
    <n v="10023"/>
    <x v="1"/>
    <x v="0"/>
    <x v="0"/>
    <x v="0"/>
  </r>
  <r>
    <n v="1961"/>
    <s v="C1236"/>
    <x v="37"/>
    <s v="32 days"/>
    <x v="306"/>
    <x v="356"/>
    <s v="3 days"/>
    <x v="2"/>
    <s v="Returning"/>
    <s v="Deluxe"/>
    <n v="32"/>
    <n v="3"/>
    <n v="7821"/>
    <n v="23463"/>
    <n v="23463"/>
    <x v="1"/>
    <x v="0"/>
    <x v="0"/>
    <x v="0"/>
  </r>
  <r>
    <n v="1962"/>
    <s v="C0025"/>
    <x v="107"/>
    <s v="8 days"/>
    <x v="2"/>
    <x v="151"/>
    <s v="5 days"/>
    <x v="4"/>
    <s v="Returning"/>
    <s v="Suite"/>
    <n v="8"/>
    <n v="5"/>
    <n v="6939"/>
    <n v="34695"/>
    <n v="0"/>
    <x v="0"/>
    <x v="1"/>
    <x v="1"/>
    <x v="1"/>
  </r>
  <r>
    <n v="1963"/>
    <s v="C1418"/>
    <x v="85"/>
    <s v="22 days"/>
    <x v="242"/>
    <x v="40"/>
    <s v="3 days"/>
    <x v="0"/>
    <s v="New"/>
    <s v="Deluxe"/>
    <n v="22"/>
    <n v="3"/>
    <n v="8472"/>
    <n v="25416"/>
    <n v="0"/>
    <x v="0"/>
    <x v="1"/>
    <x v="1"/>
    <x v="0"/>
  </r>
  <r>
    <n v="1964"/>
    <s v="C0067"/>
    <x v="100"/>
    <s v="6 days"/>
    <x v="356"/>
    <x v="40"/>
    <s v="2 days"/>
    <x v="1"/>
    <s v="New"/>
    <s v="Suite"/>
    <n v="6"/>
    <n v="2"/>
    <n v="3358"/>
    <n v="6716"/>
    <n v="6716"/>
    <x v="1"/>
    <x v="0"/>
    <x v="0"/>
    <x v="0"/>
  </r>
  <r>
    <n v="1965"/>
    <s v="C0233"/>
    <x v="166"/>
    <s v="12 days"/>
    <x v="209"/>
    <x v="139"/>
    <s v="5 days"/>
    <x v="0"/>
    <s v="New"/>
    <s v="Suite"/>
    <n v="12"/>
    <n v="5"/>
    <n v="8019"/>
    <n v="40095"/>
    <n v="40095"/>
    <x v="1"/>
    <x v="0"/>
    <x v="0"/>
    <x v="0"/>
  </r>
  <r>
    <n v="1966"/>
    <s v="C0109"/>
    <x v="231"/>
    <s v="47 days"/>
    <x v="223"/>
    <x v="174"/>
    <s v="3 days"/>
    <x v="3"/>
    <s v="New"/>
    <s v="Deluxe"/>
    <n v="47"/>
    <n v="3"/>
    <n v="2944"/>
    <n v="8832"/>
    <n v="0"/>
    <x v="1"/>
    <x v="1"/>
    <x v="1"/>
    <x v="1"/>
  </r>
  <r>
    <n v="1967"/>
    <s v="C1170"/>
    <x v="337"/>
    <s v="57 days"/>
    <x v="342"/>
    <x v="357"/>
    <s v="3 days"/>
    <x v="4"/>
    <s v="New"/>
    <s v="Suite"/>
    <n v="57"/>
    <n v="3"/>
    <n v="4288"/>
    <n v="12864"/>
    <n v="0"/>
    <x v="1"/>
    <x v="1"/>
    <x v="1"/>
    <x v="1"/>
  </r>
  <r>
    <n v="1968"/>
    <s v="C0111"/>
    <x v="113"/>
    <s v="40 days"/>
    <x v="357"/>
    <x v="144"/>
    <s v="4 days"/>
    <x v="4"/>
    <s v="New"/>
    <s v="Deluxe"/>
    <n v="40"/>
    <n v="4"/>
    <n v="6817"/>
    <n v="27268"/>
    <n v="0"/>
    <x v="1"/>
    <x v="1"/>
    <x v="1"/>
    <x v="1"/>
  </r>
  <r>
    <n v="1969"/>
    <s v="C0228"/>
    <x v="125"/>
    <s v="36 days"/>
    <x v="358"/>
    <x v="263"/>
    <s v="3 days"/>
    <x v="2"/>
    <s v="Returning"/>
    <s v="Standard"/>
    <n v="36"/>
    <n v="3"/>
    <n v="5954"/>
    <n v="17862"/>
    <n v="0"/>
    <x v="0"/>
    <x v="1"/>
    <x v="1"/>
    <x v="0"/>
  </r>
  <r>
    <n v="1970"/>
    <s v="C0111"/>
    <x v="338"/>
    <s v="15 days"/>
    <x v="359"/>
    <x v="221"/>
    <s v="1 days"/>
    <x v="2"/>
    <s v="Returning"/>
    <s v="Suite"/>
    <n v="15"/>
    <n v="1"/>
    <n v="6452"/>
    <n v="6452"/>
    <n v="0"/>
    <x v="0"/>
    <x v="1"/>
    <x v="1"/>
    <x v="0"/>
  </r>
  <r>
    <n v="1971"/>
    <s v="C1494"/>
    <x v="204"/>
    <s v="28 days"/>
    <x v="302"/>
    <x v="235"/>
    <s v="5 days"/>
    <x v="3"/>
    <s v="New"/>
    <s v="Deluxe"/>
    <n v="28"/>
    <n v="5"/>
    <n v="7187"/>
    <n v="35935"/>
    <n v="0"/>
    <x v="1"/>
    <x v="1"/>
    <x v="1"/>
    <x v="0"/>
  </r>
  <r>
    <n v="1972"/>
    <s v="C0034"/>
    <x v="330"/>
    <s v="52 days"/>
    <x v="257"/>
    <x v="210"/>
    <s v="1 days"/>
    <x v="4"/>
    <s v="Returning"/>
    <s v="Suite"/>
    <n v="52"/>
    <n v="1"/>
    <n v="3530"/>
    <n v="3530"/>
    <n v="0"/>
    <x v="1"/>
    <x v="1"/>
    <x v="1"/>
    <x v="1"/>
  </r>
  <r>
    <n v="1973"/>
    <s v="C0623"/>
    <x v="330"/>
    <s v="57 days"/>
    <x v="189"/>
    <x v="192"/>
    <s v="5 days"/>
    <x v="1"/>
    <s v="New"/>
    <s v="Deluxe"/>
    <n v="57"/>
    <n v="5"/>
    <n v="3795"/>
    <n v="18975"/>
    <n v="0"/>
    <x v="1"/>
    <x v="1"/>
    <x v="1"/>
    <x v="1"/>
  </r>
  <r>
    <n v="1974"/>
    <s v="C1393"/>
    <x v="240"/>
    <s v="49 days"/>
    <x v="201"/>
    <x v="314"/>
    <s v="4 days"/>
    <x v="0"/>
    <s v="Returning"/>
    <s v="Standard"/>
    <n v="49"/>
    <n v="4"/>
    <n v="7613"/>
    <n v="30452"/>
    <n v="0"/>
    <x v="1"/>
    <x v="1"/>
    <x v="1"/>
    <x v="0"/>
  </r>
  <r>
    <n v="1975"/>
    <s v="C0748"/>
    <x v="38"/>
    <s v="45 days"/>
    <x v="122"/>
    <x v="335"/>
    <s v="3 days"/>
    <x v="4"/>
    <s v="New"/>
    <s v="Standard"/>
    <n v="45"/>
    <n v="3"/>
    <n v="4563"/>
    <n v="13689"/>
    <n v="0"/>
    <x v="0"/>
    <x v="1"/>
    <x v="1"/>
    <x v="0"/>
  </r>
  <r>
    <n v="1976"/>
    <s v="C0595"/>
    <x v="172"/>
    <s v="18 days"/>
    <x v="244"/>
    <x v="242"/>
    <s v="3 days"/>
    <x v="1"/>
    <s v="New"/>
    <s v="Suite"/>
    <n v="18"/>
    <n v="3"/>
    <n v="3947"/>
    <n v="11841"/>
    <n v="11841"/>
    <x v="0"/>
    <x v="0"/>
    <x v="0"/>
    <x v="1"/>
  </r>
  <r>
    <n v="1977"/>
    <s v="C0425"/>
    <x v="136"/>
    <s v="2 days"/>
    <x v="110"/>
    <x v="109"/>
    <s v="3 days"/>
    <x v="1"/>
    <s v="Returning"/>
    <s v="Suite"/>
    <n v="2"/>
    <n v="3"/>
    <n v="4545"/>
    <n v="13635"/>
    <n v="0"/>
    <x v="1"/>
    <x v="1"/>
    <x v="1"/>
    <x v="0"/>
  </r>
  <r>
    <n v="1978"/>
    <s v="C0613"/>
    <x v="113"/>
    <s v="13 days"/>
    <x v="130"/>
    <x v="126"/>
    <s v="5 days"/>
    <x v="0"/>
    <s v="Returning"/>
    <s v="Deluxe"/>
    <n v="13"/>
    <n v="5"/>
    <n v="7119"/>
    <n v="35595"/>
    <n v="35595"/>
    <x v="0"/>
    <x v="0"/>
    <x v="0"/>
    <x v="0"/>
  </r>
  <r>
    <n v="1979"/>
    <s v="C0692"/>
    <x v="339"/>
    <s v="45 days"/>
    <x v="355"/>
    <x v="217"/>
    <s v="3 days"/>
    <x v="1"/>
    <s v="Returning"/>
    <s v="Deluxe"/>
    <n v="45"/>
    <n v="3"/>
    <n v="5350"/>
    <n v="16050"/>
    <n v="0"/>
    <x v="1"/>
    <x v="1"/>
    <x v="1"/>
    <x v="0"/>
  </r>
  <r>
    <n v="1980"/>
    <s v="C1306"/>
    <x v="297"/>
    <s v="54 days"/>
    <x v="273"/>
    <x v="185"/>
    <s v="1 days"/>
    <x v="3"/>
    <s v="Returning"/>
    <s v="Suite"/>
    <n v="54"/>
    <n v="1"/>
    <n v="6324"/>
    <n v="6324"/>
    <n v="0"/>
    <x v="1"/>
    <x v="1"/>
    <x v="1"/>
    <x v="1"/>
  </r>
  <r>
    <n v="1981"/>
    <s v="C1344"/>
    <x v="143"/>
    <s v="15 days"/>
    <x v="257"/>
    <x v="338"/>
    <s v="3 days"/>
    <x v="1"/>
    <s v="Returning"/>
    <s v="Deluxe"/>
    <n v="15"/>
    <n v="3"/>
    <n v="4568"/>
    <n v="13704"/>
    <n v="0"/>
    <x v="0"/>
    <x v="1"/>
    <x v="1"/>
    <x v="0"/>
  </r>
  <r>
    <n v="1982"/>
    <s v="C1467"/>
    <x v="82"/>
    <s v="20 days"/>
    <x v="272"/>
    <x v="358"/>
    <s v="4 days"/>
    <x v="3"/>
    <s v="Returning"/>
    <s v="Deluxe"/>
    <n v="20"/>
    <n v="4"/>
    <n v="6261"/>
    <n v="25044"/>
    <n v="0"/>
    <x v="1"/>
    <x v="1"/>
    <x v="1"/>
    <x v="0"/>
  </r>
  <r>
    <n v="1983"/>
    <s v="C0315"/>
    <x v="143"/>
    <s v="29 days"/>
    <x v="224"/>
    <x v="240"/>
    <s v="1 days"/>
    <x v="1"/>
    <s v="Returning"/>
    <s v="Deluxe"/>
    <n v="29"/>
    <n v="1"/>
    <n v="4775"/>
    <n v="4775"/>
    <n v="0"/>
    <x v="0"/>
    <x v="1"/>
    <x v="1"/>
    <x v="0"/>
  </r>
  <r>
    <n v="1984"/>
    <s v="C0877"/>
    <x v="156"/>
    <s v="59 days"/>
    <x v="286"/>
    <x v="359"/>
    <s v="3 days"/>
    <x v="2"/>
    <s v="Returning"/>
    <s v="Suite"/>
    <n v="59"/>
    <n v="3"/>
    <n v="4308"/>
    <n v="12924"/>
    <n v="0"/>
    <x v="1"/>
    <x v="1"/>
    <x v="1"/>
    <x v="0"/>
  </r>
  <r>
    <n v="1985"/>
    <s v="C1401"/>
    <x v="162"/>
    <s v="42 days"/>
    <x v="186"/>
    <x v="179"/>
    <s v="3 days"/>
    <x v="1"/>
    <s v="New"/>
    <s v="Standard"/>
    <n v="42"/>
    <n v="3"/>
    <n v="3811"/>
    <n v="11433"/>
    <n v="0"/>
    <x v="1"/>
    <x v="1"/>
    <x v="1"/>
    <x v="1"/>
  </r>
  <r>
    <n v="1986"/>
    <s v="C1313"/>
    <x v="107"/>
    <s v="29 days"/>
    <x v="97"/>
    <x v="360"/>
    <s v="2 days"/>
    <x v="3"/>
    <s v="Returning"/>
    <s v="Standard"/>
    <n v="29"/>
    <n v="2"/>
    <n v="6555"/>
    <n v="13110"/>
    <n v="13110"/>
    <x v="1"/>
    <x v="0"/>
    <x v="0"/>
    <x v="1"/>
  </r>
  <r>
    <n v="1987"/>
    <s v="C1461"/>
    <x v="112"/>
    <s v="3 days"/>
    <x v="360"/>
    <x v="74"/>
    <s v="5 days"/>
    <x v="1"/>
    <s v="Returning"/>
    <s v="Deluxe"/>
    <n v="3"/>
    <n v="5"/>
    <n v="7902"/>
    <n v="39510"/>
    <n v="39510"/>
    <x v="1"/>
    <x v="0"/>
    <x v="0"/>
    <x v="1"/>
  </r>
  <r>
    <n v="1988"/>
    <s v="C0662"/>
    <x v="25"/>
    <s v="19 days"/>
    <x v="307"/>
    <x v="361"/>
    <s v="1 days"/>
    <x v="1"/>
    <s v="New"/>
    <s v="Suite"/>
    <n v="19"/>
    <n v="1"/>
    <n v="4951"/>
    <n v="4951"/>
    <n v="0"/>
    <x v="0"/>
    <x v="1"/>
    <x v="1"/>
    <x v="0"/>
  </r>
  <r>
    <n v="1989"/>
    <s v="C0277"/>
    <x v="316"/>
    <s v="3 days"/>
    <x v="17"/>
    <x v="226"/>
    <s v="2 days"/>
    <x v="1"/>
    <s v="New"/>
    <s v="Deluxe"/>
    <n v="3"/>
    <n v="2"/>
    <n v="3589"/>
    <n v="7178"/>
    <n v="7178"/>
    <x v="1"/>
    <x v="0"/>
    <x v="0"/>
    <x v="1"/>
  </r>
  <r>
    <n v="1990"/>
    <s v="C0624"/>
    <x v="292"/>
    <s v="54 days"/>
    <x v="221"/>
    <x v="141"/>
    <s v="4 days"/>
    <x v="3"/>
    <s v="New"/>
    <s v="Standard"/>
    <n v="54"/>
    <n v="4"/>
    <n v="4172"/>
    <n v="16688"/>
    <n v="0"/>
    <x v="0"/>
    <x v="1"/>
    <x v="1"/>
    <x v="0"/>
  </r>
  <r>
    <n v="1991"/>
    <s v="C0516"/>
    <x v="324"/>
    <s v="14 days"/>
    <x v="273"/>
    <x v="335"/>
    <s v="5 days"/>
    <x v="1"/>
    <s v="New"/>
    <s v="Deluxe"/>
    <n v="14"/>
    <n v="5"/>
    <n v="6175"/>
    <n v="30875"/>
    <n v="30875"/>
    <x v="0"/>
    <x v="0"/>
    <x v="0"/>
    <x v="1"/>
  </r>
  <r>
    <n v="1992"/>
    <s v="C1374"/>
    <x v="1"/>
    <s v="40 days"/>
    <x v="59"/>
    <x v="309"/>
    <s v="1 days"/>
    <x v="0"/>
    <s v="Returning"/>
    <s v="Standard"/>
    <n v="40"/>
    <n v="1"/>
    <n v="7032"/>
    <n v="7032"/>
    <n v="0"/>
    <x v="1"/>
    <x v="1"/>
    <x v="1"/>
    <x v="0"/>
  </r>
  <r>
    <n v="1993"/>
    <s v="C0843"/>
    <x v="162"/>
    <s v="59 days"/>
    <x v="185"/>
    <x v="132"/>
    <s v="3 days"/>
    <x v="0"/>
    <s v="Returning"/>
    <s v="Suite"/>
    <n v="59"/>
    <n v="3"/>
    <n v="7424"/>
    <n v="22272"/>
    <n v="0"/>
    <x v="0"/>
    <x v="1"/>
    <x v="1"/>
    <x v="1"/>
  </r>
  <r>
    <n v="1994"/>
    <s v="C1470"/>
    <x v="143"/>
    <s v="55 days"/>
    <x v="112"/>
    <x v="60"/>
    <s v="1 days"/>
    <x v="3"/>
    <s v="New"/>
    <s v="Deluxe"/>
    <n v="55"/>
    <n v="1"/>
    <n v="6854"/>
    <n v="6854"/>
    <n v="0"/>
    <x v="1"/>
    <x v="1"/>
    <x v="1"/>
    <x v="1"/>
  </r>
  <r>
    <n v="1995"/>
    <s v="C0350"/>
    <x v="186"/>
    <s v="4 days"/>
    <x v="18"/>
    <x v="29"/>
    <s v="3 days"/>
    <x v="2"/>
    <s v="New"/>
    <s v="Suite"/>
    <n v="4"/>
    <n v="3"/>
    <n v="4503"/>
    <n v="13509"/>
    <n v="13509"/>
    <x v="0"/>
    <x v="0"/>
    <x v="0"/>
    <x v="1"/>
  </r>
  <r>
    <n v="1996"/>
    <s v="C0823"/>
    <x v="8"/>
    <s v="59 days"/>
    <x v="356"/>
    <x v="175"/>
    <s v="5 days"/>
    <x v="0"/>
    <s v="Returning"/>
    <s v="Deluxe"/>
    <n v="59"/>
    <n v="5"/>
    <n v="8585"/>
    <n v="42925"/>
    <n v="0"/>
    <x v="0"/>
    <x v="1"/>
    <x v="1"/>
    <x v="0"/>
  </r>
  <r>
    <n v="1997"/>
    <s v="C1161"/>
    <x v="211"/>
    <s v="52 days"/>
    <x v="240"/>
    <x v="358"/>
    <s v="3 days"/>
    <x v="4"/>
    <s v="Returning"/>
    <s v="Deluxe"/>
    <n v="52"/>
    <n v="3"/>
    <n v="6698"/>
    <n v="20094"/>
    <n v="0"/>
    <x v="1"/>
    <x v="1"/>
    <x v="1"/>
    <x v="0"/>
  </r>
  <r>
    <n v="1998"/>
    <s v="C0759"/>
    <x v="113"/>
    <s v="11 days"/>
    <x v="268"/>
    <x v="362"/>
    <s v="4 days"/>
    <x v="0"/>
    <s v="Returning"/>
    <s v="Deluxe"/>
    <n v="11"/>
    <n v="4"/>
    <n v="7588"/>
    <n v="30352"/>
    <n v="0"/>
    <x v="1"/>
    <x v="1"/>
    <x v="1"/>
    <x v="0"/>
  </r>
  <r>
    <n v="1999"/>
    <s v="C0899"/>
    <x v="122"/>
    <s v="58 days"/>
    <x v="167"/>
    <x v="152"/>
    <s v="3 days"/>
    <x v="4"/>
    <s v="Returning"/>
    <s v="Deluxe"/>
    <n v="58"/>
    <n v="3"/>
    <n v="7364"/>
    <n v="22092"/>
    <n v="0"/>
    <x v="0"/>
    <x v="1"/>
    <x v="1"/>
    <x v="1"/>
  </r>
  <r>
    <n v="2000"/>
    <s v="C0243"/>
    <x v="152"/>
    <s v="31 days"/>
    <x v="151"/>
    <x v="198"/>
    <s v="4 days"/>
    <x v="3"/>
    <s v="New"/>
    <s v="Deluxe"/>
    <n v="31"/>
    <n v="4"/>
    <n v="3624"/>
    <n v="14496"/>
    <n v="0"/>
    <x v="1"/>
    <x v="1"/>
    <x v="1"/>
    <x v="0"/>
  </r>
  <r>
    <n v="2001"/>
    <s v="C0543"/>
    <x v="101"/>
    <s v="43 days"/>
    <x v="24"/>
    <x v="258"/>
    <s v="5 days"/>
    <x v="2"/>
    <s v="Returning"/>
    <s v="Suite"/>
    <n v="43"/>
    <n v="5"/>
    <n v="3721"/>
    <n v="18605"/>
    <n v="18605"/>
    <x v="1"/>
    <x v="0"/>
    <x v="0"/>
    <x v="0"/>
  </r>
  <r>
    <n v="2002"/>
    <s v="C1064"/>
    <x v="84"/>
    <s v="32 days"/>
    <x v="361"/>
    <x v="322"/>
    <s v="5 days"/>
    <x v="4"/>
    <s v="New"/>
    <s v="Suite"/>
    <n v="32"/>
    <n v="5"/>
    <n v="5360"/>
    <n v="26800"/>
    <n v="0"/>
    <x v="0"/>
    <x v="1"/>
    <x v="1"/>
    <x v="0"/>
  </r>
  <r>
    <n v="2003"/>
    <s v="C0229"/>
    <x v="218"/>
    <s v="27 days"/>
    <x v="281"/>
    <x v="255"/>
    <s v="1 days"/>
    <x v="4"/>
    <s v="New"/>
    <s v="Standard"/>
    <n v="27"/>
    <n v="1"/>
    <n v="4773"/>
    <n v="4773"/>
    <n v="0"/>
    <x v="0"/>
    <x v="1"/>
    <x v="1"/>
    <x v="0"/>
  </r>
  <r>
    <n v="2004"/>
    <s v="C0548"/>
    <x v="275"/>
    <s v="30 days"/>
    <x v="209"/>
    <x v="69"/>
    <s v="4 days"/>
    <x v="0"/>
    <s v="New"/>
    <s v="Deluxe"/>
    <n v="30"/>
    <n v="4"/>
    <n v="5490"/>
    <n v="21960"/>
    <n v="21960"/>
    <x v="1"/>
    <x v="0"/>
    <x v="0"/>
    <x v="0"/>
  </r>
  <r>
    <n v="2005"/>
    <s v="C0920"/>
    <x v="133"/>
    <s v="43 days"/>
    <x v="255"/>
    <x v="337"/>
    <s v="4 days"/>
    <x v="4"/>
    <s v="Returning"/>
    <s v="Standard"/>
    <n v="43"/>
    <n v="4"/>
    <n v="5010"/>
    <n v="20040"/>
    <n v="20040"/>
    <x v="0"/>
    <x v="0"/>
    <x v="0"/>
    <x v="0"/>
  </r>
  <r>
    <n v="2006"/>
    <s v="C1247"/>
    <x v="5"/>
    <s v="2 days"/>
    <x v="170"/>
    <x v="188"/>
    <s v="2 days"/>
    <x v="3"/>
    <s v="New"/>
    <s v="Suite"/>
    <n v="2"/>
    <n v="2"/>
    <n v="2736"/>
    <n v="5472"/>
    <n v="5472"/>
    <x v="1"/>
    <x v="0"/>
    <x v="0"/>
    <x v="1"/>
  </r>
  <r>
    <n v="2007"/>
    <s v="C0006"/>
    <x v="327"/>
    <s v="49 days"/>
    <x v="83"/>
    <x v="77"/>
    <s v="2 days"/>
    <x v="3"/>
    <s v="Returning"/>
    <s v="Standard"/>
    <n v="49"/>
    <n v="2"/>
    <n v="3644"/>
    <n v="7288"/>
    <n v="0"/>
    <x v="1"/>
    <x v="1"/>
    <x v="1"/>
    <x v="1"/>
  </r>
  <r>
    <n v="2008"/>
    <s v="C1346"/>
    <x v="206"/>
    <s v="9 days"/>
    <x v="207"/>
    <x v="243"/>
    <s v="2 days"/>
    <x v="3"/>
    <s v="New"/>
    <s v="Suite"/>
    <n v="9"/>
    <n v="2"/>
    <n v="5753"/>
    <n v="11506"/>
    <n v="11506"/>
    <x v="0"/>
    <x v="0"/>
    <x v="0"/>
    <x v="0"/>
  </r>
  <r>
    <n v="2009"/>
    <s v="C0468"/>
    <x v="311"/>
    <s v="28 days"/>
    <x v="270"/>
    <x v="201"/>
    <s v="3 days"/>
    <x v="0"/>
    <s v="Returning"/>
    <s v="Deluxe"/>
    <n v="28"/>
    <n v="3"/>
    <n v="6282"/>
    <n v="18846"/>
    <n v="18846"/>
    <x v="1"/>
    <x v="0"/>
    <x v="0"/>
    <x v="1"/>
  </r>
  <r>
    <n v="2010"/>
    <s v="C0075"/>
    <x v="180"/>
    <s v="31 days"/>
    <x v="362"/>
    <x v="64"/>
    <s v="2 days"/>
    <x v="2"/>
    <s v="New"/>
    <s v="Standard"/>
    <n v="31"/>
    <n v="2"/>
    <n v="3266"/>
    <n v="6532"/>
    <n v="6532"/>
    <x v="0"/>
    <x v="0"/>
    <x v="0"/>
    <x v="1"/>
  </r>
  <r>
    <n v="2011"/>
    <s v="C0004"/>
    <x v="78"/>
    <s v="34 days"/>
    <x v="117"/>
    <x v="38"/>
    <s v="4 days"/>
    <x v="0"/>
    <s v="New"/>
    <s v="Standard"/>
    <n v="34"/>
    <n v="4"/>
    <n v="5181"/>
    <n v="20724"/>
    <n v="0"/>
    <x v="1"/>
    <x v="1"/>
    <x v="1"/>
    <x v="0"/>
  </r>
  <r>
    <n v="2012"/>
    <s v="C0646"/>
    <x v="168"/>
    <s v="56 days"/>
    <x v="124"/>
    <x v="200"/>
    <s v="3 days"/>
    <x v="3"/>
    <s v="Returning"/>
    <s v="Standard"/>
    <n v="56"/>
    <n v="3"/>
    <n v="7586"/>
    <n v="22758"/>
    <n v="0"/>
    <x v="1"/>
    <x v="1"/>
    <x v="1"/>
    <x v="0"/>
  </r>
  <r>
    <n v="2013"/>
    <s v="C0118"/>
    <x v="208"/>
    <s v="15 days"/>
    <x v="67"/>
    <x v="39"/>
    <s v="5 days"/>
    <x v="0"/>
    <s v="Returning"/>
    <s v="Standard"/>
    <n v="15"/>
    <n v="5"/>
    <n v="5165"/>
    <n v="25825"/>
    <n v="25825"/>
    <x v="1"/>
    <x v="0"/>
    <x v="0"/>
    <x v="1"/>
  </r>
  <r>
    <n v="2014"/>
    <s v="C0881"/>
    <x v="200"/>
    <s v="48 days"/>
    <x v="129"/>
    <x v="249"/>
    <s v="1 days"/>
    <x v="3"/>
    <s v="New"/>
    <s v="Deluxe"/>
    <n v="48"/>
    <n v="1"/>
    <n v="4259"/>
    <n v="4259"/>
    <n v="0"/>
    <x v="0"/>
    <x v="1"/>
    <x v="1"/>
    <x v="0"/>
  </r>
  <r>
    <n v="2015"/>
    <s v="C0504"/>
    <x v="155"/>
    <s v="25 days"/>
    <x v="107"/>
    <x v="141"/>
    <s v="2 days"/>
    <x v="1"/>
    <s v="New"/>
    <s v="Suite"/>
    <n v="25"/>
    <n v="2"/>
    <n v="8916"/>
    <n v="17832"/>
    <n v="0"/>
    <x v="0"/>
    <x v="1"/>
    <x v="1"/>
    <x v="1"/>
  </r>
  <r>
    <n v="2016"/>
    <s v="C0947"/>
    <x v="121"/>
    <s v="36 days"/>
    <x v="14"/>
    <x v="14"/>
    <s v="5 days"/>
    <x v="1"/>
    <s v="Returning"/>
    <s v="Suite"/>
    <n v="36"/>
    <n v="5"/>
    <n v="8875"/>
    <n v="44375"/>
    <n v="44375"/>
    <x v="1"/>
    <x v="0"/>
    <x v="0"/>
    <x v="1"/>
  </r>
  <r>
    <n v="2017"/>
    <s v="C0574"/>
    <x v="154"/>
    <s v="8 days"/>
    <x v="348"/>
    <x v="217"/>
    <s v="4 days"/>
    <x v="4"/>
    <s v="New"/>
    <s v="Deluxe"/>
    <n v="8"/>
    <n v="4"/>
    <n v="5991"/>
    <n v="23964"/>
    <n v="0"/>
    <x v="0"/>
    <x v="1"/>
    <x v="1"/>
    <x v="1"/>
  </r>
  <r>
    <n v="2018"/>
    <s v="C1465"/>
    <x v="267"/>
    <s v="9 days"/>
    <x v="199"/>
    <x v="231"/>
    <s v="1 days"/>
    <x v="2"/>
    <s v="Returning"/>
    <s v="Suite"/>
    <n v="9"/>
    <n v="1"/>
    <n v="5315"/>
    <n v="5315"/>
    <n v="5315"/>
    <x v="0"/>
    <x v="0"/>
    <x v="0"/>
    <x v="0"/>
  </r>
  <r>
    <n v="2019"/>
    <s v="C0194"/>
    <x v="200"/>
    <s v="58 days"/>
    <x v="3"/>
    <x v="119"/>
    <s v="5 days"/>
    <x v="1"/>
    <s v="Returning"/>
    <s v="Standard"/>
    <n v="58"/>
    <n v="5"/>
    <n v="6013"/>
    <n v="30065"/>
    <n v="30065"/>
    <x v="1"/>
    <x v="0"/>
    <x v="0"/>
    <x v="1"/>
  </r>
  <r>
    <n v="2020"/>
    <s v="C0847"/>
    <x v="242"/>
    <s v="58 days"/>
    <x v="205"/>
    <x v="122"/>
    <s v="1 days"/>
    <x v="3"/>
    <s v="New"/>
    <s v="Deluxe"/>
    <n v="58"/>
    <n v="1"/>
    <n v="2995"/>
    <n v="2995"/>
    <n v="0"/>
    <x v="0"/>
    <x v="1"/>
    <x v="1"/>
    <x v="0"/>
  </r>
  <r>
    <n v="2021"/>
    <s v="C0715"/>
    <x v="270"/>
    <s v="37 days"/>
    <x v="209"/>
    <x v="216"/>
    <s v="2 days"/>
    <x v="0"/>
    <s v="Returning"/>
    <s v="Suite"/>
    <n v="37"/>
    <n v="2"/>
    <n v="7643"/>
    <n v="15286"/>
    <n v="0"/>
    <x v="0"/>
    <x v="1"/>
    <x v="1"/>
    <x v="0"/>
  </r>
  <r>
    <n v="2022"/>
    <s v="C1416"/>
    <x v="49"/>
    <s v="48 days"/>
    <x v="363"/>
    <x v="28"/>
    <s v="4 days"/>
    <x v="0"/>
    <s v="New"/>
    <s v="Deluxe"/>
    <n v="48"/>
    <n v="4"/>
    <n v="5680"/>
    <n v="22720"/>
    <n v="0"/>
    <x v="0"/>
    <x v="1"/>
    <x v="1"/>
    <x v="0"/>
  </r>
  <r>
    <n v="2023"/>
    <s v="C1050"/>
    <x v="340"/>
    <s v="45 days"/>
    <x v="192"/>
    <x v="61"/>
    <s v="1 days"/>
    <x v="4"/>
    <s v="Returning"/>
    <s v="Deluxe"/>
    <n v="45"/>
    <n v="1"/>
    <n v="8322"/>
    <n v="8322"/>
    <n v="0"/>
    <x v="1"/>
    <x v="1"/>
    <x v="1"/>
    <x v="0"/>
  </r>
  <r>
    <n v="2024"/>
    <s v="C1459"/>
    <x v="235"/>
    <s v="39 days"/>
    <x v="268"/>
    <x v="20"/>
    <s v="5 days"/>
    <x v="0"/>
    <s v="Returning"/>
    <s v="Suite"/>
    <n v="39"/>
    <n v="5"/>
    <n v="6430"/>
    <n v="32150"/>
    <n v="0"/>
    <x v="1"/>
    <x v="1"/>
    <x v="1"/>
    <x v="0"/>
  </r>
  <r>
    <n v="2025"/>
    <s v="C0173"/>
    <x v="64"/>
    <s v="32 days"/>
    <x v="40"/>
    <x v="16"/>
    <s v="2 days"/>
    <x v="1"/>
    <s v="New"/>
    <s v="Suite"/>
    <n v="32"/>
    <n v="2"/>
    <n v="4572"/>
    <n v="9144"/>
    <n v="0"/>
    <x v="0"/>
    <x v="1"/>
    <x v="1"/>
    <x v="1"/>
  </r>
  <r>
    <n v="2026"/>
    <s v="C1324"/>
    <x v="119"/>
    <s v="58 days"/>
    <x v="1"/>
    <x v="1"/>
    <s v="2 days"/>
    <x v="0"/>
    <s v="Returning"/>
    <s v="Deluxe"/>
    <n v="58"/>
    <n v="2"/>
    <n v="8931"/>
    <n v="17862"/>
    <n v="0"/>
    <x v="1"/>
    <x v="1"/>
    <x v="1"/>
    <x v="0"/>
  </r>
  <r>
    <n v="2027"/>
    <s v="C0326"/>
    <x v="1"/>
    <s v="52 days"/>
    <x v="189"/>
    <x v="192"/>
    <s v="5 days"/>
    <x v="1"/>
    <s v="New"/>
    <s v="Deluxe"/>
    <n v="52"/>
    <n v="5"/>
    <n v="2837"/>
    <n v="14185"/>
    <n v="0"/>
    <x v="0"/>
    <x v="1"/>
    <x v="1"/>
    <x v="0"/>
  </r>
  <r>
    <n v="2028"/>
    <s v="C1434"/>
    <x v="250"/>
    <s v="17 days"/>
    <x v="337"/>
    <x v="11"/>
    <s v="5 days"/>
    <x v="1"/>
    <s v="Returning"/>
    <s v="Suite"/>
    <n v="17"/>
    <n v="5"/>
    <n v="6449"/>
    <n v="32245"/>
    <n v="32245"/>
    <x v="1"/>
    <x v="0"/>
    <x v="0"/>
    <x v="0"/>
  </r>
  <r>
    <n v="2029"/>
    <s v="C1142"/>
    <x v="220"/>
    <s v="35 days"/>
    <x v="233"/>
    <x v="327"/>
    <s v="1 days"/>
    <x v="2"/>
    <s v="Returning"/>
    <s v="Deluxe"/>
    <n v="35"/>
    <n v="1"/>
    <n v="8533"/>
    <n v="8533"/>
    <n v="0"/>
    <x v="0"/>
    <x v="1"/>
    <x v="1"/>
    <x v="0"/>
  </r>
  <r>
    <n v="2030"/>
    <s v="C0836"/>
    <x v="72"/>
    <s v="37 days"/>
    <x v="267"/>
    <x v="26"/>
    <s v="3 days"/>
    <x v="4"/>
    <s v="Returning"/>
    <s v="Suite"/>
    <n v="37"/>
    <n v="3"/>
    <n v="5608"/>
    <n v="16824"/>
    <n v="16824"/>
    <x v="1"/>
    <x v="0"/>
    <x v="0"/>
    <x v="0"/>
  </r>
  <r>
    <n v="2031"/>
    <s v="C0724"/>
    <x v="278"/>
    <s v="19 days"/>
    <x v="291"/>
    <x v="150"/>
    <s v="2 days"/>
    <x v="3"/>
    <s v="Returning"/>
    <s v="Deluxe"/>
    <n v="19"/>
    <n v="2"/>
    <n v="4317"/>
    <n v="8634"/>
    <n v="8634"/>
    <x v="0"/>
    <x v="0"/>
    <x v="0"/>
    <x v="1"/>
  </r>
  <r>
    <n v="2032"/>
    <s v="C0225"/>
    <x v="224"/>
    <s v="44 days"/>
    <x v="317"/>
    <x v="326"/>
    <s v="1 days"/>
    <x v="1"/>
    <s v="New"/>
    <s v="Deluxe"/>
    <n v="44"/>
    <n v="1"/>
    <n v="2636"/>
    <n v="2636"/>
    <n v="0"/>
    <x v="1"/>
    <x v="1"/>
    <x v="1"/>
    <x v="0"/>
  </r>
  <r>
    <n v="2033"/>
    <s v="C0532"/>
    <x v="293"/>
    <s v="29 days"/>
    <x v="5"/>
    <x v="5"/>
    <s v="5 days"/>
    <x v="4"/>
    <s v="Returning"/>
    <s v="Deluxe"/>
    <n v="29"/>
    <n v="5"/>
    <n v="5055"/>
    <n v="25275"/>
    <n v="0"/>
    <x v="0"/>
    <x v="1"/>
    <x v="1"/>
    <x v="0"/>
  </r>
  <r>
    <n v="2034"/>
    <s v="C0113"/>
    <x v="3"/>
    <s v="59 days"/>
    <x v="43"/>
    <x v="28"/>
    <s v="1 days"/>
    <x v="3"/>
    <s v="Returning"/>
    <s v="Suite"/>
    <n v="59"/>
    <n v="1"/>
    <n v="8870"/>
    <n v="8870"/>
    <n v="0"/>
    <x v="1"/>
    <x v="1"/>
    <x v="1"/>
    <x v="1"/>
  </r>
  <r>
    <n v="2035"/>
    <s v="C0140"/>
    <x v="211"/>
    <s v="7 days"/>
    <x v="205"/>
    <x v="278"/>
    <s v="5 days"/>
    <x v="0"/>
    <s v="Returning"/>
    <s v="Standard"/>
    <n v="7"/>
    <n v="5"/>
    <n v="6915"/>
    <n v="34575"/>
    <n v="34575"/>
    <x v="1"/>
    <x v="0"/>
    <x v="0"/>
    <x v="0"/>
  </r>
  <r>
    <n v="2036"/>
    <s v="C0559"/>
    <x v="148"/>
    <s v="28 days"/>
    <x v="195"/>
    <x v="53"/>
    <s v="4 days"/>
    <x v="4"/>
    <s v="New"/>
    <s v="Suite"/>
    <n v="28"/>
    <n v="4"/>
    <n v="8459"/>
    <n v="33836"/>
    <n v="0"/>
    <x v="1"/>
    <x v="1"/>
    <x v="1"/>
    <x v="1"/>
  </r>
  <r>
    <n v="2037"/>
    <s v="C0001"/>
    <x v="137"/>
    <s v="9 days"/>
    <x v="146"/>
    <x v="274"/>
    <s v="5 days"/>
    <x v="4"/>
    <s v="New"/>
    <s v="Deluxe"/>
    <n v="9"/>
    <n v="5"/>
    <n v="3415"/>
    <n v="17075"/>
    <n v="17075"/>
    <x v="0"/>
    <x v="0"/>
    <x v="0"/>
    <x v="1"/>
  </r>
  <r>
    <n v="2038"/>
    <s v="C0090"/>
    <x v="100"/>
    <s v="28 days"/>
    <x v="144"/>
    <x v="260"/>
    <s v="5 days"/>
    <x v="4"/>
    <s v="New"/>
    <s v="Standard"/>
    <n v="28"/>
    <n v="5"/>
    <n v="7801"/>
    <n v="39005"/>
    <n v="0"/>
    <x v="0"/>
    <x v="1"/>
    <x v="1"/>
    <x v="1"/>
  </r>
  <r>
    <n v="2039"/>
    <s v="C0654"/>
    <x v="341"/>
    <s v="6 days"/>
    <x v="84"/>
    <x v="92"/>
    <s v="5 days"/>
    <x v="0"/>
    <s v="New"/>
    <s v="Standard"/>
    <n v="6"/>
    <n v="5"/>
    <n v="8493"/>
    <n v="42465"/>
    <n v="42465"/>
    <x v="0"/>
    <x v="0"/>
    <x v="0"/>
    <x v="1"/>
  </r>
  <r>
    <n v="2040"/>
    <s v="C0320"/>
    <x v="342"/>
    <s v="29 days"/>
    <x v="345"/>
    <x v="214"/>
    <s v="3 days"/>
    <x v="0"/>
    <s v="Returning"/>
    <s v="Deluxe"/>
    <n v="29"/>
    <n v="3"/>
    <n v="8729"/>
    <n v="26187"/>
    <n v="0"/>
    <x v="1"/>
    <x v="1"/>
    <x v="1"/>
    <x v="0"/>
  </r>
  <r>
    <n v="2041"/>
    <s v="C0139"/>
    <x v="160"/>
    <s v="58 days"/>
    <x v="358"/>
    <x v="57"/>
    <s v="5 days"/>
    <x v="4"/>
    <s v="Returning"/>
    <s v="Suite"/>
    <n v="58"/>
    <n v="5"/>
    <n v="6038"/>
    <n v="30190"/>
    <n v="0"/>
    <x v="0"/>
    <x v="1"/>
    <x v="1"/>
    <x v="0"/>
  </r>
  <r>
    <n v="2042"/>
    <s v="C0845"/>
    <x v="9"/>
    <s v="17 days"/>
    <x v="98"/>
    <x v="96"/>
    <s v="2 days"/>
    <x v="2"/>
    <s v="Returning"/>
    <s v="Standard"/>
    <n v="17"/>
    <n v="2"/>
    <n v="7521"/>
    <n v="15042"/>
    <n v="0"/>
    <x v="1"/>
    <x v="1"/>
    <x v="1"/>
    <x v="1"/>
  </r>
  <r>
    <n v="2043"/>
    <s v="C0259"/>
    <x v="192"/>
    <s v="16 days"/>
    <x v="188"/>
    <x v="241"/>
    <s v="2 days"/>
    <x v="1"/>
    <s v="New"/>
    <s v="Standard"/>
    <n v="16"/>
    <n v="2"/>
    <n v="4600"/>
    <n v="9200"/>
    <n v="0"/>
    <x v="1"/>
    <x v="1"/>
    <x v="1"/>
    <x v="1"/>
  </r>
  <r>
    <n v="2044"/>
    <s v="C0902"/>
    <x v="18"/>
    <s v="23 days"/>
    <x v="364"/>
    <x v="363"/>
    <s v="1 days"/>
    <x v="0"/>
    <s v="New"/>
    <s v="Suite"/>
    <n v="23"/>
    <n v="1"/>
    <n v="5407"/>
    <n v="5407"/>
    <n v="0"/>
    <x v="1"/>
    <x v="1"/>
    <x v="1"/>
    <x v="0"/>
  </r>
  <r>
    <n v="2045"/>
    <s v="C0690"/>
    <x v="331"/>
    <s v="31 days"/>
    <x v="263"/>
    <x v="162"/>
    <s v="3 days"/>
    <x v="2"/>
    <s v="Returning"/>
    <s v="Suite"/>
    <n v="31"/>
    <n v="3"/>
    <n v="5414"/>
    <n v="16242"/>
    <n v="16242"/>
    <x v="0"/>
    <x v="0"/>
    <x v="0"/>
    <x v="1"/>
  </r>
  <r>
    <n v="2046"/>
    <s v="C0010"/>
    <x v="42"/>
    <s v="3 days"/>
    <x v="269"/>
    <x v="84"/>
    <s v="1 days"/>
    <x v="0"/>
    <s v="Returning"/>
    <s v="Standard"/>
    <n v="3"/>
    <n v="1"/>
    <n v="7854"/>
    <n v="7854"/>
    <n v="0"/>
    <x v="1"/>
    <x v="1"/>
    <x v="1"/>
    <x v="1"/>
  </r>
  <r>
    <n v="2047"/>
    <s v="C0261"/>
    <x v="165"/>
    <s v="21 days"/>
    <x v="59"/>
    <x v="103"/>
    <s v="2 days"/>
    <x v="4"/>
    <s v="Returning"/>
    <s v="Suite"/>
    <n v="21"/>
    <n v="2"/>
    <n v="4482"/>
    <n v="8964"/>
    <n v="0"/>
    <x v="0"/>
    <x v="1"/>
    <x v="1"/>
    <x v="1"/>
  </r>
  <r>
    <n v="2048"/>
    <s v="C0172"/>
    <x v="203"/>
    <s v="26 days"/>
    <x v="146"/>
    <x v="288"/>
    <s v="2 days"/>
    <x v="2"/>
    <s v="New"/>
    <s v="Standard"/>
    <n v="26"/>
    <n v="2"/>
    <n v="6370"/>
    <n v="12740"/>
    <n v="0"/>
    <x v="0"/>
    <x v="1"/>
    <x v="1"/>
    <x v="0"/>
  </r>
  <r>
    <n v="2049"/>
    <s v="C0898"/>
    <x v="244"/>
    <s v="36 days"/>
    <x v="361"/>
    <x v="364"/>
    <s v="4 days"/>
    <x v="3"/>
    <s v="Returning"/>
    <s v="Deluxe"/>
    <n v="36"/>
    <n v="4"/>
    <n v="7028"/>
    <n v="28112"/>
    <n v="28112"/>
    <x v="1"/>
    <x v="0"/>
    <x v="0"/>
    <x v="1"/>
  </r>
  <r>
    <n v="2050"/>
    <s v="C0013"/>
    <x v="199"/>
    <s v="42 days"/>
    <x v="202"/>
    <x v="218"/>
    <s v="5 days"/>
    <x v="1"/>
    <s v="Returning"/>
    <s v="Suite"/>
    <n v="42"/>
    <n v="5"/>
    <n v="6067"/>
    <n v="30335"/>
    <n v="30335"/>
    <x v="0"/>
    <x v="0"/>
    <x v="0"/>
    <x v="0"/>
  </r>
  <r>
    <n v="2051"/>
    <s v="C1192"/>
    <x v="266"/>
    <s v="37 days"/>
    <x v="216"/>
    <x v="119"/>
    <s v="2 days"/>
    <x v="1"/>
    <s v="New"/>
    <s v="Standard"/>
    <n v="37"/>
    <n v="2"/>
    <n v="3498"/>
    <n v="6996"/>
    <n v="0"/>
    <x v="1"/>
    <x v="1"/>
    <x v="1"/>
    <x v="0"/>
  </r>
  <r>
    <n v="2052"/>
    <s v="C0321"/>
    <x v="248"/>
    <s v="53 days"/>
    <x v="365"/>
    <x v="33"/>
    <s v="1 days"/>
    <x v="0"/>
    <s v="New"/>
    <s v="Suite"/>
    <n v="53"/>
    <n v="1"/>
    <n v="4647"/>
    <n v="4647"/>
    <n v="0"/>
    <x v="1"/>
    <x v="1"/>
    <x v="1"/>
    <x v="0"/>
  </r>
  <r>
    <n v="2053"/>
    <s v="C1343"/>
    <x v="343"/>
    <s v="22 days"/>
    <x v="300"/>
    <x v="293"/>
    <s v="1 days"/>
    <x v="1"/>
    <s v="Returning"/>
    <s v="Suite"/>
    <n v="22"/>
    <n v="1"/>
    <n v="7585"/>
    <n v="7585"/>
    <n v="0"/>
    <x v="0"/>
    <x v="1"/>
    <x v="1"/>
    <x v="1"/>
  </r>
  <r>
    <n v="2054"/>
    <s v="C0329"/>
    <x v="224"/>
    <s v="42 days"/>
    <x v="1"/>
    <x v="231"/>
    <s v="5 days"/>
    <x v="3"/>
    <s v="New"/>
    <s v="Standard"/>
    <n v="42"/>
    <n v="5"/>
    <n v="7194"/>
    <n v="35970"/>
    <n v="0"/>
    <x v="1"/>
    <x v="1"/>
    <x v="1"/>
    <x v="1"/>
  </r>
  <r>
    <n v="2055"/>
    <s v="C0785"/>
    <x v="30"/>
    <s v="12 days"/>
    <x v="263"/>
    <x v="91"/>
    <s v="5 days"/>
    <x v="2"/>
    <s v="Returning"/>
    <s v="Deluxe"/>
    <n v="12"/>
    <n v="5"/>
    <n v="2895"/>
    <n v="14475"/>
    <n v="0"/>
    <x v="1"/>
    <x v="1"/>
    <x v="1"/>
    <x v="0"/>
  </r>
  <r>
    <n v="2056"/>
    <s v="C0777"/>
    <x v="9"/>
    <s v="42 days"/>
    <x v="53"/>
    <x v="365"/>
    <s v="4 days"/>
    <x v="2"/>
    <s v="Returning"/>
    <s v="Standard"/>
    <n v="42"/>
    <n v="4"/>
    <n v="6098"/>
    <n v="24392"/>
    <n v="24392"/>
    <x v="1"/>
    <x v="0"/>
    <x v="0"/>
    <x v="0"/>
  </r>
  <r>
    <n v="2057"/>
    <s v="C0911"/>
    <x v="190"/>
    <s v="13 days"/>
    <x v="7"/>
    <x v="366"/>
    <s v="3 days"/>
    <x v="4"/>
    <s v="Returning"/>
    <s v="Suite"/>
    <n v="13"/>
    <n v="3"/>
    <n v="7010"/>
    <n v="21030"/>
    <n v="21030"/>
    <x v="0"/>
    <x v="0"/>
    <x v="0"/>
    <x v="0"/>
  </r>
  <r>
    <n v="2058"/>
    <s v="C1443"/>
    <x v="105"/>
    <s v="11 days"/>
    <x v="366"/>
    <x v="176"/>
    <s v="1 days"/>
    <x v="2"/>
    <s v="Returning"/>
    <s v="Standard"/>
    <n v="11"/>
    <n v="1"/>
    <n v="3438"/>
    <n v="3438"/>
    <n v="3438"/>
    <x v="0"/>
    <x v="0"/>
    <x v="0"/>
    <x v="1"/>
  </r>
  <r>
    <n v="2059"/>
    <s v="C1119"/>
    <x v="150"/>
    <s v="54 days"/>
    <x v="367"/>
    <x v="367"/>
    <s v="5 days"/>
    <x v="0"/>
    <s v="New"/>
    <s v="Suite"/>
    <n v="54"/>
    <n v="5"/>
    <n v="4136"/>
    <n v="20680"/>
    <n v="0"/>
    <x v="0"/>
    <x v="1"/>
    <x v="1"/>
    <x v="1"/>
  </r>
  <r>
    <n v="2060"/>
    <s v="C0318"/>
    <x v="236"/>
    <s v="16 days"/>
    <x v="216"/>
    <x v="170"/>
    <s v="1 days"/>
    <x v="3"/>
    <s v="New"/>
    <s v="Standard"/>
    <n v="16"/>
    <n v="1"/>
    <n v="5224"/>
    <n v="5224"/>
    <n v="5224"/>
    <x v="1"/>
    <x v="0"/>
    <x v="0"/>
    <x v="0"/>
  </r>
  <r>
    <n v="2061"/>
    <s v="C0236"/>
    <x v="317"/>
    <s v="8 days"/>
    <x v="76"/>
    <x v="277"/>
    <s v="5 days"/>
    <x v="4"/>
    <s v="New"/>
    <s v="Deluxe"/>
    <n v="8"/>
    <n v="5"/>
    <n v="5010"/>
    <n v="25050"/>
    <n v="25050"/>
    <x v="1"/>
    <x v="0"/>
    <x v="0"/>
    <x v="0"/>
  </r>
  <r>
    <n v="2062"/>
    <s v="C0334"/>
    <x v="118"/>
    <s v="40 days"/>
    <x v="100"/>
    <x v="368"/>
    <s v="2 days"/>
    <x v="0"/>
    <s v="Returning"/>
    <s v="Deluxe"/>
    <n v="40"/>
    <n v="2"/>
    <n v="7136"/>
    <n v="14272"/>
    <n v="0"/>
    <x v="0"/>
    <x v="1"/>
    <x v="1"/>
    <x v="1"/>
  </r>
  <r>
    <n v="2063"/>
    <s v="C0376"/>
    <x v="335"/>
    <s v="59 days"/>
    <x v="368"/>
    <x v="369"/>
    <s v="1 days"/>
    <x v="0"/>
    <s v="Returning"/>
    <s v="Deluxe"/>
    <n v="59"/>
    <n v="1"/>
    <n v="4149"/>
    <n v="4149"/>
    <n v="0"/>
    <x v="0"/>
    <x v="1"/>
    <x v="1"/>
    <x v="0"/>
  </r>
  <r>
    <n v="2064"/>
    <s v="C1483"/>
    <x v="13"/>
    <s v="57 days"/>
    <x v="268"/>
    <x v="116"/>
    <s v="2 days"/>
    <x v="0"/>
    <s v="Returning"/>
    <s v="Deluxe"/>
    <n v="57"/>
    <n v="2"/>
    <n v="6190"/>
    <n v="12380"/>
    <n v="0"/>
    <x v="0"/>
    <x v="1"/>
    <x v="1"/>
    <x v="1"/>
  </r>
  <r>
    <n v="2065"/>
    <s v="C1161"/>
    <x v="132"/>
    <s v="40 days"/>
    <x v="250"/>
    <x v="5"/>
    <s v="1 days"/>
    <x v="1"/>
    <s v="New"/>
    <s v="Standard"/>
    <n v="40"/>
    <n v="1"/>
    <n v="8541"/>
    <n v="8541"/>
    <n v="0"/>
    <x v="0"/>
    <x v="1"/>
    <x v="1"/>
    <x v="1"/>
  </r>
  <r>
    <n v="2066"/>
    <s v="C0588"/>
    <x v="108"/>
    <s v="45 days"/>
    <x v="205"/>
    <x v="197"/>
    <s v="3 days"/>
    <x v="0"/>
    <s v="New"/>
    <s v="Deluxe"/>
    <n v="45"/>
    <n v="3"/>
    <n v="5935"/>
    <n v="17805"/>
    <n v="0"/>
    <x v="0"/>
    <x v="1"/>
    <x v="1"/>
    <x v="0"/>
  </r>
  <r>
    <n v="2067"/>
    <s v="C0513"/>
    <x v="18"/>
    <s v="59 days"/>
    <x v="369"/>
    <x v="237"/>
    <s v="4 days"/>
    <x v="1"/>
    <s v="Returning"/>
    <s v="Standard"/>
    <n v="59"/>
    <n v="4"/>
    <n v="5701"/>
    <n v="22804"/>
    <n v="0"/>
    <x v="1"/>
    <x v="1"/>
    <x v="1"/>
    <x v="0"/>
  </r>
  <r>
    <n v="2068"/>
    <s v="C1320"/>
    <x v="257"/>
    <s v="2 days"/>
    <x v="215"/>
    <x v="370"/>
    <s v="2 days"/>
    <x v="2"/>
    <s v="New"/>
    <s v="Suite"/>
    <n v="2"/>
    <n v="2"/>
    <n v="6679"/>
    <n v="13358"/>
    <n v="13358"/>
    <x v="0"/>
    <x v="0"/>
    <x v="0"/>
    <x v="1"/>
  </r>
  <r>
    <n v="2069"/>
    <s v="C1344"/>
    <x v="138"/>
    <s v="30 days"/>
    <x v="144"/>
    <x v="260"/>
    <s v="5 days"/>
    <x v="1"/>
    <s v="New"/>
    <s v="Suite"/>
    <n v="30"/>
    <n v="5"/>
    <n v="6866"/>
    <n v="34330"/>
    <n v="34330"/>
    <x v="1"/>
    <x v="0"/>
    <x v="0"/>
    <x v="1"/>
  </r>
  <r>
    <n v="2070"/>
    <s v="C0918"/>
    <x v="66"/>
    <s v="30 days"/>
    <x v="10"/>
    <x v="206"/>
    <s v="3 days"/>
    <x v="0"/>
    <s v="New"/>
    <s v="Suite"/>
    <n v="30"/>
    <n v="3"/>
    <n v="4791"/>
    <n v="14373"/>
    <n v="0"/>
    <x v="1"/>
    <x v="1"/>
    <x v="1"/>
    <x v="1"/>
  </r>
  <r>
    <n v="2071"/>
    <s v="C1373"/>
    <x v="257"/>
    <s v="12 days"/>
    <x v="257"/>
    <x v="210"/>
    <s v="1 days"/>
    <x v="3"/>
    <s v="New"/>
    <s v="Deluxe"/>
    <n v="12"/>
    <n v="1"/>
    <n v="6983"/>
    <n v="6983"/>
    <n v="6983"/>
    <x v="1"/>
    <x v="0"/>
    <x v="0"/>
    <x v="1"/>
  </r>
  <r>
    <n v="2072"/>
    <s v="C0873"/>
    <x v="279"/>
    <s v="10 days"/>
    <x v="370"/>
    <x v="353"/>
    <s v="2 days"/>
    <x v="3"/>
    <s v="Returning"/>
    <s v="Deluxe"/>
    <n v="10"/>
    <n v="2"/>
    <n v="2713"/>
    <n v="5426"/>
    <n v="0"/>
    <x v="1"/>
    <x v="1"/>
    <x v="1"/>
    <x v="1"/>
  </r>
  <r>
    <n v="2073"/>
    <s v="C1253"/>
    <x v="7"/>
    <s v="44 days"/>
    <x v="155"/>
    <x v="34"/>
    <s v="1 days"/>
    <x v="2"/>
    <s v="New"/>
    <s v="Deluxe"/>
    <n v="44"/>
    <n v="1"/>
    <n v="5737"/>
    <n v="5737"/>
    <n v="5737"/>
    <x v="0"/>
    <x v="0"/>
    <x v="0"/>
    <x v="0"/>
  </r>
  <r>
    <n v="2074"/>
    <s v="C0270"/>
    <x v="182"/>
    <s v="11 days"/>
    <x v="162"/>
    <x v="96"/>
    <s v="1 days"/>
    <x v="0"/>
    <s v="Returning"/>
    <s v="Suite"/>
    <n v="11"/>
    <n v="1"/>
    <n v="6362"/>
    <n v="6362"/>
    <n v="6362"/>
    <x v="1"/>
    <x v="0"/>
    <x v="0"/>
    <x v="1"/>
  </r>
  <r>
    <n v="2075"/>
    <s v="C0798"/>
    <x v="311"/>
    <s v="15 days"/>
    <x v="371"/>
    <x v="371"/>
    <s v="1 days"/>
    <x v="1"/>
    <s v="New"/>
    <s v="Suite"/>
    <n v="15"/>
    <n v="1"/>
    <n v="2558"/>
    <n v="2558"/>
    <n v="0"/>
    <x v="0"/>
    <x v="1"/>
    <x v="1"/>
    <x v="1"/>
  </r>
  <r>
    <n v="2076"/>
    <s v="C1315"/>
    <x v="329"/>
    <s v="16 days"/>
    <x v="112"/>
    <x v="98"/>
    <s v="4 days"/>
    <x v="3"/>
    <s v="Returning"/>
    <s v="Suite"/>
    <n v="16"/>
    <n v="4"/>
    <n v="8221"/>
    <n v="32884"/>
    <n v="32884"/>
    <x v="1"/>
    <x v="0"/>
    <x v="0"/>
    <x v="1"/>
  </r>
  <r>
    <n v="2077"/>
    <s v="C0725"/>
    <x v="88"/>
    <s v="17 days"/>
    <x v="372"/>
    <x v="372"/>
    <s v="4 days"/>
    <x v="4"/>
    <s v="Returning"/>
    <s v="Suite"/>
    <n v="17"/>
    <n v="4"/>
    <n v="5430"/>
    <n v="21720"/>
    <n v="0"/>
    <x v="0"/>
    <x v="1"/>
    <x v="1"/>
    <x v="0"/>
  </r>
  <r>
    <n v="2078"/>
    <s v="C1189"/>
    <x v="124"/>
    <s v="26 days"/>
    <x v="263"/>
    <x v="91"/>
    <s v="5 days"/>
    <x v="0"/>
    <s v="New"/>
    <s v="Standard"/>
    <n v="26"/>
    <n v="5"/>
    <n v="7438"/>
    <n v="37190"/>
    <n v="37190"/>
    <x v="0"/>
    <x v="0"/>
    <x v="0"/>
    <x v="0"/>
  </r>
  <r>
    <n v="2079"/>
    <s v="C0005"/>
    <x v="344"/>
    <s v="2 days"/>
    <x v="373"/>
    <x v="331"/>
    <s v="2 days"/>
    <x v="0"/>
    <s v="Returning"/>
    <s v="Standard"/>
    <n v="2"/>
    <n v="2"/>
    <n v="5471"/>
    <n v="10942"/>
    <n v="10942"/>
    <x v="1"/>
    <x v="0"/>
    <x v="0"/>
    <x v="1"/>
  </r>
  <r>
    <n v="2080"/>
    <s v="C0851"/>
    <x v="108"/>
    <s v="50 days"/>
    <x v="160"/>
    <x v="156"/>
    <s v="3 days"/>
    <x v="4"/>
    <s v="Returning"/>
    <s v="Deluxe"/>
    <n v="50"/>
    <n v="3"/>
    <n v="4027"/>
    <n v="12081"/>
    <n v="0"/>
    <x v="0"/>
    <x v="1"/>
    <x v="1"/>
    <x v="1"/>
  </r>
  <r>
    <n v="2081"/>
    <s v="C1403"/>
    <x v="134"/>
    <s v="12 days"/>
    <x v="329"/>
    <x v="268"/>
    <s v="3 days"/>
    <x v="3"/>
    <s v="New"/>
    <s v="Deluxe"/>
    <n v="12"/>
    <n v="3"/>
    <n v="8325"/>
    <n v="24975"/>
    <n v="24975"/>
    <x v="1"/>
    <x v="0"/>
    <x v="0"/>
    <x v="0"/>
  </r>
  <r>
    <n v="2082"/>
    <s v="C0078"/>
    <x v="228"/>
    <s v="51 days"/>
    <x v="311"/>
    <x v="130"/>
    <s v="3 days"/>
    <x v="4"/>
    <s v="Returning"/>
    <s v="Suite"/>
    <n v="51"/>
    <n v="3"/>
    <n v="2622"/>
    <n v="7866"/>
    <n v="0"/>
    <x v="0"/>
    <x v="1"/>
    <x v="1"/>
    <x v="0"/>
  </r>
  <r>
    <n v="2083"/>
    <s v="C1434"/>
    <x v="14"/>
    <s v="26 days"/>
    <x v="371"/>
    <x v="371"/>
    <s v="1 days"/>
    <x v="2"/>
    <s v="New"/>
    <s v="Standard"/>
    <n v="26"/>
    <n v="1"/>
    <n v="6219"/>
    <n v="6219"/>
    <n v="0"/>
    <x v="1"/>
    <x v="1"/>
    <x v="1"/>
    <x v="0"/>
  </r>
  <r>
    <n v="2084"/>
    <s v="C0574"/>
    <x v="188"/>
    <s v="23 days"/>
    <x v="126"/>
    <x v="235"/>
    <s v="4 days"/>
    <x v="1"/>
    <s v="Returning"/>
    <s v="Standard"/>
    <n v="23"/>
    <n v="4"/>
    <n v="3936"/>
    <n v="15744"/>
    <n v="15744"/>
    <x v="1"/>
    <x v="0"/>
    <x v="0"/>
    <x v="0"/>
  </r>
  <r>
    <n v="2085"/>
    <s v="C0132"/>
    <x v="139"/>
    <s v="18 days"/>
    <x v="31"/>
    <x v="159"/>
    <s v="2 days"/>
    <x v="1"/>
    <s v="New"/>
    <s v="Deluxe"/>
    <n v="18"/>
    <n v="2"/>
    <n v="3662"/>
    <n v="7324"/>
    <n v="7324"/>
    <x v="0"/>
    <x v="0"/>
    <x v="0"/>
    <x v="1"/>
  </r>
  <r>
    <n v="2086"/>
    <s v="C0601"/>
    <x v="326"/>
    <s v="32 days"/>
    <x v="316"/>
    <x v="282"/>
    <s v="1 days"/>
    <x v="3"/>
    <s v="New"/>
    <s v="Standard"/>
    <n v="32"/>
    <n v="1"/>
    <n v="5800"/>
    <n v="5800"/>
    <n v="0"/>
    <x v="0"/>
    <x v="1"/>
    <x v="1"/>
    <x v="0"/>
  </r>
  <r>
    <n v="2087"/>
    <s v="C1066"/>
    <x v="279"/>
    <s v="49 days"/>
    <x v="150"/>
    <x v="145"/>
    <s v="4 days"/>
    <x v="4"/>
    <s v="New"/>
    <s v="Deluxe"/>
    <n v="49"/>
    <n v="4"/>
    <n v="5845"/>
    <n v="23380"/>
    <n v="0"/>
    <x v="1"/>
    <x v="1"/>
    <x v="1"/>
    <x v="1"/>
  </r>
  <r>
    <n v="2088"/>
    <s v="C0089"/>
    <x v="144"/>
    <s v="38 days"/>
    <x v="321"/>
    <x v="329"/>
    <s v="4 days"/>
    <x v="0"/>
    <s v="New"/>
    <s v="Suite"/>
    <n v="38"/>
    <n v="4"/>
    <n v="4986"/>
    <n v="19944"/>
    <n v="19944"/>
    <x v="1"/>
    <x v="0"/>
    <x v="0"/>
    <x v="1"/>
  </r>
  <r>
    <n v="2089"/>
    <s v="C0402"/>
    <x v="98"/>
    <s v="57 days"/>
    <x v="305"/>
    <x v="299"/>
    <s v="2 days"/>
    <x v="0"/>
    <s v="New"/>
    <s v="Suite"/>
    <n v="57"/>
    <n v="2"/>
    <n v="3061"/>
    <n v="6122"/>
    <n v="0"/>
    <x v="0"/>
    <x v="1"/>
    <x v="1"/>
    <x v="0"/>
  </r>
  <r>
    <n v="2090"/>
    <s v="C0296"/>
    <x v="84"/>
    <s v="47 days"/>
    <x v="59"/>
    <x v="103"/>
    <s v="2 days"/>
    <x v="0"/>
    <s v="Returning"/>
    <s v="Deluxe"/>
    <n v="47"/>
    <n v="2"/>
    <n v="6481"/>
    <n v="12962"/>
    <n v="0"/>
    <x v="1"/>
    <x v="1"/>
    <x v="1"/>
    <x v="0"/>
  </r>
  <r>
    <n v="2091"/>
    <s v="C1319"/>
    <x v="300"/>
    <s v="3 days"/>
    <x v="0"/>
    <x v="62"/>
    <s v="2 days"/>
    <x v="2"/>
    <s v="Returning"/>
    <s v="Suite"/>
    <n v="3"/>
    <n v="2"/>
    <n v="8761"/>
    <n v="17522"/>
    <n v="0"/>
    <x v="1"/>
    <x v="1"/>
    <x v="1"/>
    <x v="0"/>
  </r>
  <r>
    <n v="2092"/>
    <s v="C0616"/>
    <x v="268"/>
    <s v="38 days"/>
    <x v="221"/>
    <x v="345"/>
    <s v="1 days"/>
    <x v="2"/>
    <s v="New"/>
    <s v="Suite"/>
    <n v="38"/>
    <n v="1"/>
    <n v="4237"/>
    <n v="4237"/>
    <n v="0"/>
    <x v="1"/>
    <x v="1"/>
    <x v="1"/>
    <x v="0"/>
  </r>
  <r>
    <n v="2093"/>
    <s v="C0800"/>
    <x v="317"/>
    <s v="3 days"/>
    <x v="162"/>
    <x v="34"/>
    <s v="5 days"/>
    <x v="0"/>
    <s v="Returning"/>
    <s v="Standard"/>
    <n v="3"/>
    <n v="5"/>
    <n v="3404"/>
    <n v="17020"/>
    <n v="0"/>
    <x v="0"/>
    <x v="1"/>
    <x v="1"/>
    <x v="1"/>
  </r>
  <r>
    <n v="2094"/>
    <s v="C0422"/>
    <x v="27"/>
    <s v="30 days"/>
    <x v="42"/>
    <x v="43"/>
    <s v="2 days"/>
    <x v="3"/>
    <s v="Returning"/>
    <s v="Standard"/>
    <n v="30"/>
    <n v="2"/>
    <n v="6054"/>
    <n v="12108"/>
    <n v="0"/>
    <x v="1"/>
    <x v="1"/>
    <x v="1"/>
    <x v="1"/>
  </r>
  <r>
    <n v="2095"/>
    <s v="C1047"/>
    <x v="263"/>
    <s v="1 days"/>
    <x v="12"/>
    <x v="12"/>
    <s v="5 days"/>
    <x v="2"/>
    <s v="Returning"/>
    <s v="Standard"/>
    <n v="1"/>
    <n v="5"/>
    <n v="6990"/>
    <n v="34950"/>
    <n v="34950"/>
    <x v="1"/>
    <x v="0"/>
    <x v="0"/>
    <x v="1"/>
  </r>
  <r>
    <n v="2096"/>
    <s v="C0575"/>
    <x v="10"/>
    <s v="30 days"/>
    <x v="133"/>
    <x v="321"/>
    <s v="1 days"/>
    <x v="2"/>
    <s v="New"/>
    <s v="Standard"/>
    <n v="30"/>
    <n v="1"/>
    <n v="4226"/>
    <n v="4226"/>
    <n v="0"/>
    <x v="0"/>
    <x v="1"/>
    <x v="1"/>
    <x v="0"/>
  </r>
  <r>
    <n v="2097"/>
    <s v="C0143"/>
    <x v="229"/>
    <s v="45 days"/>
    <x v="374"/>
    <x v="373"/>
    <s v="5 days"/>
    <x v="1"/>
    <s v="New"/>
    <s v="Standard"/>
    <n v="45"/>
    <n v="5"/>
    <n v="5423"/>
    <n v="27115"/>
    <n v="0"/>
    <x v="1"/>
    <x v="1"/>
    <x v="1"/>
    <x v="1"/>
  </r>
  <r>
    <n v="2098"/>
    <s v="C0993"/>
    <x v="231"/>
    <s v="32 days"/>
    <x v="105"/>
    <x v="89"/>
    <s v="3 days"/>
    <x v="1"/>
    <s v="Returning"/>
    <s v="Deluxe"/>
    <n v="32"/>
    <n v="3"/>
    <n v="6031"/>
    <n v="18093"/>
    <n v="18093"/>
    <x v="1"/>
    <x v="0"/>
    <x v="0"/>
    <x v="0"/>
  </r>
  <r>
    <n v="2099"/>
    <s v="C0665"/>
    <x v="176"/>
    <s v="28 days"/>
    <x v="150"/>
    <x v="365"/>
    <s v="5 days"/>
    <x v="3"/>
    <s v="New"/>
    <s v="Deluxe"/>
    <n v="28"/>
    <n v="5"/>
    <n v="6406"/>
    <n v="32030"/>
    <n v="32030"/>
    <x v="1"/>
    <x v="0"/>
    <x v="0"/>
    <x v="1"/>
  </r>
  <r>
    <n v="2100"/>
    <s v="C0145"/>
    <x v="168"/>
    <s v="21 days"/>
    <x v="310"/>
    <x v="197"/>
    <s v="2 days"/>
    <x v="2"/>
    <s v="New"/>
    <s v="Standard"/>
    <n v="21"/>
    <n v="2"/>
    <n v="8312"/>
    <n v="16624"/>
    <n v="16624"/>
    <x v="1"/>
    <x v="0"/>
    <x v="0"/>
    <x v="0"/>
  </r>
  <r>
    <n v="2101"/>
    <s v="C1249"/>
    <x v="57"/>
    <s v="58 days"/>
    <x v="222"/>
    <x v="88"/>
    <s v="1 days"/>
    <x v="2"/>
    <s v="Returning"/>
    <s v="Suite"/>
    <n v="58"/>
    <n v="1"/>
    <n v="3434"/>
    <n v="3434"/>
    <n v="0"/>
    <x v="0"/>
    <x v="1"/>
    <x v="1"/>
    <x v="1"/>
  </r>
  <r>
    <n v="2102"/>
    <s v="C1007"/>
    <x v="293"/>
    <s v="46 days"/>
    <x v="81"/>
    <x v="3"/>
    <s v="2 days"/>
    <x v="4"/>
    <s v="New"/>
    <s v="Suite"/>
    <n v="46"/>
    <n v="2"/>
    <n v="7697"/>
    <n v="15394"/>
    <n v="15394"/>
    <x v="1"/>
    <x v="0"/>
    <x v="0"/>
    <x v="1"/>
  </r>
  <r>
    <n v="2103"/>
    <s v="C0503"/>
    <x v="319"/>
    <s v="13 days"/>
    <x v="41"/>
    <x v="374"/>
    <s v="3 days"/>
    <x v="3"/>
    <s v="New"/>
    <s v="Deluxe"/>
    <n v="13"/>
    <n v="3"/>
    <n v="8031"/>
    <n v="24093"/>
    <n v="0"/>
    <x v="1"/>
    <x v="1"/>
    <x v="1"/>
    <x v="0"/>
  </r>
  <r>
    <n v="2104"/>
    <s v="C0821"/>
    <x v="163"/>
    <s v="27 days"/>
    <x v="60"/>
    <x v="375"/>
    <s v="2 days"/>
    <x v="3"/>
    <s v="New"/>
    <s v="Deluxe"/>
    <n v="27"/>
    <n v="2"/>
    <n v="2574"/>
    <n v="5148"/>
    <n v="0"/>
    <x v="1"/>
    <x v="1"/>
    <x v="1"/>
    <x v="1"/>
  </r>
  <r>
    <n v="2105"/>
    <s v="C0104"/>
    <x v="260"/>
    <s v="36 days"/>
    <x v="200"/>
    <x v="107"/>
    <s v="2 days"/>
    <x v="4"/>
    <s v="New"/>
    <s v="Deluxe"/>
    <n v="36"/>
    <n v="2"/>
    <n v="2794"/>
    <n v="5588"/>
    <n v="0"/>
    <x v="1"/>
    <x v="1"/>
    <x v="1"/>
    <x v="1"/>
  </r>
  <r>
    <n v="2106"/>
    <s v="C1063"/>
    <x v="303"/>
    <s v="7 days"/>
    <x v="272"/>
    <x v="276"/>
    <s v="2 days"/>
    <x v="4"/>
    <s v="New"/>
    <s v="Suite"/>
    <n v="7"/>
    <n v="2"/>
    <n v="2520"/>
    <n v="5040"/>
    <n v="5040"/>
    <x v="1"/>
    <x v="0"/>
    <x v="0"/>
    <x v="0"/>
  </r>
  <r>
    <n v="2107"/>
    <s v="C0198"/>
    <x v="210"/>
    <s v="22 days"/>
    <x v="26"/>
    <x v="1"/>
    <s v="4 days"/>
    <x v="1"/>
    <s v="Returning"/>
    <s v="Deluxe"/>
    <n v="22"/>
    <n v="4"/>
    <n v="5742"/>
    <n v="22968"/>
    <n v="22968"/>
    <x v="0"/>
    <x v="0"/>
    <x v="0"/>
    <x v="0"/>
  </r>
  <r>
    <n v="2108"/>
    <s v="C0579"/>
    <x v="174"/>
    <s v="10 days"/>
    <x v="347"/>
    <x v="97"/>
    <s v="3 days"/>
    <x v="3"/>
    <s v="New"/>
    <s v="Suite"/>
    <n v="10"/>
    <n v="3"/>
    <n v="3538"/>
    <n v="10614"/>
    <n v="0"/>
    <x v="0"/>
    <x v="1"/>
    <x v="1"/>
    <x v="0"/>
  </r>
  <r>
    <n v="2109"/>
    <s v="C0391"/>
    <x v="174"/>
    <s v="39 days"/>
    <x v="201"/>
    <x v="100"/>
    <s v="2 days"/>
    <x v="3"/>
    <s v="New"/>
    <s v="Deluxe"/>
    <n v="39"/>
    <n v="2"/>
    <n v="7830"/>
    <n v="15660"/>
    <n v="15660"/>
    <x v="1"/>
    <x v="0"/>
    <x v="0"/>
    <x v="0"/>
  </r>
  <r>
    <n v="2110"/>
    <s v="C1203"/>
    <x v="154"/>
    <s v="53 days"/>
    <x v="11"/>
    <x v="222"/>
    <s v="2 days"/>
    <x v="4"/>
    <s v="Returning"/>
    <s v="Suite"/>
    <n v="53"/>
    <n v="2"/>
    <n v="7155"/>
    <n v="14310"/>
    <n v="0"/>
    <x v="1"/>
    <x v="1"/>
    <x v="1"/>
    <x v="0"/>
  </r>
  <r>
    <n v="2111"/>
    <s v="C0554"/>
    <x v="91"/>
    <s v="15 days"/>
    <x v="325"/>
    <x v="293"/>
    <s v="2 days"/>
    <x v="0"/>
    <s v="Returning"/>
    <s v="Deluxe"/>
    <n v="15"/>
    <n v="2"/>
    <n v="3609"/>
    <n v="7218"/>
    <n v="7218"/>
    <x v="0"/>
    <x v="0"/>
    <x v="0"/>
    <x v="1"/>
  </r>
  <r>
    <n v="2112"/>
    <s v="C1472"/>
    <x v="213"/>
    <s v="15 days"/>
    <x v="280"/>
    <x v="239"/>
    <s v="1 days"/>
    <x v="0"/>
    <s v="New"/>
    <s v="Deluxe"/>
    <n v="15"/>
    <n v="1"/>
    <n v="7768"/>
    <n v="7768"/>
    <n v="0"/>
    <x v="0"/>
    <x v="1"/>
    <x v="1"/>
    <x v="0"/>
  </r>
  <r>
    <n v="2113"/>
    <s v="C1039"/>
    <x v="10"/>
    <s v="4 days"/>
    <x v="190"/>
    <x v="286"/>
    <s v="4 days"/>
    <x v="1"/>
    <s v="Returning"/>
    <s v="Suite"/>
    <n v="4"/>
    <n v="4"/>
    <n v="6271"/>
    <n v="25084"/>
    <n v="25084"/>
    <x v="0"/>
    <x v="0"/>
    <x v="0"/>
    <x v="1"/>
  </r>
  <r>
    <n v="2114"/>
    <s v="C1313"/>
    <x v="122"/>
    <s v="32 days"/>
    <x v="139"/>
    <x v="58"/>
    <s v="1 days"/>
    <x v="0"/>
    <s v="New"/>
    <s v="Deluxe"/>
    <n v="32"/>
    <n v="1"/>
    <n v="2871"/>
    <n v="2871"/>
    <n v="0"/>
    <x v="1"/>
    <x v="1"/>
    <x v="1"/>
    <x v="1"/>
  </r>
  <r>
    <n v="2115"/>
    <s v="C0478"/>
    <x v="241"/>
    <s v="23 days"/>
    <x v="150"/>
    <x v="145"/>
    <s v="4 days"/>
    <x v="0"/>
    <s v="Returning"/>
    <s v="Standard"/>
    <n v="23"/>
    <n v="4"/>
    <n v="8623"/>
    <n v="34492"/>
    <n v="0"/>
    <x v="1"/>
    <x v="1"/>
    <x v="1"/>
    <x v="0"/>
  </r>
  <r>
    <n v="2116"/>
    <s v="C1255"/>
    <x v="180"/>
    <s v="55 days"/>
    <x v="297"/>
    <x v="25"/>
    <s v="2 days"/>
    <x v="0"/>
    <s v="New"/>
    <s v="Suite"/>
    <n v="55"/>
    <n v="2"/>
    <n v="7413"/>
    <n v="14826"/>
    <n v="14826"/>
    <x v="1"/>
    <x v="0"/>
    <x v="0"/>
    <x v="1"/>
  </r>
  <r>
    <n v="2117"/>
    <s v="C0923"/>
    <x v="74"/>
    <s v="6 days"/>
    <x v="47"/>
    <x v="46"/>
    <s v="3 days"/>
    <x v="2"/>
    <s v="Returning"/>
    <s v="Deluxe"/>
    <n v="6"/>
    <n v="3"/>
    <n v="3674"/>
    <n v="11022"/>
    <n v="0"/>
    <x v="1"/>
    <x v="1"/>
    <x v="1"/>
    <x v="1"/>
  </r>
  <r>
    <n v="2118"/>
    <s v="C0420"/>
    <x v="250"/>
    <s v="24 days"/>
    <x v="3"/>
    <x v="119"/>
    <s v="5 days"/>
    <x v="1"/>
    <s v="New"/>
    <s v="Suite"/>
    <n v="24"/>
    <n v="5"/>
    <n v="3664"/>
    <n v="18320"/>
    <n v="0"/>
    <x v="1"/>
    <x v="1"/>
    <x v="1"/>
    <x v="0"/>
  </r>
  <r>
    <n v="2119"/>
    <s v="C0157"/>
    <x v="117"/>
    <s v="20 days"/>
    <x v="147"/>
    <x v="303"/>
    <s v="5 days"/>
    <x v="4"/>
    <s v="Returning"/>
    <s v="Deluxe"/>
    <n v="20"/>
    <n v="5"/>
    <n v="3592"/>
    <n v="17960"/>
    <n v="17960"/>
    <x v="1"/>
    <x v="0"/>
    <x v="0"/>
    <x v="1"/>
  </r>
  <r>
    <n v="2120"/>
    <s v="C0550"/>
    <x v="256"/>
    <s v="58 days"/>
    <x v="85"/>
    <x v="257"/>
    <s v="2 days"/>
    <x v="0"/>
    <s v="New"/>
    <s v="Standard"/>
    <n v="58"/>
    <n v="2"/>
    <n v="3783"/>
    <n v="7566"/>
    <n v="0"/>
    <x v="0"/>
    <x v="1"/>
    <x v="1"/>
    <x v="0"/>
  </r>
  <r>
    <n v="2121"/>
    <s v="C1465"/>
    <x v="39"/>
    <s v="37 days"/>
    <x v="335"/>
    <x v="211"/>
    <s v="1 days"/>
    <x v="2"/>
    <s v="New"/>
    <s v="Deluxe"/>
    <n v="37"/>
    <n v="1"/>
    <n v="4511"/>
    <n v="4511"/>
    <n v="4511"/>
    <x v="0"/>
    <x v="0"/>
    <x v="0"/>
    <x v="0"/>
  </r>
  <r>
    <n v="2122"/>
    <s v="C1121"/>
    <x v="255"/>
    <s v="20 days"/>
    <x v="335"/>
    <x v="45"/>
    <s v="3 days"/>
    <x v="0"/>
    <s v="New"/>
    <s v="Deluxe"/>
    <n v="20"/>
    <n v="3"/>
    <n v="3345"/>
    <n v="10035"/>
    <n v="0"/>
    <x v="1"/>
    <x v="1"/>
    <x v="1"/>
    <x v="0"/>
  </r>
  <r>
    <n v="2123"/>
    <s v="C1021"/>
    <x v="291"/>
    <s v="12 days"/>
    <x v="274"/>
    <x v="376"/>
    <s v="4 days"/>
    <x v="2"/>
    <s v="Returning"/>
    <s v="Standard"/>
    <n v="12"/>
    <n v="4"/>
    <n v="4491"/>
    <n v="17964"/>
    <n v="17964"/>
    <x v="1"/>
    <x v="0"/>
    <x v="0"/>
    <x v="1"/>
  </r>
  <r>
    <n v="2124"/>
    <s v="C0997"/>
    <x v="28"/>
    <s v="33 days"/>
    <x v="128"/>
    <x v="335"/>
    <s v="2 days"/>
    <x v="1"/>
    <s v="Returning"/>
    <s v="Suite"/>
    <n v="33"/>
    <n v="2"/>
    <n v="3020"/>
    <n v="6040"/>
    <n v="0"/>
    <x v="1"/>
    <x v="1"/>
    <x v="1"/>
    <x v="1"/>
  </r>
  <r>
    <n v="2125"/>
    <s v="C1435"/>
    <x v="342"/>
    <s v="28 days"/>
    <x v="96"/>
    <x v="24"/>
    <s v="3 days"/>
    <x v="0"/>
    <s v="New"/>
    <s v="Deluxe"/>
    <n v="28"/>
    <n v="3"/>
    <n v="6966"/>
    <n v="20898"/>
    <n v="0"/>
    <x v="0"/>
    <x v="1"/>
    <x v="1"/>
    <x v="1"/>
  </r>
  <r>
    <n v="2126"/>
    <s v="C0951"/>
    <x v="290"/>
    <s v="8 days"/>
    <x v="106"/>
    <x v="106"/>
    <s v="3 days"/>
    <x v="2"/>
    <s v="New"/>
    <s v="Deluxe"/>
    <n v="8"/>
    <n v="3"/>
    <n v="8038"/>
    <n v="24114"/>
    <n v="24114"/>
    <x v="0"/>
    <x v="0"/>
    <x v="0"/>
    <x v="1"/>
  </r>
  <r>
    <n v="2127"/>
    <s v="C0289"/>
    <x v="288"/>
    <s v="1 days"/>
    <x v="16"/>
    <x v="236"/>
    <s v="4 days"/>
    <x v="3"/>
    <s v="New"/>
    <s v="Standard"/>
    <n v="1"/>
    <n v="4"/>
    <n v="6696"/>
    <n v="26784"/>
    <n v="26784"/>
    <x v="0"/>
    <x v="0"/>
    <x v="0"/>
    <x v="0"/>
  </r>
  <r>
    <n v="2128"/>
    <s v="C1278"/>
    <x v="322"/>
    <s v="37 days"/>
    <x v="142"/>
    <x v="118"/>
    <s v="3 days"/>
    <x v="3"/>
    <s v="New"/>
    <s v="Suite"/>
    <n v="37"/>
    <n v="3"/>
    <n v="7256"/>
    <n v="21768"/>
    <n v="0"/>
    <x v="0"/>
    <x v="1"/>
    <x v="1"/>
    <x v="1"/>
  </r>
  <r>
    <n v="2129"/>
    <s v="C0196"/>
    <x v="148"/>
    <s v="22 days"/>
    <x v="72"/>
    <x v="304"/>
    <s v="1 days"/>
    <x v="2"/>
    <s v="Returning"/>
    <s v="Suite"/>
    <n v="22"/>
    <n v="1"/>
    <n v="8277"/>
    <n v="8277"/>
    <n v="8277"/>
    <x v="1"/>
    <x v="0"/>
    <x v="0"/>
    <x v="0"/>
  </r>
  <r>
    <n v="2130"/>
    <s v="C0598"/>
    <x v="138"/>
    <s v="6 days"/>
    <x v="38"/>
    <x v="78"/>
    <s v="1 days"/>
    <x v="0"/>
    <s v="Returning"/>
    <s v="Standard"/>
    <n v="6"/>
    <n v="1"/>
    <n v="2742"/>
    <n v="2742"/>
    <n v="0"/>
    <x v="0"/>
    <x v="1"/>
    <x v="1"/>
    <x v="1"/>
  </r>
  <r>
    <n v="2131"/>
    <s v="C0517"/>
    <x v="215"/>
    <s v="21 days"/>
    <x v="110"/>
    <x v="107"/>
    <s v="1 days"/>
    <x v="0"/>
    <s v="Returning"/>
    <s v="Standard"/>
    <n v="21"/>
    <n v="1"/>
    <n v="5300"/>
    <n v="5300"/>
    <n v="5300"/>
    <x v="0"/>
    <x v="0"/>
    <x v="0"/>
    <x v="1"/>
  </r>
  <r>
    <n v="2132"/>
    <s v="C0865"/>
    <x v="281"/>
    <s v="32 days"/>
    <x v="164"/>
    <x v="168"/>
    <s v="3 days"/>
    <x v="1"/>
    <s v="New"/>
    <s v="Deluxe"/>
    <n v="32"/>
    <n v="3"/>
    <n v="7107"/>
    <n v="21321"/>
    <n v="21321"/>
    <x v="1"/>
    <x v="0"/>
    <x v="0"/>
    <x v="1"/>
  </r>
  <r>
    <n v="2133"/>
    <s v="C1142"/>
    <x v="27"/>
    <s v="35 days"/>
    <x v="338"/>
    <x v="212"/>
    <s v="1 days"/>
    <x v="1"/>
    <s v="New"/>
    <s v="Standard"/>
    <n v="35"/>
    <n v="1"/>
    <n v="5396"/>
    <n v="5396"/>
    <n v="5396"/>
    <x v="1"/>
    <x v="0"/>
    <x v="0"/>
    <x v="1"/>
  </r>
  <r>
    <n v="2134"/>
    <s v="C0806"/>
    <x v="76"/>
    <s v="15 days"/>
    <x v="375"/>
    <x v="359"/>
    <s v="4 days"/>
    <x v="4"/>
    <s v="Returning"/>
    <s v="Standard"/>
    <n v="15"/>
    <n v="4"/>
    <n v="5102"/>
    <n v="20408"/>
    <n v="0"/>
    <x v="1"/>
    <x v="1"/>
    <x v="1"/>
    <x v="1"/>
  </r>
  <r>
    <n v="2135"/>
    <s v="C1183"/>
    <x v="302"/>
    <s v="5 days"/>
    <x v="285"/>
    <x v="32"/>
    <s v="3 days"/>
    <x v="1"/>
    <s v="Returning"/>
    <s v="Standard"/>
    <n v="5"/>
    <n v="3"/>
    <n v="4773"/>
    <n v="14319"/>
    <n v="14319"/>
    <x v="0"/>
    <x v="0"/>
    <x v="0"/>
    <x v="0"/>
  </r>
  <r>
    <n v="2136"/>
    <s v="C0815"/>
    <x v="54"/>
    <s v="56 days"/>
    <x v="120"/>
    <x v="117"/>
    <s v="5 days"/>
    <x v="0"/>
    <s v="Returning"/>
    <s v="Suite"/>
    <n v="56"/>
    <n v="5"/>
    <n v="4041"/>
    <n v="20205"/>
    <n v="20205"/>
    <x v="1"/>
    <x v="0"/>
    <x v="0"/>
    <x v="1"/>
  </r>
  <r>
    <n v="2137"/>
    <s v="C0228"/>
    <x v="171"/>
    <s v="46 days"/>
    <x v="152"/>
    <x v="71"/>
    <s v="3 days"/>
    <x v="4"/>
    <s v="Returning"/>
    <s v="Standard"/>
    <n v="46"/>
    <n v="3"/>
    <n v="8857"/>
    <n v="26571"/>
    <n v="0"/>
    <x v="0"/>
    <x v="1"/>
    <x v="1"/>
    <x v="1"/>
  </r>
  <r>
    <n v="2138"/>
    <s v="C0216"/>
    <x v="207"/>
    <s v="50 days"/>
    <x v="253"/>
    <x v="15"/>
    <s v="4 days"/>
    <x v="1"/>
    <s v="New"/>
    <s v="Deluxe"/>
    <n v="50"/>
    <n v="4"/>
    <n v="5265"/>
    <n v="21060"/>
    <n v="21060"/>
    <x v="0"/>
    <x v="0"/>
    <x v="0"/>
    <x v="1"/>
  </r>
  <r>
    <n v="2139"/>
    <s v="C0948"/>
    <x v="125"/>
    <s v="48 days"/>
    <x v="24"/>
    <x v="258"/>
    <s v="5 days"/>
    <x v="2"/>
    <s v="New"/>
    <s v="Deluxe"/>
    <n v="48"/>
    <n v="5"/>
    <n v="4614"/>
    <n v="23070"/>
    <n v="0"/>
    <x v="0"/>
    <x v="1"/>
    <x v="1"/>
    <x v="1"/>
  </r>
  <r>
    <n v="2140"/>
    <s v="C0015"/>
    <x v="345"/>
    <s v="6 days"/>
    <x v="272"/>
    <x v="316"/>
    <s v="3 days"/>
    <x v="3"/>
    <s v="New"/>
    <s v="Deluxe"/>
    <n v="6"/>
    <n v="3"/>
    <n v="6991"/>
    <n v="20973"/>
    <n v="20973"/>
    <x v="0"/>
    <x v="0"/>
    <x v="0"/>
    <x v="0"/>
  </r>
  <r>
    <n v="2141"/>
    <s v="C1181"/>
    <x v="252"/>
    <s v="25 days"/>
    <x v="258"/>
    <x v="252"/>
    <s v="1 days"/>
    <x v="1"/>
    <s v="Returning"/>
    <s v="Standard"/>
    <n v="25"/>
    <n v="1"/>
    <n v="7207"/>
    <n v="7207"/>
    <n v="7207"/>
    <x v="1"/>
    <x v="0"/>
    <x v="0"/>
    <x v="1"/>
  </r>
  <r>
    <n v="2142"/>
    <s v="C1285"/>
    <x v="1"/>
    <s v="56 days"/>
    <x v="350"/>
    <x v="234"/>
    <s v="2 days"/>
    <x v="1"/>
    <s v="New"/>
    <s v="Suite"/>
    <n v="56"/>
    <n v="2"/>
    <n v="5583"/>
    <n v="11166"/>
    <n v="0"/>
    <x v="1"/>
    <x v="1"/>
    <x v="1"/>
    <x v="0"/>
  </r>
  <r>
    <n v="2143"/>
    <s v="C1181"/>
    <x v="250"/>
    <s v="46 days"/>
    <x v="313"/>
    <x v="277"/>
    <s v="2 days"/>
    <x v="2"/>
    <s v="Returning"/>
    <s v="Standard"/>
    <n v="46"/>
    <n v="2"/>
    <n v="7856"/>
    <n v="15712"/>
    <n v="0"/>
    <x v="0"/>
    <x v="1"/>
    <x v="1"/>
    <x v="1"/>
  </r>
  <r>
    <n v="2144"/>
    <s v="C0047"/>
    <x v="74"/>
    <s v="59 days"/>
    <x v="69"/>
    <x v="287"/>
    <s v="1 days"/>
    <x v="0"/>
    <s v="Returning"/>
    <s v="Standard"/>
    <n v="59"/>
    <n v="1"/>
    <n v="4357"/>
    <n v="4357"/>
    <n v="0"/>
    <x v="1"/>
    <x v="1"/>
    <x v="1"/>
    <x v="0"/>
  </r>
  <r>
    <n v="2145"/>
    <s v="C0324"/>
    <x v="199"/>
    <s v="56 days"/>
    <x v="215"/>
    <x v="370"/>
    <s v="2 days"/>
    <x v="2"/>
    <s v="Returning"/>
    <s v="Deluxe"/>
    <n v="56"/>
    <n v="2"/>
    <n v="3269"/>
    <n v="6538"/>
    <n v="6538"/>
    <x v="0"/>
    <x v="0"/>
    <x v="0"/>
    <x v="0"/>
  </r>
  <r>
    <n v="2146"/>
    <s v="C0844"/>
    <x v="346"/>
    <s v="40 days"/>
    <x v="280"/>
    <x v="303"/>
    <s v="2 days"/>
    <x v="1"/>
    <s v="Returning"/>
    <s v="Standard"/>
    <n v="40"/>
    <n v="2"/>
    <n v="3922"/>
    <n v="7844"/>
    <n v="0"/>
    <x v="0"/>
    <x v="1"/>
    <x v="1"/>
    <x v="0"/>
  </r>
  <r>
    <n v="2147"/>
    <s v="C0130"/>
    <x v="301"/>
    <s v="29 days"/>
    <x v="180"/>
    <x v="251"/>
    <s v="1 days"/>
    <x v="0"/>
    <s v="Returning"/>
    <s v="Suite"/>
    <n v="29"/>
    <n v="1"/>
    <n v="2906"/>
    <n v="2906"/>
    <n v="0"/>
    <x v="1"/>
    <x v="1"/>
    <x v="1"/>
    <x v="0"/>
  </r>
  <r>
    <n v="2148"/>
    <s v="C1435"/>
    <x v="175"/>
    <s v="7 days"/>
    <x v="143"/>
    <x v="8"/>
    <s v="1 days"/>
    <x v="4"/>
    <s v="New"/>
    <s v="Deluxe"/>
    <n v="7"/>
    <n v="1"/>
    <n v="5472"/>
    <n v="5472"/>
    <n v="5472"/>
    <x v="1"/>
    <x v="0"/>
    <x v="0"/>
    <x v="0"/>
  </r>
  <r>
    <n v="2149"/>
    <s v="C0095"/>
    <x v="61"/>
    <s v="40 days"/>
    <x v="376"/>
    <x v="253"/>
    <s v="3 days"/>
    <x v="1"/>
    <s v="New"/>
    <s v="Suite"/>
    <n v="40"/>
    <n v="3"/>
    <n v="4372"/>
    <n v="13116"/>
    <n v="0"/>
    <x v="0"/>
    <x v="1"/>
    <x v="1"/>
    <x v="1"/>
  </r>
  <r>
    <n v="2150"/>
    <s v="C0627"/>
    <x v="300"/>
    <s v="13 days"/>
    <x v="250"/>
    <x v="249"/>
    <s v="3 days"/>
    <x v="2"/>
    <s v="New"/>
    <s v="Suite"/>
    <n v="13"/>
    <n v="3"/>
    <n v="8099"/>
    <n v="24297"/>
    <n v="0"/>
    <x v="1"/>
    <x v="1"/>
    <x v="1"/>
    <x v="0"/>
  </r>
  <r>
    <n v="2151"/>
    <s v="C0755"/>
    <x v="173"/>
    <s v="38 days"/>
    <x v="254"/>
    <x v="147"/>
    <s v="1 days"/>
    <x v="4"/>
    <s v="Returning"/>
    <s v="Suite"/>
    <n v="38"/>
    <n v="1"/>
    <n v="5194"/>
    <n v="5194"/>
    <n v="0"/>
    <x v="0"/>
    <x v="1"/>
    <x v="1"/>
    <x v="1"/>
  </r>
  <r>
    <n v="2152"/>
    <s v="C1316"/>
    <x v="268"/>
    <s v="18 days"/>
    <x v="29"/>
    <x v="54"/>
    <s v="4 days"/>
    <x v="3"/>
    <s v="New"/>
    <s v="Standard"/>
    <n v="18"/>
    <n v="4"/>
    <n v="4769"/>
    <n v="19076"/>
    <n v="0"/>
    <x v="1"/>
    <x v="1"/>
    <x v="1"/>
    <x v="0"/>
  </r>
  <r>
    <n v="2153"/>
    <s v="C0794"/>
    <x v="283"/>
    <s v="2 days"/>
    <x v="131"/>
    <x v="282"/>
    <s v="2 days"/>
    <x v="4"/>
    <s v="Returning"/>
    <s v="Standard"/>
    <n v="2"/>
    <n v="2"/>
    <n v="7775"/>
    <n v="15550"/>
    <n v="15550"/>
    <x v="0"/>
    <x v="0"/>
    <x v="0"/>
    <x v="0"/>
  </r>
  <r>
    <n v="2154"/>
    <s v="C1307"/>
    <x v="234"/>
    <s v="8 days"/>
    <x v="329"/>
    <x v="268"/>
    <s v="3 days"/>
    <x v="2"/>
    <s v="New"/>
    <s v="Standard"/>
    <n v="8"/>
    <n v="3"/>
    <n v="7249"/>
    <n v="21747"/>
    <n v="21747"/>
    <x v="0"/>
    <x v="0"/>
    <x v="0"/>
    <x v="1"/>
  </r>
  <r>
    <n v="2155"/>
    <s v="C0069"/>
    <x v="325"/>
    <s v="11 days"/>
    <x v="324"/>
    <x v="377"/>
    <s v="2 days"/>
    <x v="4"/>
    <s v="Returning"/>
    <s v="Standard"/>
    <n v="11"/>
    <n v="2"/>
    <n v="3681"/>
    <n v="7362"/>
    <n v="7362"/>
    <x v="1"/>
    <x v="0"/>
    <x v="0"/>
    <x v="0"/>
  </r>
  <r>
    <n v="2156"/>
    <s v="C0011"/>
    <x v="44"/>
    <s v="33 days"/>
    <x v="345"/>
    <x v="208"/>
    <s v="5 days"/>
    <x v="2"/>
    <s v="Returning"/>
    <s v="Deluxe"/>
    <n v="33"/>
    <n v="5"/>
    <n v="7572"/>
    <n v="37860"/>
    <n v="37860"/>
    <x v="1"/>
    <x v="0"/>
    <x v="0"/>
    <x v="0"/>
  </r>
  <r>
    <n v="2157"/>
    <s v="C1278"/>
    <x v="101"/>
    <s v="54 days"/>
    <x v="21"/>
    <x v="106"/>
    <s v="1 days"/>
    <x v="1"/>
    <s v="New"/>
    <s v="Standard"/>
    <n v="54"/>
    <n v="1"/>
    <n v="3939"/>
    <n v="3939"/>
    <n v="3939"/>
    <x v="0"/>
    <x v="0"/>
    <x v="0"/>
    <x v="0"/>
  </r>
  <r>
    <n v="2158"/>
    <s v="C0872"/>
    <x v="155"/>
    <s v="38 days"/>
    <x v="126"/>
    <x v="235"/>
    <s v="4 days"/>
    <x v="0"/>
    <s v="Returning"/>
    <s v="Deluxe"/>
    <n v="38"/>
    <n v="4"/>
    <n v="5553"/>
    <n v="22212"/>
    <n v="0"/>
    <x v="1"/>
    <x v="1"/>
    <x v="1"/>
    <x v="0"/>
  </r>
  <r>
    <n v="2159"/>
    <s v="C0550"/>
    <x v="283"/>
    <s v="48 days"/>
    <x v="308"/>
    <x v="284"/>
    <s v="5 days"/>
    <x v="3"/>
    <s v="New"/>
    <s v="Suite"/>
    <n v="48"/>
    <n v="5"/>
    <n v="7963"/>
    <n v="39815"/>
    <n v="0"/>
    <x v="1"/>
    <x v="1"/>
    <x v="1"/>
    <x v="1"/>
  </r>
  <r>
    <n v="2160"/>
    <s v="C1158"/>
    <x v="14"/>
    <s v="27 days"/>
    <x v="153"/>
    <x v="149"/>
    <s v="5 days"/>
    <x v="0"/>
    <s v="New"/>
    <s v="Deluxe"/>
    <n v="27"/>
    <n v="5"/>
    <n v="5833"/>
    <n v="29165"/>
    <n v="29165"/>
    <x v="0"/>
    <x v="0"/>
    <x v="0"/>
    <x v="0"/>
  </r>
  <r>
    <n v="2161"/>
    <s v="C0712"/>
    <x v="293"/>
    <s v="20 days"/>
    <x v="354"/>
    <x v="62"/>
    <s v="5 days"/>
    <x v="0"/>
    <s v="New"/>
    <s v="Standard"/>
    <n v="20"/>
    <n v="5"/>
    <n v="5397"/>
    <n v="26985"/>
    <n v="0"/>
    <x v="0"/>
    <x v="1"/>
    <x v="1"/>
    <x v="0"/>
  </r>
  <r>
    <n v="2162"/>
    <s v="C0023"/>
    <x v="62"/>
    <s v="12 days"/>
    <x v="358"/>
    <x v="73"/>
    <s v="1 days"/>
    <x v="0"/>
    <s v="Returning"/>
    <s v="Deluxe"/>
    <n v="12"/>
    <n v="1"/>
    <n v="5403"/>
    <n v="5403"/>
    <n v="5403"/>
    <x v="1"/>
    <x v="0"/>
    <x v="0"/>
    <x v="1"/>
  </r>
  <r>
    <n v="2163"/>
    <s v="C0815"/>
    <x v="166"/>
    <s v="43 days"/>
    <x v="311"/>
    <x v="130"/>
    <s v="3 days"/>
    <x v="2"/>
    <s v="Returning"/>
    <s v="Standard"/>
    <n v="43"/>
    <n v="3"/>
    <n v="2728"/>
    <n v="8184"/>
    <n v="8184"/>
    <x v="1"/>
    <x v="0"/>
    <x v="0"/>
    <x v="1"/>
  </r>
  <r>
    <n v="2164"/>
    <s v="C0346"/>
    <x v="124"/>
    <s v="31 days"/>
    <x v="377"/>
    <x v="25"/>
    <s v="1 days"/>
    <x v="2"/>
    <s v="Returning"/>
    <s v="Standard"/>
    <n v="31"/>
    <n v="1"/>
    <n v="6459"/>
    <n v="6459"/>
    <n v="0"/>
    <x v="0"/>
    <x v="1"/>
    <x v="1"/>
    <x v="0"/>
  </r>
  <r>
    <n v="2165"/>
    <s v="C0302"/>
    <x v="127"/>
    <s v="27 days"/>
    <x v="145"/>
    <x v="107"/>
    <s v="3 days"/>
    <x v="3"/>
    <s v="Returning"/>
    <s v="Deluxe"/>
    <n v="27"/>
    <n v="3"/>
    <n v="8923"/>
    <n v="26769"/>
    <n v="26769"/>
    <x v="0"/>
    <x v="0"/>
    <x v="0"/>
    <x v="0"/>
  </r>
  <r>
    <n v="2166"/>
    <s v="C0363"/>
    <x v="97"/>
    <s v="32 days"/>
    <x v="273"/>
    <x v="335"/>
    <s v="5 days"/>
    <x v="2"/>
    <s v="New"/>
    <s v="Deluxe"/>
    <n v="32"/>
    <n v="5"/>
    <n v="4393"/>
    <n v="21965"/>
    <n v="0"/>
    <x v="0"/>
    <x v="1"/>
    <x v="1"/>
    <x v="1"/>
  </r>
  <r>
    <n v="2167"/>
    <s v="C0396"/>
    <x v="16"/>
    <s v="10 days"/>
    <x v="22"/>
    <x v="77"/>
    <s v="5 days"/>
    <x v="2"/>
    <s v="Returning"/>
    <s v="Suite"/>
    <n v="10"/>
    <n v="5"/>
    <n v="3813"/>
    <n v="19065"/>
    <n v="19065"/>
    <x v="0"/>
    <x v="0"/>
    <x v="0"/>
    <x v="0"/>
  </r>
  <r>
    <n v="2168"/>
    <s v="C0218"/>
    <x v="277"/>
    <s v="3 days"/>
    <x v="236"/>
    <x v="294"/>
    <s v="4 days"/>
    <x v="2"/>
    <s v="New"/>
    <s v="Suite"/>
    <n v="3"/>
    <n v="4"/>
    <n v="3570"/>
    <n v="14280"/>
    <n v="0"/>
    <x v="0"/>
    <x v="1"/>
    <x v="1"/>
    <x v="1"/>
  </r>
  <r>
    <n v="2169"/>
    <s v="C0141"/>
    <x v="243"/>
    <s v="45 days"/>
    <x v="239"/>
    <x v="128"/>
    <s v="3 days"/>
    <x v="2"/>
    <s v="New"/>
    <s v="Suite"/>
    <n v="45"/>
    <n v="3"/>
    <n v="3474"/>
    <n v="10422"/>
    <n v="10422"/>
    <x v="0"/>
    <x v="0"/>
    <x v="0"/>
    <x v="0"/>
  </r>
  <r>
    <n v="2170"/>
    <s v="C0958"/>
    <x v="75"/>
    <s v="27 days"/>
    <x v="327"/>
    <x v="337"/>
    <s v="5 days"/>
    <x v="1"/>
    <s v="Returning"/>
    <s v="Suite"/>
    <n v="27"/>
    <n v="5"/>
    <n v="4238"/>
    <n v="21190"/>
    <n v="0"/>
    <x v="0"/>
    <x v="1"/>
    <x v="1"/>
    <x v="1"/>
  </r>
  <r>
    <n v="2171"/>
    <s v="C1234"/>
    <x v="343"/>
    <s v="35 days"/>
    <x v="170"/>
    <x v="188"/>
    <s v="2 days"/>
    <x v="3"/>
    <s v="Returning"/>
    <s v="Suite"/>
    <n v="35"/>
    <n v="2"/>
    <n v="5785"/>
    <n v="11570"/>
    <n v="0"/>
    <x v="0"/>
    <x v="1"/>
    <x v="1"/>
    <x v="1"/>
  </r>
  <r>
    <n v="2172"/>
    <s v="C0985"/>
    <x v="247"/>
    <s v="31 days"/>
    <x v="29"/>
    <x v="54"/>
    <s v="4 days"/>
    <x v="2"/>
    <s v="New"/>
    <s v="Deluxe"/>
    <n v="31"/>
    <n v="4"/>
    <n v="3257"/>
    <n v="13028"/>
    <n v="0"/>
    <x v="1"/>
    <x v="1"/>
    <x v="1"/>
    <x v="1"/>
  </r>
  <r>
    <n v="2173"/>
    <s v="C0993"/>
    <x v="15"/>
    <s v="15 days"/>
    <x v="332"/>
    <x v="202"/>
    <s v="1 days"/>
    <x v="3"/>
    <s v="Returning"/>
    <s v="Suite"/>
    <n v="15"/>
    <n v="1"/>
    <n v="5595"/>
    <n v="5595"/>
    <n v="0"/>
    <x v="1"/>
    <x v="1"/>
    <x v="1"/>
    <x v="0"/>
  </r>
  <r>
    <n v="2174"/>
    <s v="C0828"/>
    <x v="260"/>
    <s v="16 days"/>
    <x v="141"/>
    <x v="60"/>
    <s v="4 days"/>
    <x v="4"/>
    <s v="New"/>
    <s v="Deluxe"/>
    <n v="16"/>
    <n v="4"/>
    <n v="2820"/>
    <n v="11280"/>
    <n v="0"/>
    <x v="1"/>
    <x v="1"/>
    <x v="1"/>
    <x v="0"/>
  </r>
  <r>
    <n v="2175"/>
    <s v="C0683"/>
    <x v="77"/>
    <s v="13 days"/>
    <x v="88"/>
    <x v="125"/>
    <s v="2 days"/>
    <x v="1"/>
    <s v="Returning"/>
    <s v="Suite"/>
    <n v="13"/>
    <n v="2"/>
    <n v="4821"/>
    <n v="9642"/>
    <n v="9642"/>
    <x v="0"/>
    <x v="0"/>
    <x v="0"/>
    <x v="0"/>
  </r>
  <r>
    <n v="2176"/>
    <s v="C1484"/>
    <x v="287"/>
    <s v="49 days"/>
    <x v="14"/>
    <x v="153"/>
    <s v="3 days"/>
    <x v="2"/>
    <s v="Returning"/>
    <s v="Standard"/>
    <n v="49"/>
    <n v="3"/>
    <n v="3055"/>
    <n v="9165"/>
    <n v="0"/>
    <x v="1"/>
    <x v="1"/>
    <x v="1"/>
    <x v="0"/>
  </r>
  <r>
    <n v="2177"/>
    <s v="C1004"/>
    <x v="347"/>
    <s v="35 days"/>
    <x v="357"/>
    <x v="359"/>
    <s v="1 days"/>
    <x v="1"/>
    <s v="New"/>
    <s v="Suite"/>
    <n v="35"/>
    <n v="1"/>
    <n v="7439"/>
    <n v="7439"/>
    <n v="0"/>
    <x v="0"/>
    <x v="1"/>
    <x v="1"/>
    <x v="1"/>
  </r>
  <r>
    <n v="2178"/>
    <s v="C0356"/>
    <x v="240"/>
    <s v="52 days"/>
    <x v="120"/>
    <x v="314"/>
    <s v="1 days"/>
    <x v="1"/>
    <s v="New"/>
    <s v="Standard"/>
    <n v="52"/>
    <n v="1"/>
    <n v="7932"/>
    <n v="7932"/>
    <n v="0"/>
    <x v="1"/>
    <x v="1"/>
    <x v="1"/>
    <x v="1"/>
  </r>
  <r>
    <n v="2179"/>
    <s v="C1008"/>
    <x v="348"/>
    <s v="11 days"/>
    <x v="319"/>
    <x v="243"/>
    <s v="3 days"/>
    <x v="4"/>
    <s v="New"/>
    <s v="Deluxe"/>
    <n v="11"/>
    <n v="3"/>
    <n v="3886"/>
    <n v="11658"/>
    <n v="11658"/>
    <x v="0"/>
    <x v="0"/>
    <x v="0"/>
    <x v="1"/>
  </r>
  <r>
    <n v="2180"/>
    <s v="C1348"/>
    <x v="253"/>
    <s v="59 days"/>
    <x v="268"/>
    <x v="362"/>
    <s v="4 days"/>
    <x v="3"/>
    <s v="Returning"/>
    <s v="Suite"/>
    <n v="59"/>
    <n v="4"/>
    <n v="7263"/>
    <n v="29052"/>
    <n v="0"/>
    <x v="0"/>
    <x v="1"/>
    <x v="1"/>
    <x v="0"/>
  </r>
  <r>
    <n v="2181"/>
    <s v="C1157"/>
    <x v="127"/>
    <s v="21 days"/>
    <x v="66"/>
    <x v="84"/>
    <s v="5 days"/>
    <x v="1"/>
    <s v="Returning"/>
    <s v="Deluxe"/>
    <n v="21"/>
    <n v="5"/>
    <n v="5547"/>
    <n v="27735"/>
    <n v="27735"/>
    <x v="1"/>
    <x v="0"/>
    <x v="0"/>
    <x v="0"/>
  </r>
  <r>
    <n v="2182"/>
    <s v="C0888"/>
    <x v="19"/>
    <s v="51 days"/>
    <x v="61"/>
    <x v="49"/>
    <s v="4 days"/>
    <x v="0"/>
    <s v="Returning"/>
    <s v="Suite"/>
    <n v="51"/>
    <n v="4"/>
    <n v="4927"/>
    <n v="19708"/>
    <n v="0"/>
    <x v="0"/>
    <x v="1"/>
    <x v="1"/>
    <x v="0"/>
  </r>
  <r>
    <n v="2183"/>
    <s v="C0127"/>
    <x v="123"/>
    <s v="54 days"/>
    <x v="36"/>
    <x v="37"/>
    <s v="2 days"/>
    <x v="4"/>
    <s v="New"/>
    <s v="Deluxe"/>
    <n v="54"/>
    <n v="2"/>
    <n v="8538"/>
    <n v="17076"/>
    <n v="0"/>
    <x v="1"/>
    <x v="1"/>
    <x v="1"/>
    <x v="1"/>
  </r>
  <r>
    <n v="2184"/>
    <s v="C1130"/>
    <x v="256"/>
    <s v="11 days"/>
    <x v="181"/>
    <x v="343"/>
    <s v="5 days"/>
    <x v="0"/>
    <s v="New"/>
    <s v="Suite"/>
    <n v="11"/>
    <n v="5"/>
    <n v="4504"/>
    <n v="22520"/>
    <n v="0"/>
    <x v="1"/>
    <x v="1"/>
    <x v="1"/>
    <x v="0"/>
  </r>
  <r>
    <n v="2185"/>
    <s v="C1009"/>
    <x v="81"/>
    <s v="30 days"/>
    <x v="353"/>
    <x v="334"/>
    <s v="4 days"/>
    <x v="4"/>
    <s v="Returning"/>
    <s v="Suite"/>
    <n v="30"/>
    <n v="4"/>
    <n v="4430"/>
    <n v="17720"/>
    <n v="0"/>
    <x v="1"/>
    <x v="1"/>
    <x v="1"/>
    <x v="0"/>
  </r>
  <r>
    <n v="2186"/>
    <s v="C0604"/>
    <x v="126"/>
    <s v="48 days"/>
    <x v="64"/>
    <x v="203"/>
    <s v="3 days"/>
    <x v="0"/>
    <s v="New"/>
    <s v="Standard"/>
    <n v="48"/>
    <n v="3"/>
    <n v="7341"/>
    <n v="22023"/>
    <n v="22023"/>
    <x v="1"/>
    <x v="0"/>
    <x v="0"/>
    <x v="1"/>
  </r>
  <r>
    <n v="2187"/>
    <s v="C1402"/>
    <x v="245"/>
    <s v="53 days"/>
    <x v="67"/>
    <x v="66"/>
    <s v="2 days"/>
    <x v="0"/>
    <s v="Returning"/>
    <s v="Deluxe"/>
    <n v="53"/>
    <n v="2"/>
    <n v="7270"/>
    <n v="14540"/>
    <n v="14540"/>
    <x v="1"/>
    <x v="0"/>
    <x v="0"/>
    <x v="1"/>
  </r>
  <r>
    <n v="2188"/>
    <s v="C1014"/>
    <x v="24"/>
    <s v="35 days"/>
    <x v="156"/>
    <x v="378"/>
    <s v="2 days"/>
    <x v="1"/>
    <s v="New"/>
    <s v="Deluxe"/>
    <n v="35"/>
    <n v="2"/>
    <n v="4663"/>
    <n v="9326"/>
    <n v="0"/>
    <x v="1"/>
    <x v="1"/>
    <x v="1"/>
    <x v="0"/>
  </r>
  <r>
    <n v="2189"/>
    <s v="C0051"/>
    <x v="33"/>
    <s v="22 days"/>
    <x v="59"/>
    <x v="103"/>
    <s v="2 days"/>
    <x v="1"/>
    <s v="Returning"/>
    <s v="Deluxe"/>
    <n v="22"/>
    <n v="2"/>
    <n v="7661"/>
    <n v="15322"/>
    <n v="0"/>
    <x v="1"/>
    <x v="1"/>
    <x v="1"/>
    <x v="1"/>
  </r>
  <r>
    <n v="2190"/>
    <s v="C1053"/>
    <x v="176"/>
    <s v="38 days"/>
    <x v="320"/>
    <x v="47"/>
    <s v="5 days"/>
    <x v="4"/>
    <s v="Returning"/>
    <s v="Deluxe"/>
    <n v="38"/>
    <n v="5"/>
    <n v="6367"/>
    <n v="31835"/>
    <n v="0"/>
    <x v="1"/>
    <x v="1"/>
    <x v="1"/>
    <x v="0"/>
  </r>
  <r>
    <n v="2191"/>
    <s v="C1486"/>
    <x v="152"/>
    <s v="31 days"/>
    <x v="151"/>
    <x v="184"/>
    <s v="1 days"/>
    <x v="3"/>
    <s v="Returning"/>
    <s v="Deluxe"/>
    <n v="31"/>
    <n v="1"/>
    <n v="4926"/>
    <n v="4926"/>
    <n v="0"/>
    <x v="1"/>
    <x v="1"/>
    <x v="1"/>
    <x v="1"/>
  </r>
  <r>
    <n v="2192"/>
    <s v="C1320"/>
    <x v="49"/>
    <s v="14 days"/>
    <x v="295"/>
    <x v="159"/>
    <s v="5 days"/>
    <x v="1"/>
    <s v="New"/>
    <s v="Standard"/>
    <n v="14"/>
    <n v="5"/>
    <n v="6293"/>
    <n v="31465"/>
    <n v="31465"/>
    <x v="0"/>
    <x v="0"/>
    <x v="0"/>
    <x v="1"/>
  </r>
  <r>
    <n v="2193"/>
    <s v="C1321"/>
    <x v="168"/>
    <s v="24 days"/>
    <x v="193"/>
    <x v="156"/>
    <s v="4 days"/>
    <x v="1"/>
    <s v="New"/>
    <s v="Suite"/>
    <n v="24"/>
    <n v="4"/>
    <n v="5013"/>
    <n v="20052"/>
    <n v="0"/>
    <x v="0"/>
    <x v="1"/>
    <x v="1"/>
    <x v="1"/>
  </r>
  <r>
    <n v="2194"/>
    <s v="C0779"/>
    <x v="144"/>
    <s v="50 days"/>
    <x v="49"/>
    <x v="355"/>
    <s v="1 days"/>
    <x v="2"/>
    <s v="Returning"/>
    <s v="Standard"/>
    <n v="50"/>
    <n v="1"/>
    <n v="6303"/>
    <n v="6303"/>
    <n v="6303"/>
    <x v="1"/>
    <x v="0"/>
    <x v="0"/>
    <x v="0"/>
  </r>
  <r>
    <n v="2195"/>
    <s v="C1431"/>
    <x v="238"/>
    <s v="49 days"/>
    <x v="88"/>
    <x v="222"/>
    <s v="4 days"/>
    <x v="1"/>
    <s v="Returning"/>
    <s v="Deluxe"/>
    <n v="49"/>
    <n v="4"/>
    <n v="4827"/>
    <n v="19308"/>
    <n v="0"/>
    <x v="0"/>
    <x v="1"/>
    <x v="1"/>
    <x v="0"/>
  </r>
  <r>
    <n v="2196"/>
    <s v="C0814"/>
    <x v="215"/>
    <s v="32 days"/>
    <x v="38"/>
    <x v="78"/>
    <s v="1 days"/>
    <x v="3"/>
    <s v="Returning"/>
    <s v="Deluxe"/>
    <n v="32"/>
    <n v="1"/>
    <n v="3117"/>
    <n v="3117"/>
    <n v="3117"/>
    <x v="0"/>
    <x v="0"/>
    <x v="0"/>
    <x v="0"/>
  </r>
  <r>
    <n v="2197"/>
    <s v="C1429"/>
    <x v="274"/>
    <s v="36 days"/>
    <x v="198"/>
    <x v="234"/>
    <s v="5 days"/>
    <x v="2"/>
    <s v="Returning"/>
    <s v="Suite"/>
    <n v="36"/>
    <n v="5"/>
    <n v="4665"/>
    <n v="23325"/>
    <n v="23325"/>
    <x v="1"/>
    <x v="0"/>
    <x v="0"/>
    <x v="1"/>
  </r>
  <r>
    <n v="2198"/>
    <s v="C1370"/>
    <x v="161"/>
    <s v="32 days"/>
    <x v="184"/>
    <x v="329"/>
    <s v="2 days"/>
    <x v="0"/>
    <s v="Returning"/>
    <s v="Standard"/>
    <n v="32"/>
    <n v="2"/>
    <n v="5808"/>
    <n v="11616"/>
    <n v="11616"/>
    <x v="1"/>
    <x v="0"/>
    <x v="0"/>
    <x v="1"/>
  </r>
  <r>
    <n v="2199"/>
    <s v="C0420"/>
    <x v="182"/>
    <s v="55 days"/>
    <x v="94"/>
    <x v="91"/>
    <s v="3 days"/>
    <x v="0"/>
    <s v="Returning"/>
    <s v="Suite"/>
    <n v="55"/>
    <n v="3"/>
    <n v="8952"/>
    <n v="26856"/>
    <n v="0"/>
    <x v="0"/>
    <x v="1"/>
    <x v="1"/>
    <x v="1"/>
  </r>
  <r>
    <n v="2200"/>
    <s v="C1206"/>
    <x v="346"/>
    <s v="15 days"/>
    <x v="334"/>
    <x v="67"/>
    <s v="2 days"/>
    <x v="2"/>
    <s v="New"/>
    <s v="Suite"/>
    <n v="15"/>
    <n v="2"/>
    <n v="8743"/>
    <n v="17486"/>
    <n v="17486"/>
    <x v="1"/>
    <x v="0"/>
    <x v="0"/>
    <x v="1"/>
  </r>
  <r>
    <n v="2201"/>
    <s v="C0983"/>
    <x v="64"/>
    <s v="43 days"/>
    <x v="127"/>
    <x v="124"/>
    <s v="5 days"/>
    <x v="2"/>
    <s v="New"/>
    <s v="Standard"/>
    <n v="43"/>
    <n v="5"/>
    <n v="8904"/>
    <n v="44520"/>
    <n v="0"/>
    <x v="1"/>
    <x v="1"/>
    <x v="1"/>
    <x v="0"/>
  </r>
  <r>
    <n v="2202"/>
    <s v="C0825"/>
    <x v="197"/>
    <s v="58 days"/>
    <x v="325"/>
    <x v="315"/>
    <s v="1 days"/>
    <x v="2"/>
    <s v="New"/>
    <s v="Suite"/>
    <n v="58"/>
    <n v="1"/>
    <n v="3492"/>
    <n v="3492"/>
    <n v="0"/>
    <x v="1"/>
    <x v="1"/>
    <x v="1"/>
    <x v="0"/>
  </r>
  <r>
    <n v="2203"/>
    <s v="C1025"/>
    <x v="337"/>
    <s v="35 days"/>
    <x v="118"/>
    <x v="86"/>
    <s v="2 days"/>
    <x v="4"/>
    <s v="New"/>
    <s v="Standard"/>
    <n v="35"/>
    <n v="2"/>
    <n v="7924"/>
    <n v="15848"/>
    <n v="0"/>
    <x v="0"/>
    <x v="1"/>
    <x v="1"/>
    <x v="0"/>
  </r>
  <r>
    <n v="2204"/>
    <s v="C0567"/>
    <x v="87"/>
    <s v="3 days"/>
    <x v="206"/>
    <x v="61"/>
    <s v="5 days"/>
    <x v="3"/>
    <s v="Returning"/>
    <s v="Standard"/>
    <n v="3"/>
    <n v="5"/>
    <n v="3877"/>
    <n v="19385"/>
    <n v="19385"/>
    <x v="1"/>
    <x v="0"/>
    <x v="0"/>
    <x v="1"/>
  </r>
  <r>
    <n v="2205"/>
    <s v="C0371"/>
    <x v="134"/>
    <s v="16 days"/>
    <x v="279"/>
    <x v="379"/>
    <s v="4 days"/>
    <x v="3"/>
    <s v="Returning"/>
    <s v="Deluxe"/>
    <n v="16"/>
    <n v="4"/>
    <n v="6881"/>
    <n v="27524"/>
    <n v="27524"/>
    <x v="0"/>
    <x v="0"/>
    <x v="0"/>
    <x v="1"/>
  </r>
  <r>
    <n v="2206"/>
    <s v="C0936"/>
    <x v="135"/>
    <s v="5 days"/>
    <x v="163"/>
    <x v="312"/>
    <s v="3 days"/>
    <x v="0"/>
    <s v="Returning"/>
    <s v="Suite"/>
    <n v="5"/>
    <n v="3"/>
    <n v="8971"/>
    <n v="26913"/>
    <n v="26913"/>
    <x v="1"/>
    <x v="0"/>
    <x v="0"/>
    <x v="0"/>
  </r>
  <r>
    <n v="2207"/>
    <s v="C0661"/>
    <x v="77"/>
    <s v="21 days"/>
    <x v="3"/>
    <x v="297"/>
    <s v="2 days"/>
    <x v="0"/>
    <s v="New"/>
    <s v="Deluxe"/>
    <n v="21"/>
    <n v="2"/>
    <n v="5674"/>
    <n v="11348"/>
    <n v="11348"/>
    <x v="1"/>
    <x v="0"/>
    <x v="0"/>
    <x v="1"/>
  </r>
  <r>
    <n v="2208"/>
    <s v="C1455"/>
    <x v="175"/>
    <s v="10 days"/>
    <x v="167"/>
    <x v="281"/>
    <s v="1 days"/>
    <x v="0"/>
    <s v="New"/>
    <s v="Suite"/>
    <n v="10"/>
    <n v="1"/>
    <n v="8706"/>
    <n v="8706"/>
    <n v="0"/>
    <x v="0"/>
    <x v="1"/>
    <x v="1"/>
    <x v="0"/>
  </r>
  <r>
    <n v="2209"/>
    <s v="C0969"/>
    <x v="65"/>
    <s v="19 days"/>
    <x v="321"/>
    <x v="329"/>
    <s v="4 days"/>
    <x v="1"/>
    <s v="Returning"/>
    <s v="Suite"/>
    <n v="19"/>
    <n v="4"/>
    <n v="7282"/>
    <n v="29128"/>
    <n v="0"/>
    <x v="1"/>
    <x v="1"/>
    <x v="1"/>
    <x v="1"/>
  </r>
  <r>
    <n v="2210"/>
    <s v="C1333"/>
    <x v="182"/>
    <s v="25 days"/>
    <x v="50"/>
    <x v="350"/>
    <s v="5 days"/>
    <x v="0"/>
    <s v="New"/>
    <s v="Deluxe"/>
    <n v="25"/>
    <n v="5"/>
    <n v="3805"/>
    <n v="19025"/>
    <n v="19025"/>
    <x v="0"/>
    <x v="0"/>
    <x v="0"/>
    <x v="1"/>
  </r>
  <r>
    <n v="2211"/>
    <s v="C1161"/>
    <x v="71"/>
    <s v="4 days"/>
    <x v="286"/>
    <x v="359"/>
    <s v="3 days"/>
    <x v="2"/>
    <s v="New"/>
    <s v="Deluxe"/>
    <n v="4"/>
    <n v="3"/>
    <n v="8060"/>
    <n v="24180"/>
    <n v="24180"/>
    <x v="0"/>
    <x v="0"/>
    <x v="0"/>
    <x v="0"/>
  </r>
  <r>
    <n v="2212"/>
    <s v="C0202"/>
    <x v="349"/>
    <s v="29 days"/>
    <x v="106"/>
    <x v="172"/>
    <s v="1 days"/>
    <x v="0"/>
    <s v="Returning"/>
    <s v="Deluxe"/>
    <n v="29"/>
    <n v="1"/>
    <n v="7333"/>
    <n v="7333"/>
    <n v="7333"/>
    <x v="1"/>
    <x v="0"/>
    <x v="0"/>
    <x v="0"/>
  </r>
  <r>
    <n v="2213"/>
    <s v="C1460"/>
    <x v="42"/>
    <s v="19 days"/>
    <x v="242"/>
    <x v="264"/>
    <s v="5 days"/>
    <x v="2"/>
    <s v="Returning"/>
    <s v="Standard"/>
    <n v="19"/>
    <n v="5"/>
    <n v="5578"/>
    <n v="27890"/>
    <n v="27890"/>
    <x v="1"/>
    <x v="0"/>
    <x v="0"/>
    <x v="1"/>
  </r>
  <r>
    <n v="2214"/>
    <s v="C0313"/>
    <x v="241"/>
    <s v="43 days"/>
    <x v="68"/>
    <x v="25"/>
    <s v="5 days"/>
    <x v="4"/>
    <s v="Returning"/>
    <s v="Suite"/>
    <n v="43"/>
    <n v="5"/>
    <n v="5186"/>
    <n v="25930"/>
    <n v="0"/>
    <x v="0"/>
    <x v="1"/>
    <x v="1"/>
    <x v="0"/>
  </r>
  <r>
    <n v="2215"/>
    <s v="C0117"/>
    <x v="163"/>
    <s v="2 days"/>
    <x v="304"/>
    <x v="209"/>
    <s v="2 days"/>
    <x v="1"/>
    <s v="New"/>
    <s v="Standard"/>
    <n v="2"/>
    <n v="2"/>
    <n v="5483"/>
    <n v="10966"/>
    <n v="10966"/>
    <x v="0"/>
    <x v="0"/>
    <x v="0"/>
    <x v="0"/>
  </r>
  <r>
    <n v="2216"/>
    <s v="C0937"/>
    <x v="222"/>
    <s v="10 days"/>
    <x v="94"/>
    <x v="124"/>
    <s v="2 days"/>
    <x v="1"/>
    <s v="Returning"/>
    <s v="Suite"/>
    <n v="10"/>
    <n v="2"/>
    <n v="8554"/>
    <n v="17108"/>
    <n v="0"/>
    <x v="1"/>
    <x v="1"/>
    <x v="1"/>
    <x v="1"/>
  </r>
  <r>
    <n v="2217"/>
    <s v="C0575"/>
    <x v="85"/>
    <s v="43 days"/>
    <x v="301"/>
    <x v="374"/>
    <s v="1 days"/>
    <x v="3"/>
    <s v="Returning"/>
    <s v="Suite"/>
    <n v="43"/>
    <n v="1"/>
    <n v="8490"/>
    <n v="8490"/>
    <n v="0"/>
    <x v="1"/>
    <x v="1"/>
    <x v="1"/>
    <x v="1"/>
  </r>
  <r>
    <n v="2218"/>
    <s v="C0244"/>
    <x v="104"/>
    <s v="25 days"/>
    <x v="377"/>
    <x v="24"/>
    <s v="5 days"/>
    <x v="4"/>
    <s v="Returning"/>
    <s v="Standard"/>
    <n v="25"/>
    <n v="5"/>
    <n v="5023"/>
    <n v="25115"/>
    <n v="25115"/>
    <x v="1"/>
    <x v="0"/>
    <x v="0"/>
    <x v="1"/>
  </r>
  <r>
    <n v="2219"/>
    <s v="C0537"/>
    <x v="137"/>
    <s v="20 days"/>
    <x v="48"/>
    <x v="48"/>
    <s v="2 days"/>
    <x v="2"/>
    <s v="New"/>
    <s v="Standard"/>
    <n v="20"/>
    <n v="2"/>
    <n v="6082"/>
    <n v="12164"/>
    <n v="0"/>
    <x v="1"/>
    <x v="1"/>
    <x v="1"/>
    <x v="0"/>
  </r>
  <r>
    <n v="2220"/>
    <s v="C0075"/>
    <x v="127"/>
    <s v="48 days"/>
    <x v="174"/>
    <x v="380"/>
    <s v="3 days"/>
    <x v="4"/>
    <s v="New"/>
    <s v="Suite"/>
    <n v="48"/>
    <n v="3"/>
    <n v="3985"/>
    <n v="11955"/>
    <n v="0"/>
    <x v="1"/>
    <x v="1"/>
    <x v="1"/>
    <x v="1"/>
  </r>
  <r>
    <n v="2221"/>
    <s v="C0386"/>
    <x v="178"/>
    <s v="19 days"/>
    <x v="355"/>
    <x v="217"/>
    <s v="3 days"/>
    <x v="1"/>
    <s v="Returning"/>
    <s v="Deluxe"/>
    <n v="19"/>
    <n v="3"/>
    <n v="4600"/>
    <n v="13800"/>
    <n v="13800"/>
    <x v="0"/>
    <x v="0"/>
    <x v="0"/>
    <x v="1"/>
  </r>
  <r>
    <n v="2222"/>
    <s v="C1234"/>
    <x v="350"/>
    <s v="23 days"/>
    <x v="297"/>
    <x v="302"/>
    <s v="5 days"/>
    <x v="2"/>
    <s v="Returning"/>
    <s v="Deluxe"/>
    <n v="23"/>
    <n v="5"/>
    <n v="7081"/>
    <n v="35405"/>
    <n v="0"/>
    <x v="0"/>
    <x v="1"/>
    <x v="1"/>
    <x v="1"/>
  </r>
  <r>
    <n v="2223"/>
    <s v="C0475"/>
    <x v="293"/>
    <s v="24 days"/>
    <x v="19"/>
    <x v="0"/>
    <s v="2 days"/>
    <x v="4"/>
    <s v="New"/>
    <s v="Deluxe"/>
    <n v="24"/>
    <n v="2"/>
    <n v="6215"/>
    <n v="12430"/>
    <n v="0"/>
    <x v="0"/>
    <x v="1"/>
    <x v="1"/>
    <x v="1"/>
  </r>
  <r>
    <n v="2224"/>
    <s v="C0418"/>
    <x v="24"/>
    <s v="11 days"/>
    <x v="378"/>
    <x v="256"/>
    <s v="1 days"/>
    <x v="1"/>
    <s v="New"/>
    <s v="Deluxe"/>
    <n v="11"/>
    <n v="1"/>
    <n v="8109"/>
    <n v="8109"/>
    <n v="8109"/>
    <x v="0"/>
    <x v="0"/>
    <x v="0"/>
    <x v="1"/>
  </r>
  <r>
    <n v="2225"/>
    <s v="C0347"/>
    <x v="312"/>
    <s v="46 days"/>
    <x v="14"/>
    <x v="209"/>
    <s v="1 days"/>
    <x v="2"/>
    <s v="Returning"/>
    <s v="Suite"/>
    <n v="46"/>
    <n v="1"/>
    <n v="4501"/>
    <n v="4501"/>
    <n v="0"/>
    <x v="1"/>
    <x v="1"/>
    <x v="1"/>
    <x v="0"/>
  </r>
  <r>
    <n v="2226"/>
    <s v="C0640"/>
    <x v="28"/>
    <s v="34 days"/>
    <x v="329"/>
    <x v="335"/>
    <s v="1 days"/>
    <x v="2"/>
    <s v="New"/>
    <s v="Deluxe"/>
    <n v="34"/>
    <n v="1"/>
    <n v="3887"/>
    <n v="3887"/>
    <n v="0"/>
    <x v="0"/>
    <x v="1"/>
    <x v="1"/>
    <x v="1"/>
  </r>
  <r>
    <n v="2227"/>
    <s v="C0939"/>
    <x v="231"/>
    <s v="55 days"/>
    <x v="19"/>
    <x v="298"/>
    <s v="3 days"/>
    <x v="1"/>
    <s v="Returning"/>
    <s v="Deluxe"/>
    <n v="55"/>
    <n v="3"/>
    <n v="5683"/>
    <n v="17049"/>
    <n v="0"/>
    <x v="1"/>
    <x v="1"/>
    <x v="1"/>
    <x v="1"/>
  </r>
  <r>
    <n v="2228"/>
    <s v="C0955"/>
    <x v="208"/>
    <s v="28 days"/>
    <x v="359"/>
    <x v="131"/>
    <s v="2 days"/>
    <x v="2"/>
    <s v="Returning"/>
    <s v="Deluxe"/>
    <n v="28"/>
    <n v="2"/>
    <n v="3530"/>
    <n v="7060"/>
    <n v="7060"/>
    <x v="1"/>
    <x v="0"/>
    <x v="0"/>
    <x v="0"/>
  </r>
  <r>
    <n v="2229"/>
    <s v="C0876"/>
    <x v="59"/>
    <s v="5 days"/>
    <x v="159"/>
    <x v="153"/>
    <s v="2 days"/>
    <x v="1"/>
    <s v="New"/>
    <s v="Suite"/>
    <n v="5"/>
    <n v="2"/>
    <n v="4265"/>
    <n v="8530"/>
    <n v="8530"/>
    <x v="1"/>
    <x v="0"/>
    <x v="0"/>
    <x v="1"/>
  </r>
  <r>
    <n v="2230"/>
    <s v="C0763"/>
    <x v="25"/>
    <s v="59 days"/>
    <x v="244"/>
    <x v="242"/>
    <s v="3 days"/>
    <x v="0"/>
    <s v="Returning"/>
    <s v="Standard"/>
    <n v="59"/>
    <n v="3"/>
    <n v="7263"/>
    <n v="21789"/>
    <n v="0"/>
    <x v="1"/>
    <x v="1"/>
    <x v="1"/>
    <x v="1"/>
  </r>
  <r>
    <n v="2231"/>
    <s v="C1203"/>
    <x v="55"/>
    <s v="5 days"/>
    <x v="138"/>
    <x v="22"/>
    <s v="1 days"/>
    <x v="0"/>
    <s v="Returning"/>
    <s v="Deluxe"/>
    <n v="5"/>
    <n v="1"/>
    <n v="3720"/>
    <n v="3720"/>
    <n v="0"/>
    <x v="1"/>
    <x v="1"/>
    <x v="1"/>
    <x v="0"/>
  </r>
  <r>
    <n v="2232"/>
    <s v="C1206"/>
    <x v="8"/>
    <s v="51 days"/>
    <x v="328"/>
    <x v="197"/>
    <s v="1 days"/>
    <x v="2"/>
    <s v="New"/>
    <s v="Suite"/>
    <n v="51"/>
    <n v="1"/>
    <n v="7430"/>
    <n v="7430"/>
    <n v="7430"/>
    <x v="0"/>
    <x v="0"/>
    <x v="0"/>
    <x v="1"/>
  </r>
  <r>
    <n v="2233"/>
    <s v="C0664"/>
    <x v="161"/>
    <s v="21 days"/>
    <x v="143"/>
    <x v="121"/>
    <s v="5 days"/>
    <x v="2"/>
    <s v="Returning"/>
    <s v="Suite"/>
    <n v="21"/>
    <n v="5"/>
    <n v="7471"/>
    <n v="37355"/>
    <n v="0"/>
    <x v="1"/>
    <x v="1"/>
    <x v="1"/>
    <x v="0"/>
  </r>
  <r>
    <n v="2234"/>
    <s v="C0025"/>
    <x v="113"/>
    <s v="12 days"/>
    <x v="146"/>
    <x v="20"/>
    <s v="4 days"/>
    <x v="1"/>
    <s v="New"/>
    <s v="Deluxe"/>
    <n v="12"/>
    <n v="4"/>
    <n v="6306"/>
    <n v="25224"/>
    <n v="0"/>
    <x v="1"/>
    <x v="1"/>
    <x v="1"/>
    <x v="1"/>
  </r>
  <r>
    <n v="2235"/>
    <s v="C1204"/>
    <x v="71"/>
    <s v="50 days"/>
    <x v="200"/>
    <x v="107"/>
    <s v="2 days"/>
    <x v="2"/>
    <s v="Returning"/>
    <s v="Standard"/>
    <n v="50"/>
    <n v="2"/>
    <n v="4914"/>
    <n v="9828"/>
    <n v="0"/>
    <x v="1"/>
    <x v="1"/>
    <x v="1"/>
    <x v="0"/>
  </r>
  <r>
    <n v="2236"/>
    <s v="C0710"/>
    <x v="336"/>
    <s v="4 days"/>
    <x v="143"/>
    <x v="69"/>
    <s v="2 days"/>
    <x v="3"/>
    <s v="Returning"/>
    <s v="Standard"/>
    <n v="4"/>
    <n v="2"/>
    <n v="7597"/>
    <n v="15194"/>
    <n v="15194"/>
    <x v="0"/>
    <x v="0"/>
    <x v="0"/>
    <x v="0"/>
  </r>
  <r>
    <n v="2237"/>
    <s v="C1185"/>
    <x v="305"/>
    <s v="54 days"/>
    <x v="150"/>
    <x v="53"/>
    <s v="2 days"/>
    <x v="0"/>
    <s v="New"/>
    <s v="Standard"/>
    <n v="54"/>
    <n v="2"/>
    <n v="6845"/>
    <n v="13690"/>
    <n v="13690"/>
    <x v="1"/>
    <x v="0"/>
    <x v="0"/>
    <x v="1"/>
  </r>
  <r>
    <n v="2238"/>
    <s v="C0177"/>
    <x v="286"/>
    <s v="49 days"/>
    <x v="300"/>
    <x v="333"/>
    <s v="4 days"/>
    <x v="2"/>
    <s v="New"/>
    <s v="Suite"/>
    <n v="49"/>
    <n v="4"/>
    <n v="8535"/>
    <n v="34140"/>
    <n v="34140"/>
    <x v="1"/>
    <x v="0"/>
    <x v="0"/>
    <x v="0"/>
  </r>
  <r>
    <n v="2239"/>
    <s v="C0285"/>
    <x v="344"/>
    <s v="42 days"/>
    <x v="207"/>
    <x v="201"/>
    <s v="5 days"/>
    <x v="2"/>
    <s v="New"/>
    <s v="Deluxe"/>
    <n v="42"/>
    <n v="5"/>
    <n v="4118"/>
    <n v="20590"/>
    <n v="0"/>
    <x v="1"/>
    <x v="1"/>
    <x v="1"/>
    <x v="0"/>
  </r>
  <r>
    <n v="2240"/>
    <s v="C0063"/>
    <x v="284"/>
    <s v="20 days"/>
    <x v="26"/>
    <x v="1"/>
    <s v="4 days"/>
    <x v="4"/>
    <s v="New"/>
    <s v="Deluxe"/>
    <n v="20"/>
    <n v="4"/>
    <n v="3763"/>
    <n v="15052"/>
    <n v="15052"/>
    <x v="0"/>
    <x v="0"/>
    <x v="0"/>
    <x v="1"/>
  </r>
  <r>
    <n v="2241"/>
    <s v="C1003"/>
    <x v="188"/>
    <s v="38 days"/>
    <x v="322"/>
    <x v="127"/>
    <s v="1 days"/>
    <x v="2"/>
    <s v="New"/>
    <s v="Suite"/>
    <n v="38"/>
    <n v="1"/>
    <n v="3371"/>
    <n v="3371"/>
    <n v="3371"/>
    <x v="1"/>
    <x v="0"/>
    <x v="0"/>
    <x v="1"/>
  </r>
  <r>
    <n v="2242"/>
    <s v="C0662"/>
    <x v="9"/>
    <s v="25 days"/>
    <x v="101"/>
    <x v="375"/>
    <s v="1 days"/>
    <x v="3"/>
    <s v="New"/>
    <s v="Deluxe"/>
    <n v="25"/>
    <n v="1"/>
    <n v="3334"/>
    <n v="3334"/>
    <n v="3334"/>
    <x v="0"/>
    <x v="0"/>
    <x v="0"/>
    <x v="0"/>
  </r>
  <r>
    <n v="2243"/>
    <s v="C0666"/>
    <x v="81"/>
    <s v="14 days"/>
    <x v="287"/>
    <x v="279"/>
    <s v="2 days"/>
    <x v="0"/>
    <s v="Returning"/>
    <s v="Deluxe"/>
    <n v="14"/>
    <n v="2"/>
    <n v="5322"/>
    <n v="10644"/>
    <n v="0"/>
    <x v="0"/>
    <x v="1"/>
    <x v="1"/>
    <x v="1"/>
  </r>
  <r>
    <n v="2244"/>
    <s v="C0156"/>
    <x v="160"/>
    <s v="11 days"/>
    <x v="55"/>
    <x v="7"/>
    <s v="3 days"/>
    <x v="4"/>
    <s v="New"/>
    <s v="Standard"/>
    <n v="11"/>
    <n v="3"/>
    <n v="3418"/>
    <n v="10254"/>
    <n v="10254"/>
    <x v="1"/>
    <x v="0"/>
    <x v="0"/>
    <x v="0"/>
  </r>
  <r>
    <n v="2245"/>
    <s v="C1493"/>
    <x v="63"/>
    <s v="32 days"/>
    <x v="359"/>
    <x v="131"/>
    <s v="2 days"/>
    <x v="1"/>
    <s v="Returning"/>
    <s v="Deluxe"/>
    <n v="32"/>
    <n v="2"/>
    <n v="4224"/>
    <n v="8448"/>
    <n v="0"/>
    <x v="0"/>
    <x v="1"/>
    <x v="1"/>
    <x v="0"/>
  </r>
  <r>
    <n v="2246"/>
    <s v="C1073"/>
    <x v="209"/>
    <s v="11 days"/>
    <x v="244"/>
    <x v="242"/>
    <s v="3 days"/>
    <x v="1"/>
    <s v="New"/>
    <s v="Deluxe"/>
    <n v="11"/>
    <n v="3"/>
    <n v="4913"/>
    <n v="14739"/>
    <n v="14739"/>
    <x v="0"/>
    <x v="0"/>
    <x v="0"/>
    <x v="1"/>
  </r>
  <r>
    <n v="2247"/>
    <s v="C0967"/>
    <x v="305"/>
    <s v="18 days"/>
    <x v="81"/>
    <x v="119"/>
    <s v="4 days"/>
    <x v="0"/>
    <s v="Returning"/>
    <s v="Suite"/>
    <n v="18"/>
    <n v="4"/>
    <n v="3813"/>
    <n v="15252"/>
    <n v="0"/>
    <x v="1"/>
    <x v="1"/>
    <x v="1"/>
    <x v="1"/>
  </r>
  <r>
    <n v="2248"/>
    <s v="C0849"/>
    <x v="214"/>
    <s v="27 days"/>
    <x v="328"/>
    <x v="197"/>
    <s v="1 days"/>
    <x v="1"/>
    <s v="Returning"/>
    <s v="Suite"/>
    <n v="27"/>
    <n v="1"/>
    <n v="8493"/>
    <n v="8493"/>
    <n v="8493"/>
    <x v="1"/>
    <x v="0"/>
    <x v="0"/>
    <x v="0"/>
  </r>
  <r>
    <n v="2249"/>
    <s v="C1108"/>
    <x v="27"/>
    <s v="55 days"/>
    <x v="132"/>
    <x v="161"/>
    <s v="3 days"/>
    <x v="3"/>
    <s v="New"/>
    <s v="Standard"/>
    <n v="55"/>
    <n v="3"/>
    <n v="6998"/>
    <n v="20994"/>
    <n v="0"/>
    <x v="1"/>
    <x v="1"/>
    <x v="1"/>
    <x v="1"/>
  </r>
  <r>
    <n v="2250"/>
    <s v="C1385"/>
    <x v="129"/>
    <s v="54 days"/>
    <x v="173"/>
    <x v="111"/>
    <s v="4 days"/>
    <x v="2"/>
    <s v="Returning"/>
    <s v="Suite"/>
    <n v="54"/>
    <n v="4"/>
    <n v="4605"/>
    <n v="18420"/>
    <n v="0"/>
    <x v="1"/>
    <x v="1"/>
    <x v="1"/>
    <x v="1"/>
  </r>
  <r>
    <n v="2251"/>
    <s v="C0689"/>
    <x v="58"/>
    <s v="18 days"/>
    <x v="313"/>
    <x v="99"/>
    <s v="1 days"/>
    <x v="0"/>
    <s v="Returning"/>
    <s v="Standard"/>
    <n v="18"/>
    <n v="1"/>
    <n v="5068"/>
    <n v="5068"/>
    <n v="5068"/>
    <x v="0"/>
    <x v="0"/>
    <x v="0"/>
    <x v="0"/>
  </r>
  <r>
    <n v="2252"/>
    <s v="C0148"/>
    <x v="351"/>
    <s v="56 days"/>
    <x v="340"/>
    <x v="381"/>
    <s v="3 days"/>
    <x v="4"/>
    <s v="Returning"/>
    <s v="Standard"/>
    <n v="56"/>
    <n v="3"/>
    <n v="7923"/>
    <n v="23769"/>
    <n v="23769"/>
    <x v="0"/>
    <x v="0"/>
    <x v="0"/>
    <x v="0"/>
  </r>
  <r>
    <n v="2253"/>
    <s v="C0342"/>
    <x v="196"/>
    <s v="23 days"/>
    <x v="64"/>
    <x v="127"/>
    <s v="2 days"/>
    <x v="2"/>
    <s v="New"/>
    <s v="Deluxe"/>
    <n v="23"/>
    <n v="2"/>
    <n v="3638"/>
    <n v="7276"/>
    <n v="7276"/>
    <x v="1"/>
    <x v="0"/>
    <x v="0"/>
    <x v="0"/>
  </r>
  <r>
    <n v="2254"/>
    <s v="C0476"/>
    <x v="346"/>
    <s v="11 days"/>
    <x v="182"/>
    <x v="61"/>
    <s v="2 days"/>
    <x v="1"/>
    <s v="New"/>
    <s v="Standard"/>
    <n v="11"/>
    <n v="2"/>
    <n v="2709"/>
    <n v="5418"/>
    <n v="5418"/>
    <x v="1"/>
    <x v="0"/>
    <x v="0"/>
    <x v="0"/>
  </r>
  <r>
    <n v="2255"/>
    <s v="C1087"/>
    <x v="142"/>
    <s v="21 days"/>
    <x v="378"/>
    <x v="172"/>
    <s v="2 days"/>
    <x v="1"/>
    <s v="Returning"/>
    <s v="Deluxe"/>
    <n v="21"/>
    <n v="2"/>
    <n v="3564"/>
    <n v="7128"/>
    <n v="0"/>
    <x v="1"/>
    <x v="1"/>
    <x v="1"/>
    <x v="0"/>
  </r>
  <r>
    <n v="2256"/>
    <s v="C1384"/>
    <x v="81"/>
    <s v="44 days"/>
    <x v="279"/>
    <x v="379"/>
    <s v="4 days"/>
    <x v="4"/>
    <s v="New"/>
    <s v="Standard"/>
    <n v="44"/>
    <n v="4"/>
    <n v="7411"/>
    <n v="29644"/>
    <n v="0"/>
    <x v="0"/>
    <x v="1"/>
    <x v="1"/>
    <x v="0"/>
  </r>
  <r>
    <n v="2257"/>
    <s v="C0561"/>
    <x v="91"/>
    <s v="5 days"/>
    <x v="348"/>
    <x v="233"/>
    <s v="2 days"/>
    <x v="3"/>
    <s v="New"/>
    <s v="Suite"/>
    <n v="5"/>
    <n v="2"/>
    <n v="4720"/>
    <n v="9440"/>
    <n v="9440"/>
    <x v="1"/>
    <x v="0"/>
    <x v="0"/>
    <x v="1"/>
  </r>
  <r>
    <n v="2258"/>
    <s v="C0327"/>
    <x v="156"/>
    <s v="23 days"/>
    <x v="199"/>
    <x v="262"/>
    <s v="5 days"/>
    <x v="4"/>
    <s v="Returning"/>
    <s v="Suite"/>
    <n v="23"/>
    <n v="5"/>
    <n v="2733"/>
    <n v="13665"/>
    <n v="0"/>
    <x v="0"/>
    <x v="1"/>
    <x v="1"/>
    <x v="0"/>
  </r>
  <r>
    <n v="2259"/>
    <s v="C1165"/>
    <x v="18"/>
    <s v="41 days"/>
    <x v="287"/>
    <x v="376"/>
    <s v="1 days"/>
    <x v="0"/>
    <s v="Returning"/>
    <s v="Suite"/>
    <n v="41"/>
    <n v="1"/>
    <n v="3292"/>
    <n v="3292"/>
    <n v="0"/>
    <x v="0"/>
    <x v="1"/>
    <x v="1"/>
    <x v="1"/>
  </r>
  <r>
    <n v="2260"/>
    <s v="C0990"/>
    <x v="43"/>
    <s v="59 days"/>
    <x v="338"/>
    <x v="86"/>
    <s v="4 days"/>
    <x v="4"/>
    <s v="New"/>
    <s v="Standard"/>
    <n v="59"/>
    <n v="4"/>
    <n v="8503"/>
    <n v="34012"/>
    <n v="0"/>
    <x v="0"/>
    <x v="1"/>
    <x v="1"/>
    <x v="1"/>
  </r>
  <r>
    <n v="2261"/>
    <s v="C0215"/>
    <x v="173"/>
    <s v="25 days"/>
    <x v="83"/>
    <x v="77"/>
    <s v="2 days"/>
    <x v="1"/>
    <s v="New"/>
    <s v="Standard"/>
    <n v="25"/>
    <n v="2"/>
    <n v="8209"/>
    <n v="16418"/>
    <n v="16418"/>
    <x v="0"/>
    <x v="0"/>
    <x v="0"/>
    <x v="0"/>
  </r>
  <r>
    <n v="2262"/>
    <s v="C0435"/>
    <x v="53"/>
    <s v="41 days"/>
    <x v="99"/>
    <x v="135"/>
    <s v="1 days"/>
    <x v="3"/>
    <s v="New"/>
    <s v="Deluxe"/>
    <n v="41"/>
    <n v="1"/>
    <n v="5610"/>
    <n v="5610"/>
    <n v="5610"/>
    <x v="1"/>
    <x v="0"/>
    <x v="0"/>
    <x v="1"/>
  </r>
  <r>
    <n v="2263"/>
    <s v="C0952"/>
    <x v="122"/>
    <s v="54 days"/>
    <x v="125"/>
    <x v="69"/>
    <s v="3 days"/>
    <x v="3"/>
    <s v="Returning"/>
    <s v="Deluxe"/>
    <n v="54"/>
    <n v="3"/>
    <n v="4666"/>
    <n v="13998"/>
    <n v="0"/>
    <x v="1"/>
    <x v="1"/>
    <x v="1"/>
    <x v="0"/>
  </r>
  <r>
    <n v="2264"/>
    <s v="C0723"/>
    <x v="309"/>
    <s v="10 days"/>
    <x v="356"/>
    <x v="40"/>
    <s v="2 days"/>
    <x v="4"/>
    <s v="New"/>
    <s v="Deluxe"/>
    <n v="10"/>
    <n v="2"/>
    <n v="2834"/>
    <n v="5668"/>
    <n v="0"/>
    <x v="1"/>
    <x v="1"/>
    <x v="1"/>
    <x v="1"/>
  </r>
  <r>
    <n v="2265"/>
    <s v="C1342"/>
    <x v="199"/>
    <s v="22 days"/>
    <x v="341"/>
    <x v="13"/>
    <s v="1 days"/>
    <x v="0"/>
    <s v="New"/>
    <s v="Deluxe"/>
    <n v="22"/>
    <n v="1"/>
    <n v="3859"/>
    <n v="3859"/>
    <n v="0"/>
    <x v="0"/>
    <x v="1"/>
    <x v="1"/>
    <x v="0"/>
  </r>
  <r>
    <n v="2266"/>
    <s v="C0032"/>
    <x v="352"/>
    <s v="19 days"/>
    <x v="379"/>
    <x v="189"/>
    <s v="5 days"/>
    <x v="1"/>
    <s v="New"/>
    <s v="Standard"/>
    <n v="19"/>
    <n v="5"/>
    <n v="8235"/>
    <n v="41175"/>
    <n v="41175"/>
    <x v="0"/>
    <x v="0"/>
    <x v="0"/>
    <x v="0"/>
  </r>
  <r>
    <n v="2267"/>
    <s v="C0670"/>
    <x v="55"/>
    <s v="1 days"/>
    <x v="118"/>
    <x v="136"/>
    <s v="3 days"/>
    <x v="2"/>
    <s v="Returning"/>
    <s v="Standard"/>
    <n v="1"/>
    <n v="3"/>
    <n v="7693"/>
    <n v="23079"/>
    <n v="23079"/>
    <x v="1"/>
    <x v="0"/>
    <x v="0"/>
    <x v="0"/>
  </r>
  <r>
    <n v="2268"/>
    <s v="C0285"/>
    <x v="126"/>
    <s v="7 days"/>
    <x v="100"/>
    <x v="245"/>
    <s v="5 days"/>
    <x v="3"/>
    <s v="Returning"/>
    <s v="Deluxe"/>
    <n v="7"/>
    <n v="5"/>
    <n v="3714"/>
    <n v="18570"/>
    <n v="0"/>
    <x v="0"/>
    <x v="1"/>
    <x v="1"/>
    <x v="0"/>
  </r>
  <r>
    <n v="2269"/>
    <s v="C1329"/>
    <x v="119"/>
    <s v="4 days"/>
    <x v="23"/>
    <x v="12"/>
    <s v="1 days"/>
    <x v="4"/>
    <s v="Returning"/>
    <s v="Standard"/>
    <n v="4"/>
    <n v="1"/>
    <n v="6919"/>
    <n v="6919"/>
    <n v="6919"/>
    <x v="0"/>
    <x v="0"/>
    <x v="0"/>
    <x v="1"/>
  </r>
  <r>
    <n v="2270"/>
    <s v="C0429"/>
    <x v="104"/>
    <s v="1 days"/>
    <x v="150"/>
    <x v="365"/>
    <s v="5 days"/>
    <x v="0"/>
    <s v="New"/>
    <s v="Standard"/>
    <n v="1"/>
    <n v="5"/>
    <n v="8386"/>
    <n v="41930"/>
    <n v="41930"/>
    <x v="0"/>
    <x v="0"/>
    <x v="0"/>
    <x v="1"/>
  </r>
  <r>
    <n v="2271"/>
    <s v="C0286"/>
    <x v="51"/>
    <s v="15 days"/>
    <x v="139"/>
    <x v="58"/>
    <s v="1 days"/>
    <x v="0"/>
    <s v="New"/>
    <s v="Standard"/>
    <n v="15"/>
    <n v="1"/>
    <n v="2783"/>
    <n v="2783"/>
    <n v="0"/>
    <x v="1"/>
    <x v="1"/>
    <x v="1"/>
    <x v="1"/>
  </r>
  <r>
    <n v="2272"/>
    <s v="C1168"/>
    <x v="121"/>
    <s v="40 days"/>
    <x v="3"/>
    <x v="14"/>
    <s v="1 days"/>
    <x v="1"/>
    <s v="Returning"/>
    <s v="Standard"/>
    <n v="40"/>
    <n v="1"/>
    <n v="2712"/>
    <n v="2712"/>
    <n v="2712"/>
    <x v="1"/>
    <x v="0"/>
    <x v="0"/>
    <x v="1"/>
  </r>
  <r>
    <n v="2273"/>
    <s v="C1448"/>
    <x v="14"/>
    <s v="12 days"/>
    <x v="380"/>
    <x v="332"/>
    <s v="5 days"/>
    <x v="3"/>
    <s v="New"/>
    <s v="Deluxe"/>
    <n v="12"/>
    <n v="5"/>
    <n v="4158"/>
    <n v="20790"/>
    <n v="20790"/>
    <x v="1"/>
    <x v="0"/>
    <x v="0"/>
    <x v="1"/>
  </r>
  <r>
    <n v="2274"/>
    <s v="C1043"/>
    <x v="342"/>
    <s v="22 days"/>
    <x v="68"/>
    <x v="57"/>
    <s v="1 days"/>
    <x v="1"/>
    <s v="New"/>
    <s v="Deluxe"/>
    <n v="22"/>
    <n v="1"/>
    <n v="6578"/>
    <n v="6578"/>
    <n v="0"/>
    <x v="0"/>
    <x v="1"/>
    <x v="1"/>
    <x v="0"/>
  </r>
  <r>
    <n v="2275"/>
    <s v="C0018"/>
    <x v="253"/>
    <s v="22 days"/>
    <x v="270"/>
    <x v="213"/>
    <s v="2 days"/>
    <x v="2"/>
    <s v="New"/>
    <s v="Standard"/>
    <n v="22"/>
    <n v="2"/>
    <n v="8337"/>
    <n v="16674"/>
    <n v="16674"/>
    <x v="1"/>
    <x v="0"/>
    <x v="0"/>
    <x v="0"/>
  </r>
  <r>
    <n v="2276"/>
    <s v="C0769"/>
    <x v="58"/>
    <s v="50 days"/>
    <x v="58"/>
    <x v="382"/>
    <s v="1 days"/>
    <x v="2"/>
    <s v="Returning"/>
    <s v="Suite"/>
    <n v="50"/>
    <n v="1"/>
    <n v="7524"/>
    <n v="7524"/>
    <n v="0"/>
    <x v="1"/>
    <x v="1"/>
    <x v="1"/>
    <x v="0"/>
  </r>
  <r>
    <n v="2277"/>
    <s v="C0590"/>
    <x v="109"/>
    <s v="47 days"/>
    <x v="301"/>
    <x v="92"/>
    <s v="4 days"/>
    <x v="2"/>
    <s v="New"/>
    <s v="Deluxe"/>
    <n v="47"/>
    <n v="4"/>
    <n v="7347"/>
    <n v="29388"/>
    <n v="0"/>
    <x v="1"/>
    <x v="1"/>
    <x v="1"/>
    <x v="0"/>
  </r>
  <r>
    <n v="2278"/>
    <s v="C1395"/>
    <x v="86"/>
    <s v="17 days"/>
    <x v="322"/>
    <x v="127"/>
    <s v="1 days"/>
    <x v="0"/>
    <s v="New"/>
    <s v="Deluxe"/>
    <n v="17"/>
    <n v="1"/>
    <n v="3917"/>
    <n v="3917"/>
    <n v="3917"/>
    <x v="0"/>
    <x v="0"/>
    <x v="0"/>
    <x v="0"/>
  </r>
  <r>
    <n v="2279"/>
    <s v="C1199"/>
    <x v="145"/>
    <s v="29 days"/>
    <x v="133"/>
    <x v="46"/>
    <s v="4 days"/>
    <x v="3"/>
    <s v="Returning"/>
    <s v="Suite"/>
    <n v="29"/>
    <n v="4"/>
    <n v="4886"/>
    <n v="19544"/>
    <n v="0"/>
    <x v="0"/>
    <x v="1"/>
    <x v="1"/>
    <x v="1"/>
  </r>
  <r>
    <n v="2280"/>
    <s v="C1010"/>
    <x v="116"/>
    <s v="46 days"/>
    <x v="114"/>
    <x v="383"/>
    <s v="1 days"/>
    <x v="1"/>
    <s v="New"/>
    <s v="Deluxe"/>
    <n v="46"/>
    <n v="1"/>
    <n v="8417"/>
    <n v="8417"/>
    <n v="0"/>
    <x v="0"/>
    <x v="1"/>
    <x v="1"/>
    <x v="0"/>
  </r>
  <r>
    <n v="2281"/>
    <s v="C0194"/>
    <x v="246"/>
    <s v="14 days"/>
    <x v="118"/>
    <x v="319"/>
    <s v="1 days"/>
    <x v="1"/>
    <s v="Returning"/>
    <s v="Suite"/>
    <n v="14"/>
    <n v="1"/>
    <n v="7641"/>
    <n v="7641"/>
    <n v="0"/>
    <x v="0"/>
    <x v="1"/>
    <x v="1"/>
    <x v="0"/>
  </r>
  <r>
    <n v="2282"/>
    <s v="C0502"/>
    <x v="38"/>
    <s v="50 days"/>
    <x v="163"/>
    <x v="379"/>
    <s v="5 days"/>
    <x v="2"/>
    <s v="New"/>
    <s v="Suite"/>
    <n v="50"/>
    <n v="5"/>
    <n v="4294"/>
    <n v="21470"/>
    <n v="21470"/>
    <x v="0"/>
    <x v="0"/>
    <x v="0"/>
    <x v="1"/>
  </r>
  <r>
    <n v="2283"/>
    <s v="C0988"/>
    <x v="279"/>
    <s v="20 days"/>
    <x v="305"/>
    <x v="299"/>
    <s v="2 days"/>
    <x v="3"/>
    <s v="Returning"/>
    <s v="Standard"/>
    <n v="20"/>
    <n v="2"/>
    <n v="8488"/>
    <n v="16976"/>
    <n v="16976"/>
    <x v="1"/>
    <x v="0"/>
    <x v="0"/>
    <x v="1"/>
  </r>
  <r>
    <n v="2284"/>
    <s v="C1137"/>
    <x v="122"/>
    <s v="50 days"/>
    <x v="357"/>
    <x v="240"/>
    <s v="2 days"/>
    <x v="3"/>
    <s v="Returning"/>
    <s v="Deluxe"/>
    <n v="50"/>
    <n v="2"/>
    <n v="2604"/>
    <n v="5208"/>
    <n v="0"/>
    <x v="1"/>
    <x v="1"/>
    <x v="1"/>
    <x v="0"/>
  </r>
  <r>
    <n v="2285"/>
    <s v="C0114"/>
    <x v="234"/>
    <s v="48 days"/>
    <x v="264"/>
    <x v="150"/>
    <s v="3 days"/>
    <x v="4"/>
    <s v="New"/>
    <s v="Suite"/>
    <n v="48"/>
    <n v="3"/>
    <n v="8085"/>
    <n v="24255"/>
    <n v="0"/>
    <x v="0"/>
    <x v="1"/>
    <x v="1"/>
    <x v="0"/>
  </r>
  <r>
    <n v="2286"/>
    <s v="C1246"/>
    <x v="237"/>
    <s v="33 days"/>
    <x v="151"/>
    <x v="356"/>
    <s v="5 days"/>
    <x v="3"/>
    <s v="New"/>
    <s v="Standard"/>
    <n v="33"/>
    <n v="5"/>
    <n v="8078"/>
    <n v="40390"/>
    <n v="0"/>
    <x v="0"/>
    <x v="1"/>
    <x v="1"/>
    <x v="1"/>
  </r>
  <r>
    <n v="2287"/>
    <s v="C0947"/>
    <x v="353"/>
    <s v="55 days"/>
    <x v="228"/>
    <x v="298"/>
    <s v="5 days"/>
    <x v="3"/>
    <s v="Returning"/>
    <s v="Deluxe"/>
    <n v="55"/>
    <n v="5"/>
    <n v="8051"/>
    <n v="40255"/>
    <n v="0"/>
    <x v="1"/>
    <x v="1"/>
    <x v="1"/>
    <x v="0"/>
  </r>
  <r>
    <n v="2288"/>
    <s v="C0831"/>
    <x v="326"/>
    <s v="59 days"/>
    <x v="348"/>
    <x v="233"/>
    <s v="2 days"/>
    <x v="1"/>
    <s v="New"/>
    <s v="Standard"/>
    <n v="59"/>
    <n v="2"/>
    <n v="7365"/>
    <n v="14730"/>
    <n v="0"/>
    <x v="0"/>
    <x v="1"/>
    <x v="1"/>
    <x v="0"/>
  </r>
  <r>
    <n v="2289"/>
    <s v="C1288"/>
    <x v="207"/>
    <s v="43 days"/>
    <x v="136"/>
    <x v="384"/>
    <s v="5 days"/>
    <x v="3"/>
    <s v="Returning"/>
    <s v="Standard"/>
    <n v="43"/>
    <n v="5"/>
    <n v="6393"/>
    <n v="31965"/>
    <n v="0"/>
    <x v="0"/>
    <x v="1"/>
    <x v="1"/>
    <x v="0"/>
  </r>
  <r>
    <n v="2290"/>
    <s v="C0925"/>
    <x v="55"/>
    <s v="15 days"/>
    <x v="168"/>
    <x v="146"/>
    <s v="2 days"/>
    <x v="3"/>
    <s v="New"/>
    <s v="Suite"/>
    <n v="15"/>
    <n v="2"/>
    <n v="6345"/>
    <n v="12690"/>
    <n v="12690"/>
    <x v="0"/>
    <x v="0"/>
    <x v="0"/>
    <x v="1"/>
  </r>
  <r>
    <n v="2291"/>
    <s v="C0055"/>
    <x v="56"/>
    <s v="12 days"/>
    <x v="159"/>
    <x v="297"/>
    <s v="5 days"/>
    <x v="1"/>
    <s v="New"/>
    <s v="Deluxe"/>
    <n v="12"/>
    <n v="5"/>
    <n v="6190"/>
    <n v="30950"/>
    <n v="0"/>
    <x v="0"/>
    <x v="1"/>
    <x v="1"/>
    <x v="0"/>
  </r>
  <r>
    <n v="2292"/>
    <s v="C0800"/>
    <x v="203"/>
    <s v="40 days"/>
    <x v="142"/>
    <x v="295"/>
    <s v="1 days"/>
    <x v="3"/>
    <s v="New"/>
    <s v="Standard"/>
    <n v="40"/>
    <n v="1"/>
    <n v="8555"/>
    <n v="8555"/>
    <n v="8555"/>
    <x v="0"/>
    <x v="0"/>
    <x v="0"/>
    <x v="0"/>
  </r>
  <r>
    <n v="2293"/>
    <s v="C0778"/>
    <x v="21"/>
    <s v="54 days"/>
    <x v="109"/>
    <x v="292"/>
    <s v="2 days"/>
    <x v="1"/>
    <s v="New"/>
    <s v="Suite"/>
    <n v="54"/>
    <n v="2"/>
    <n v="8623"/>
    <n v="17246"/>
    <n v="0"/>
    <x v="1"/>
    <x v="1"/>
    <x v="1"/>
    <x v="1"/>
  </r>
  <r>
    <n v="2294"/>
    <s v="C1482"/>
    <x v="3"/>
    <s v="20 days"/>
    <x v="252"/>
    <x v="254"/>
    <s v="2 days"/>
    <x v="4"/>
    <s v="Returning"/>
    <s v="Suite"/>
    <n v="20"/>
    <n v="2"/>
    <n v="5792"/>
    <n v="11584"/>
    <n v="11584"/>
    <x v="1"/>
    <x v="0"/>
    <x v="0"/>
    <x v="1"/>
  </r>
  <r>
    <n v="2295"/>
    <s v="C0162"/>
    <x v="200"/>
    <s v="30 days"/>
    <x v="89"/>
    <x v="194"/>
    <s v="4 days"/>
    <x v="0"/>
    <s v="Returning"/>
    <s v="Standard"/>
    <n v="30"/>
    <n v="4"/>
    <n v="2878"/>
    <n v="11512"/>
    <n v="11512"/>
    <x v="0"/>
    <x v="0"/>
    <x v="0"/>
    <x v="1"/>
  </r>
  <r>
    <n v="2296"/>
    <s v="C1404"/>
    <x v="169"/>
    <s v="38 days"/>
    <x v="222"/>
    <x v="273"/>
    <s v="5 days"/>
    <x v="1"/>
    <s v="New"/>
    <s v="Standard"/>
    <n v="38"/>
    <n v="5"/>
    <n v="5793"/>
    <n v="28965"/>
    <n v="0"/>
    <x v="0"/>
    <x v="1"/>
    <x v="1"/>
    <x v="0"/>
  </r>
  <r>
    <n v="2297"/>
    <s v="C0087"/>
    <x v="343"/>
    <s v="3 days"/>
    <x v="192"/>
    <x v="67"/>
    <s v="5 days"/>
    <x v="1"/>
    <s v="New"/>
    <s v="Suite"/>
    <n v="3"/>
    <n v="5"/>
    <n v="5829"/>
    <n v="29145"/>
    <n v="29145"/>
    <x v="1"/>
    <x v="0"/>
    <x v="0"/>
    <x v="1"/>
  </r>
  <r>
    <n v="2298"/>
    <s v="C0055"/>
    <x v="330"/>
    <s v="28 days"/>
    <x v="202"/>
    <x v="182"/>
    <s v="2 days"/>
    <x v="3"/>
    <s v="New"/>
    <s v="Standard"/>
    <n v="28"/>
    <n v="2"/>
    <n v="7308"/>
    <n v="14616"/>
    <n v="0"/>
    <x v="0"/>
    <x v="1"/>
    <x v="1"/>
    <x v="0"/>
  </r>
  <r>
    <n v="2299"/>
    <s v="C1202"/>
    <x v="9"/>
    <s v="56 days"/>
    <x v="260"/>
    <x v="157"/>
    <s v="1 days"/>
    <x v="1"/>
    <s v="New"/>
    <s v="Standard"/>
    <n v="56"/>
    <n v="1"/>
    <n v="5938"/>
    <n v="5938"/>
    <n v="0"/>
    <x v="1"/>
    <x v="1"/>
    <x v="1"/>
    <x v="1"/>
  </r>
  <r>
    <n v="2300"/>
    <s v="C1415"/>
    <x v="3"/>
    <s v="26 days"/>
    <x v="34"/>
    <x v="159"/>
    <s v="1 days"/>
    <x v="2"/>
    <s v="New"/>
    <s v="Deluxe"/>
    <n v="26"/>
    <n v="1"/>
    <n v="7968"/>
    <n v="7968"/>
    <n v="0"/>
    <x v="0"/>
    <x v="1"/>
    <x v="1"/>
    <x v="0"/>
  </r>
  <r>
    <n v="2301"/>
    <s v="C1373"/>
    <x v="117"/>
    <s v="30 days"/>
    <x v="85"/>
    <x v="85"/>
    <s v="1 days"/>
    <x v="2"/>
    <s v="Returning"/>
    <s v="Suite"/>
    <n v="30"/>
    <n v="1"/>
    <n v="2724"/>
    <n v="2724"/>
    <n v="0"/>
    <x v="1"/>
    <x v="1"/>
    <x v="1"/>
    <x v="1"/>
  </r>
  <r>
    <n v="2302"/>
    <s v="C1032"/>
    <x v="317"/>
    <s v="13 days"/>
    <x v="251"/>
    <x v="9"/>
    <s v="5 days"/>
    <x v="4"/>
    <s v="Returning"/>
    <s v="Standard"/>
    <n v="13"/>
    <n v="5"/>
    <n v="8333"/>
    <n v="41665"/>
    <n v="41665"/>
    <x v="1"/>
    <x v="0"/>
    <x v="0"/>
    <x v="0"/>
  </r>
  <r>
    <n v="2303"/>
    <s v="C0833"/>
    <x v="120"/>
    <s v="13 days"/>
    <x v="54"/>
    <x v="355"/>
    <s v="4 days"/>
    <x v="1"/>
    <s v="New"/>
    <s v="Suite"/>
    <n v="13"/>
    <n v="4"/>
    <n v="3237"/>
    <n v="12948"/>
    <n v="12948"/>
    <x v="0"/>
    <x v="0"/>
    <x v="0"/>
    <x v="0"/>
  </r>
  <r>
    <n v="2304"/>
    <s v="C0313"/>
    <x v="198"/>
    <s v="2 days"/>
    <x v="277"/>
    <x v="101"/>
    <s v="2 days"/>
    <x v="3"/>
    <s v="Returning"/>
    <s v="Deluxe"/>
    <n v="2"/>
    <n v="2"/>
    <n v="2735"/>
    <n v="5470"/>
    <n v="5470"/>
    <x v="0"/>
    <x v="0"/>
    <x v="0"/>
    <x v="1"/>
  </r>
  <r>
    <n v="2305"/>
    <s v="C0759"/>
    <x v="51"/>
    <s v="37 days"/>
    <x v="125"/>
    <x v="69"/>
    <s v="3 days"/>
    <x v="3"/>
    <s v="Returning"/>
    <s v="Suite"/>
    <n v="37"/>
    <n v="3"/>
    <n v="6778"/>
    <n v="20334"/>
    <n v="0"/>
    <x v="1"/>
    <x v="1"/>
    <x v="1"/>
    <x v="1"/>
  </r>
  <r>
    <n v="2306"/>
    <s v="C0443"/>
    <x v="228"/>
    <s v="49 days"/>
    <x v="278"/>
    <x v="321"/>
    <s v="4 days"/>
    <x v="0"/>
    <s v="New"/>
    <s v="Suite"/>
    <n v="49"/>
    <n v="4"/>
    <n v="3211"/>
    <n v="12844"/>
    <n v="0"/>
    <x v="0"/>
    <x v="1"/>
    <x v="1"/>
    <x v="0"/>
  </r>
  <r>
    <n v="2307"/>
    <s v="C0328"/>
    <x v="194"/>
    <s v="38 days"/>
    <x v="275"/>
    <x v="299"/>
    <s v="3 days"/>
    <x v="4"/>
    <s v="Returning"/>
    <s v="Suite"/>
    <n v="38"/>
    <n v="3"/>
    <n v="8488"/>
    <n v="25464"/>
    <n v="0"/>
    <x v="1"/>
    <x v="1"/>
    <x v="1"/>
    <x v="1"/>
  </r>
  <r>
    <n v="2308"/>
    <s v="C1078"/>
    <x v="16"/>
    <s v="2 days"/>
    <x v="114"/>
    <x v="212"/>
    <s v="4 days"/>
    <x v="3"/>
    <s v="Returning"/>
    <s v="Deluxe"/>
    <n v="2"/>
    <n v="4"/>
    <n v="4388"/>
    <n v="17552"/>
    <n v="0"/>
    <x v="0"/>
    <x v="1"/>
    <x v="1"/>
    <x v="0"/>
  </r>
  <r>
    <n v="2309"/>
    <s v="C0761"/>
    <x v="127"/>
    <s v="36 days"/>
    <x v="193"/>
    <x v="278"/>
    <s v="1 days"/>
    <x v="0"/>
    <s v="Returning"/>
    <s v="Deluxe"/>
    <n v="36"/>
    <n v="1"/>
    <n v="7218"/>
    <n v="7218"/>
    <n v="0"/>
    <x v="0"/>
    <x v="1"/>
    <x v="1"/>
    <x v="1"/>
  </r>
  <r>
    <n v="2310"/>
    <s v="C1263"/>
    <x v="159"/>
    <s v="54 days"/>
    <x v="378"/>
    <x v="2"/>
    <s v="5 days"/>
    <x v="3"/>
    <s v="Returning"/>
    <s v="Suite"/>
    <n v="54"/>
    <n v="5"/>
    <n v="3759"/>
    <n v="18795"/>
    <n v="0"/>
    <x v="0"/>
    <x v="1"/>
    <x v="1"/>
    <x v="1"/>
  </r>
  <r>
    <n v="2311"/>
    <s v="C1253"/>
    <x v="11"/>
    <s v="26 days"/>
    <x v="229"/>
    <x v="125"/>
    <s v="3 days"/>
    <x v="0"/>
    <s v="New"/>
    <s v="Suite"/>
    <n v="26"/>
    <n v="3"/>
    <n v="7746"/>
    <n v="23238"/>
    <n v="0"/>
    <x v="1"/>
    <x v="1"/>
    <x v="1"/>
    <x v="0"/>
  </r>
  <r>
    <n v="2312"/>
    <s v="C0579"/>
    <x v="102"/>
    <s v="11 days"/>
    <x v="336"/>
    <x v="244"/>
    <s v="4 days"/>
    <x v="2"/>
    <s v="Returning"/>
    <s v="Deluxe"/>
    <n v="11"/>
    <n v="4"/>
    <n v="3248"/>
    <n v="12992"/>
    <n v="12992"/>
    <x v="1"/>
    <x v="0"/>
    <x v="0"/>
    <x v="1"/>
  </r>
  <r>
    <n v="2313"/>
    <s v="C1075"/>
    <x v="73"/>
    <s v="8 days"/>
    <x v="28"/>
    <x v="157"/>
    <s v="5 days"/>
    <x v="2"/>
    <s v="Returning"/>
    <s v="Standard"/>
    <n v="8"/>
    <n v="5"/>
    <n v="6486"/>
    <n v="32430"/>
    <n v="0"/>
    <x v="0"/>
    <x v="1"/>
    <x v="1"/>
    <x v="1"/>
  </r>
  <r>
    <n v="2314"/>
    <s v="C1007"/>
    <x v="339"/>
    <s v="44 days"/>
    <x v="348"/>
    <x v="351"/>
    <s v="3 days"/>
    <x v="3"/>
    <s v="Returning"/>
    <s v="Deluxe"/>
    <n v="44"/>
    <n v="3"/>
    <n v="6051"/>
    <n v="18153"/>
    <n v="0"/>
    <x v="1"/>
    <x v="1"/>
    <x v="1"/>
    <x v="0"/>
  </r>
  <r>
    <n v="2315"/>
    <s v="C1288"/>
    <x v="181"/>
    <s v="40 days"/>
    <x v="126"/>
    <x v="78"/>
    <s v="2 days"/>
    <x v="4"/>
    <s v="New"/>
    <s v="Suite"/>
    <n v="40"/>
    <n v="2"/>
    <n v="8798"/>
    <n v="17596"/>
    <n v="0"/>
    <x v="0"/>
    <x v="1"/>
    <x v="1"/>
    <x v="0"/>
  </r>
  <r>
    <n v="2316"/>
    <s v="C1442"/>
    <x v="319"/>
    <s v="43 days"/>
    <x v="300"/>
    <x v="333"/>
    <s v="4 days"/>
    <x v="1"/>
    <s v="Returning"/>
    <s v="Standard"/>
    <n v="43"/>
    <n v="4"/>
    <n v="8900"/>
    <n v="35600"/>
    <n v="35600"/>
    <x v="1"/>
    <x v="0"/>
    <x v="0"/>
    <x v="1"/>
  </r>
  <r>
    <n v="2317"/>
    <s v="C0096"/>
    <x v="206"/>
    <s v="22 days"/>
    <x v="273"/>
    <x v="76"/>
    <s v="2 days"/>
    <x v="4"/>
    <s v="Returning"/>
    <s v="Standard"/>
    <n v="22"/>
    <n v="2"/>
    <n v="8878"/>
    <n v="17756"/>
    <n v="17756"/>
    <x v="0"/>
    <x v="0"/>
    <x v="0"/>
    <x v="0"/>
  </r>
  <r>
    <n v="2318"/>
    <s v="C1112"/>
    <x v="124"/>
    <s v="20 days"/>
    <x v="77"/>
    <x v="105"/>
    <s v="1 days"/>
    <x v="4"/>
    <s v="Returning"/>
    <s v="Standard"/>
    <n v="20"/>
    <n v="1"/>
    <n v="8932"/>
    <n v="8932"/>
    <n v="0"/>
    <x v="1"/>
    <x v="1"/>
    <x v="1"/>
    <x v="1"/>
  </r>
  <r>
    <n v="2319"/>
    <s v="C1102"/>
    <x v="256"/>
    <s v="8 days"/>
    <x v="282"/>
    <x v="228"/>
    <s v="2 days"/>
    <x v="1"/>
    <s v="New"/>
    <s v="Deluxe"/>
    <n v="8"/>
    <n v="2"/>
    <n v="3009"/>
    <n v="6018"/>
    <n v="6018"/>
    <x v="1"/>
    <x v="0"/>
    <x v="0"/>
    <x v="1"/>
  </r>
  <r>
    <n v="2320"/>
    <s v="C1312"/>
    <x v="120"/>
    <s v="29 days"/>
    <x v="281"/>
    <x v="345"/>
    <s v="2 days"/>
    <x v="2"/>
    <s v="New"/>
    <s v="Deluxe"/>
    <n v="29"/>
    <n v="2"/>
    <n v="8171"/>
    <n v="16342"/>
    <n v="0"/>
    <x v="1"/>
    <x v="1"/>
    <x v="1"/>
    <x v="0"/>
  </r>
  <r>
    <n v="2321"/>
    <s v="C1144"/>
    <x v="172"/>
    <s v="40 days"/>
    <x v="67"/>
    <x v="326"/>
    <s v="4 days"/>
    <x v="2"/>
    <s v="New"/>
    <s v="Deluxe"/>
    <n v="40"/>
    <n v="4"/>
    <n v="4323"/>
    <n v="17292"/>
    <n v="0"/>
    <x v="1"/>
    <x v="1"/>
    <x v="1"/>
    <x v="0"/>
  </r>
  <r>
    <n v="2322"/>
    <s v="C0814"/>
    <x v="229"/>
    <s v="26 days"/>
    <x v="249"/>
    <x v="356"/>
    <s v="1 days"/>
    <x v="1"/>
    <s v="New"/>
    <s v="Deluxe"/>
    <n v="26"/>
    <n v="1"/>
    <n v="7380"/>
    <n v="7380"/>
    <n v="0"/>
    <x v="1"/>
    <x v="1"/>
    <x v="1"/>
    <x v="0"/>
  </r>
  <r>
    <n v="2323"/>
    <s v="C0491"/>
    <x v="131"/>
    <s v="30 days"/>
    <x v="346"/>
    <x v="183"/>
    <s v="2 days"/>
    <x v="0"/>
    <s v="New"/>
    <s v="Suite"/>
    <n v="30"/>
    <n v="2"/>
    <n v="5441"/>
    <n v="10882"/>
    <n v="10882"/>
    <x v="1"/>
    <x v="0"/>
    <x v="0"/>
    <x v="0"/>
  </r>
  <r>
    <n v="2324"/>
    <s v="C0452"/>
    <x v="4"/>
    <s v="17 days"/>
    <x v="276"/>
    <x v="280"/>
    <s v="5 days"/>
    <x v="4"/>
    <s v="Returning"/>
    <s v="Standard"/>
    <n v="17"/>
    <n v="5"/>
    <n v="8941"/>
    <n v="44705"/>
    <n v="44705"/>
    <x v="0"/>
    <x v="0"/>
    <x v="0"/>
    <x v="0"/>
  </r>
  <r>
    <n v="2325"/>
    <s v="C0165"/>
    <x v="107"/>
    <s v="20 days"/>
    <x v="104"/>
    <x v="86"/>
    <s v="3 days"/>
    <x v="3"/>
    <s v="New"/>
    <s v="Suite"/>
    <n v="20"/>
    <n v="3"/>
    <n v="6732"/>
    <n v="20196"/>
    <n v="0"/>
    <x v="0"/>
    <x v="1"/>
    <x v="1"/>
    <x v="0"/>
  </r>
  <r>
    <n v="2326"/>
    <s v="C0182"/>
    <x v="83"/>
    <s v="52 days"/>
    <x v="258"/>
    <x v="207"/>
    <s v="2 days"/>
    <x v="2"/>
    <s v="Returning"/>
    <s v="Deluxe"/>
    <n v="52"/>
    <n v="2"/>
    <n v="4634"/>
    <n v="9268"/>
    <n v="0"/>
    <x v="1"/>
    <x v="1"/>
    <x v="1"/>
    <x v="1"/>
  </r>
  <r>
    <n v="2327"/>
    <s v="C0469"/>
    <x v="133"/>
    <s v="55 days"/>
    <x v="354"/>
    <x v="194"/>
    <s v="1 days"/>
    <x v="3"/>
    <s v="New"/>
    <s v="Deluxe"/>
    <n v="55"/>
    <n v="1"/>
    <n v="4277"/>
    <n v="4277"/>
    <n v="0"/>
    <x v="0"/>
    <x v="1"/>
    <x v="1"/>
    <x v="1"/>
  </r>
  <r>
    <n v="2328"/>
    <s v="C0910"/>
    <x v="29"/>
    <s v="16 days"/>
    <x v="27"/>
    <x v="27"/>
    <s v="2 days"/>
    <x v="1"/>
    <s v="New"/>
    <s v="Suite"/>
    <n v="16"/>
    <n v="2"/>
    <n v="3722"/>
    <n v="7444"/>
    <n v="7444"/>
    <x v="1"/>
    <x v="0"/>
    <x v="0"/>
    <x v="0"/>
  </r>
  <r>
    <n v="2329"/>
    <s v="C0735"/>
    <x v="187"/>
    <s v="46 days"/>
    <x v="49"/>
    <x v="49"/>
    <s v="3 days"/>
    <x v="3"/>
    <s v="New"/>
    <s v="Standard"/>
    <n v="46"/>
    <n v="3"/>
    <n v="7929"/>
    <n v="23787"/>
    <n v="0"/>
    <x v="0"/>
    <x v="1"/>
    <x v="1"/>
    <x v="1"/>
  </r>
  <r>
    <n v="2330"/>
    <s v="C0823"/>
    <x v="335"/>
    <s v="43 days"/>
    <x v="120"/>
    <x v="314"/>
    <s v="1 days"/>
    <x v="3"/>
    <s v="Returning"/>
    <s v="Standard"/>
    <n v="43"/>
    <n v="1"/>
    <n v="6167"/>
    <n v="6167"/>
    <n v="6167"/>
    <x v="0"/>
    <x v="0"/>
    <x v="0"/>
    <x v="1"/>
  </r>
  <r>
    <n v="2331"/>
    <s v="C0944"/>
    <x v="153"/>
    <s v="7 days"/>
    <x v="152"/>
    <x v="148"/>
    <s v="4 days"/>
    <x v="4"/>
    <s v="Returning"/>
    <s v="Deluxe"/>
    <n v="7"/>
    <n v="4"/>
    <n v="4277"/>
    <n v="17108"/>
    <n v="0"/>
    <x v="0"/>
    <x v="1"/>
    <x v="1"/>
    <x v="1"/>
  </r>
  <r>
    <n v="2332"/>
    <s v="C0007"/>
    <x v="294"/>
    <s v="16 days"/>
    <x v="228"/>
    <x v="257"/>
    <s v="1 days"/>
    <x v="1"/>
    <s v="Returning"/>
    <s v="Deluxe"/>
    <n v="16"/>
    <n v="1"/>
    <n v="3804"/>
    <n v="3804"/>
    <n v="3804"/>
    <x v="0"/>
    <x v="0"/>
    <x v="0"/>
    <x v="1"/>
  </r>
  <r>
    <n v="2333"/>
    <s v="C0330"/>
    <x v="163"/>
    <s v="45 days"/>
    <x v="53"/>
    <x v="365"/>
    <s v="4 days"/>
    <x v="3"/>
    <s v="New"/>
    <s v="Deluxe"/>
    <n v="45"/>
    <n v="4"/>
    <n v="7359"/>
    <n v="29436"/>
    <n v="29436"/>
    <x v="1"/>
    <x v="0"/>
    <x v="0"/>
    <x v="0"/>
  </r>
  <r>
    <n v="2334"/>
    <s v="C0775"/>
    <x v="152"/>
    <s v="59 days"/>
    <x v="201"/>
    <x v="313"/>
    <s v="1 days"/>
    <x v="2"/>
    <s v="New"/>
    <s v="Deluxe"/>
    <n v="59"/>
    <n v="1"/>
    <n v="3201"/>
    <n v="3201"/>
    <n v="0"/>
    <x v="0"/>
    <x v="1"/>
    <x v="1"/>
    <x v="1"/>
  </r>
  <r>
    <n v="2335"/>
    <s v="C0151"/>
    <x v="354"/>
    <s v="47 days"/>
    <x v="1"/>
    <x v="326"/>
    <s v="3 days"/>
    <x v="1"/>
    <s v="New"/>
    <s v="Standard"/>
    <n v="47"/>
    <n v="3"/>
    <n v="5489"/>
    <n v="16467"/>
    <n v="0"/>
    <x v="0"/>
    <x v="1"/>
    <x v="1"/>
    <x v="1"/>
  </r>
  <r>
    <n v="2336"/>
    <s v="C1109"/>
    <x v="70"/>
    <s v="56 days"/>
    <x v="104"/>
    <x v="86"/>
    <s v="3 days"/>
    <x v="2"/>
    <s v="New"/>
    <s v="Suite"/>
    <n v="56"/>
    <n v="3"/>
    <n v="2651"/>
    <n v="7953"/>
    <n v="0"/>
    <x v="0"/>
    <x v="1"/>
    <x v="1"/>
    <x v="0"/>
  </r>
  <r>
    <n v="2337"/>
    <s v="C0147"/>
    <x v="28"/>
    <s v="48 days"/>
    <x v="202"/>
    <x v="195"/>
    <s v="1 days"/>
    <x v="0"/>
    <s v="New"/>
    <s v="Standard"/>
    <n v="48"/>
    <n v="1"/>
    <n v="3825"/>
    <n v="3825"/>
    <n v="3825"/>
    <x v="1"/>
    <x v="0"/>
    <x v="0"/>
    <x v="0"/>
  </r>
  <r>
    <n v="2338"/>
    <s v="C1405"/>
    <x v="297"/>
    <s v="27 days"/>
    <x v="266"/>
    <x v="310"/>
    <s v="2 days"/>
    <x v="3"/>
    <s v="New"/>
    <s v="Suite"/>
    <n v="27"/>
    <n v="2"/>
    <n v="3801"/>
    <n v="7602"/>
    <n v="0"/>
    <x v="0"/>
    <x v="1"/>
    <x v="1"/>
    <x v="0"/>
  </r>
  <r>
    <n v="2339"/>
    <s v="C0915"/>
    <x v="152"/>
    <s v="53 days"/>
    <x v="253"/>
    <x v="305"/>
    <s v="3 days"/>
    <x v="1"/>
    <s v="Returning"/>
    <s v="Deluxe"/>
    <n v="53"/>
    <n v="3"/>
    <n v="6222"/>
    <n v="18666"/>
    <n v="0"/>
    <x v="1"/>
    <x v="1"/>
    <x v="1"/>
    <x v="0"/>
  </r>
  <r>
    <n v="2340"/>
    <s v="C1309"/>
    <x v="180"/>
    <s v="23 days"/>
    <x v="50"/>
    <x v="342"/>
    <s v="4 days"/>
    <x v="2"/>
    <s v="Returning"/>
    <s v="Deluxe"/>
    <n v="23"/>
    <n v="4"/>
    <n v="4211"/>
    <n v="16844"/>
    <n v="0"/>
    <x v="1"/>
    <x v="1"/>
    <x v="1"/>
    <x v="1"/>
  </r>
  <r>
    <n v="2341"/>
    <s v="C0700"/>
    <x v="342"/>
    <s v="24 days"/>
    <x v="25"/>
    <x v="171"/>
    <s v="4 days"/>
    <x v="3"/>
    <s v="New"/>
    <s v="Suite"/>
    <n v="24"/>
    <n v="4"/>
    <n v="7627"/>
    <n v="30508"/>
    <n v="0"/>
    <x v="0"/>
    <x v="1"/>
    <x v="1"/>
    <x v="0"/>
  </r>
  <r>
    <n v="2342"/>
    <s v="C0082"/>
    <x v="84"/>
    <s v="9 days"/>
    <x v="381"/>
    <x v="76"/>
    <s v="5 days"/>
    <x v="4"/>
    <s v="Returning"/>
    <s v="Deluxe"/>
    <n v="9"/>
    <n v="5"/>
    <n v="3306"/>
    <n v="16530"/>
    <n v="16530"/>
    <x v="1"/>
    <x v="0"/>
    <x v="0"/>
    <x v="1"/>
  </r>
  <r>
    <n v="2343"/>
    <s v="C0514"/>
    <x v="286"/>
    <s v="35 days"/>
    <x v="272"/>
    <x v="358"/>
    <s v="4 days"/>
    <x v="2"/>
    <s v="Returning"/>
    <s v="Standard"/>
    <n v="35"/>
    <n v="4"/>
    <n v="6830"/>
    <n v="27320"/>
    <n v="27320"/>
    <x v="0"/>
    <x v="0"/>
    <x v="0"/>
    <x v="1"/>
  </r>
  <r>
    <n v="2344"/>
    <s v="C0815"/>
    <x v="28"/>
    <s v="51 days"/>
    <x v="382"/>
    <x v="221"/>
    <s v="5 days"/>
    <x v="2"/>
    <s v="Returning"/>
    <s v="Deluxe"/>
    <n v="51"/>
    <n v="5"/>
    <n v="5222"/>
    <n v="26110"/>
    <n v="0"/>
    <x v="0"/>
    <x v="1"/>
    <x v="1"/>
    <x v="0"/>
  </r>
  <r>
    <n v="2345"/>
    <s v="C0709"/>
    <x v="97"/>
    <s v="20 days"/>
    <x v="220"/>
    <x v="243"/>
    <s v="1 days"/>
    <x v="0"/>
    <s v="New"/>
    <s v="Deluxe"/>
    <n v="20"/>
    <n v="1"/>
    <n v="7156"/>
    <n v="7156"/>
    <n v="7156"/>
    <x v="0"/>
    <x v="0"/>
    <x v="0"/>
    <x v="0"/>
  </r>
  <r>
    <n v="2346"/>
    <s v="C0746"/>
    <x v="133"/>
    <s v="37 days"/>
    <x v="93"/>
    <x v="104"/>
    <s v="1 days"/>
    <x v="4"/>
    <s v="New"/>
    <s v="Deluxe"/>
    <n v="37"/>
    <n v="1"/>
    <n v="3825"/>
    <n v="3825"/>
    <n v="0"/>
    <x v="0"/>
    <x v="1"/>
    <x v="1"/>
    <x v="0"/>
  </r>
  <r>
    <n v="2347"/>
    <s v="C1023"/>
    <x v="160"/>
    <s v="42 days"/>
    <x v="150"/>
    <x v="64"/>
    <s v="1 days"/>
    <x v="0"/>
    <s v="New"/>
    <s v="Deluxe"/>
    <n v="42"/>
    <n v="1"/>
    <n v="6633"/>
    <n v="6633"/>
    <n v="0"/>
    <x v="0"/>
    <x v="1"/>
    <x v="1"/>
    <x v="0"/>
  </r>
  <r>
    <n v="2348"/>
    <s v="C1410"/>
    <x v="126"/>
    <s v="17 days"/>
    <x v="102"/>
    <x v="255"/>
    <s v="2 days"/>
    <x v="4"/>
    <s v="New"/>
    <s v="Standard"/>
    <n v="17"/>
    <n v="2"/>
    <n v="3659"/>
    <n v="7318"/>
    <n v="0"/>
    <x v="0"/>
    <x v="1"/>
    <x v="1"/>
    <x v="0"/>
  </r>
  <r>
    <n v="2349"/>
    <s v="C0707"/>
    <x v="243"/>
    <s v="47 days"/>
    <x v="132"/>
    <x v="147"/>
    <s v="2 days"/>
    <x v="2"/>
    <s v="Returning"/>
    <s v="Suite"/>
    <n v="47"/>
    <n v="2"/>
    <n v="5369"/>
    <n v="10738"/>
    <n v="0"/>
    <x v="0"/>
    <x v="1"/>
    <x v="1"/>
    <x v="0"/>
  </r>
  <r>
    <n v="2350"/>
    <s v="C0471"/>
    <x v="336"/>
    <s v="31 days"/>
    <x v="278"/>
    <x v="130"/>
    <s v="5 days"/>
    <x v="0"/>
    <s v="New"/>
    <s v="Deluxe"/>
    <n v="31"/>
    <n v="5"/>
    <n v="7016"/>
    <n v="35080"/>
    <n v="35080"/>
    <x v="1"/>
    <x v="0"/>
    <x v="0"/>
    <x v="1"/>
  </r>
  <r>
    <n v="2351"/>
    <s v="C1143"/>
    <x v="348"/>
    <s v="55 days"/>
    <x v="82"/>
    <x v="370"/>
    <s v="4 days"/>
    <x v="3"/>
    <s v="New"/>
    <s v="Deluxe"/>
    <n v="55"/>
    <n v="4"/>
    <n v="3742"/>
    <n v="14968"/>
    <n v="14968"/>
    <x v="1"/>
    <x v="0"/>
    <x v="0"/>
    <x v="1"/>
  </r>
  <r>
    <n v="2352"/>
    <s v="C0396"/>
    <x v="355"/>
    <s v="57 days"/>
    <x v="231"/>
    <x v="224"/>
    <s v="4 days"/>
    <x v="4"/>
    <s v="New"/>
    <s v="Standard"/>
    <n v="57"/>
    <n v="4"/>
    <n v="2847"/>
    <n v="11388"/>
    <n v="0"/>
    <x v="0"/>
    <x v="1"/>
    <x v="1"/>
    <x v="1"/>
  </r>
  <r>
    <n v="2353"/>
    <s v="C0261"/>
    <x v="61"/>
    <s v="8 days"/>
    <x v="57"/>
    <x v="56"/>
    <s v="1 days"/>
    <x v="2"/>
    <s v="Returning"/>
    <s v="Standard"/>
    <n v="8"/>
    <n v="1"/>
    <n v="4331"/>
    <n v="4331"/>
    <n v="0"/>
    <x v="0"/>
    <x v="1"/>
    <x v="1"/>
    <x v="1"/>
  </r>
  <r>
    <n v="2354"/>
    <s v="C0805"/>
    <x v="340"/>
    <s v="15 days"/>
    <x v="242"/>
    <x v="40"/>
    <s v="3 days"/>
    <x v="1"/>
    <s v="Returning"/>
    <s v="Standard"/>
    <n v="15"/>
    <n v="3"/>
    <n v="4069"/>
    <n v="12207"/>
    <n v="0"/>
    <x v="1"/>
    <x v="1"/>
    <x v="1"/>
    <x v="0"/>
  </r>
  <r>
    <n v="2355"/>
    <s v="C0934"/>
    <x v="76"/>
    <s v="31 days"/>
    <x v="62"/>
    <x v="10"/>
    <s v="2 days"/>
    <x v="4"/>
    <s v="Returning"/>
    <s v="Deluxe"/>
    <n v="31"/>
    <n v="2"/>
    <n v="6435"/>
    <n v="12870"/>
    <n v="12870"/>
    <x v="0"/>
    <x v="0"/>
    <x v="0"/>
    <x v="0"/>
  </r>
  <r>
    <n v="2356"/>
    <s v="C1280"/>
    <x v="146"/>
    <s v="53 days"/>
    <x v="80"/>
    <x v="328"/>
    <s v="2 days"/>
    <x v="4"/>
    <s v="Returning"/>
    <s v="Suite"/>
    <n v="53"/>
    <n v="2"/>
    <n v="4418"/>
    <n v="8836"/>
    <n v="8836"/>
    <x v="1"/>
    <x v="0"/>
    <x v="0"/>
    <x v="1"/>
  </r>
  <r>
    <n v="2357"/>
    <s v="C0905"/>
    <x v="53"/>
    <s v="30 days"/>
    <x v="118"/>
    <x v="319"/>
    <s v="1 days"/>
    <x v="3"/>
    <s v="Returning"/>
    <s v="Standard"/>
    <n v="30"/>
    <n v="1"/>
    <n v="8916"/>
    <n v="8916"/>
    <n v="8916"/>
    <x v="1"/>
    <x v="0"/>
    <x v="0"/>
    <x v="1"/>
  </r>
  <r>
    <n v="2358"/>
    <s v="C1250"/>
    <x v="203"/>
    <s v="46 days"/>
    <x v="189"/>
    <x v="246"/>
    <s v="2 days"/>
    <x v="4"/>
    <s v="New"/>
    <s v="Standard"/>
    <n v="46"/>
    <n v="2"/>
    <n v="5732"/>
    <n v="11464"/>
    <n v="0"/>
    <x v="0"/>
    <x v="1"/>
    <x v="1"/>
    <x v="1"/>
  </r>
  <r>
    <n v="2359"/>
    <s v="C1077"/>
    <x v="228"/>
    <s v="20 days"/>
    <x v="209"/>
    <x v="144"/>
    <s v="1 days"/>
    <x v="4"/>
    <s v="Returning"/>
    <s v="Standard"/>
    <n v="20"/>
    <n v="1"/>
    <n v="6258"/>
    <n v="6258"/>
    <n v="6258"/>
    <x v="0"/>
    <x v="0"/>
    <x v="0"/>
    <x v="0"/>
  </r>
  <r>
    <n v="2360"/>
    <s v="C0940"/>
    <x v="9"/>
    <s v="39 days"/>
    <x v="195"/>
    <x v="205"/>
    <s v="5 days"/>
    <x v="3"/>
    <s v="Returning"/>
    <s v="Suite"/>
    <n v="39"/>
    <n v="5"/>
    <n v="8497"/>
    <n v="42485"/>
    <n v="0"/>
    <x v="1"/>
    <x v="1"/>
    <x v="1"/>
    <x v="0"/>
  </r>
  <r>
    <n v="2361"/>
    <s v="C0854"/>
    <x v="20"/>
    <s v="53 days"/>
    <x v="101"/>
    <x v="59"/>
    <s v="4 days"/>
    <x v="3"/>
    <s v="New"/>
    <s v="Deluxe"/>
    <n v="53"/>
    <n v="4"/>
    <n v="4855"/>
    <n v="19420"/>
    <n v="0"/>
    <x v="1"/>
    <x v="1"/>
    <x v="1"/>
    <x v="0"/>
  </r>
  <r>
    <n v="2362"/>
    <s v="C1388"/>
    <x v="43"/>
    <s v="55 days"/>
    <x v="73"/>
    <x v="70"/>
    <s v="3 days"/>
    <x v="0"/>
    <s v="New"/>
    <s v="Deluxe"/>
    <n v="55"/>
    <n v="3"/>
    <n v="3897"/>
    <n v="11691"/>
    <n v="0"/>
    <x v="0"/>
    <x v="1"/>
    <x v="1"/>
    <x v="1"/>
  </r>
  <r>
    <n v="2363"/>
    <s v="C1304"/>
    <x v="131"/>
    <s v="12 days"/>
    <x v="231"/>
    <x v="224"/>
    <s v="4 days"/>
    <x v="2"/>
    <s v="New"/>
    <s v="Deluxe"/>
    <n v="12"/>
    <n v="4"/>
    <n v="5280"/>
    <n v="21120"/>
    <n v="0"/>
    <x v="0"/>
    <x v="1"/>
    <x v="1"/>
    <x v="1"/>
  </r>
  <r>
    <n v="2364"/>
    <s v="C0593"/>
    <x v="280"/>
    <s v="49 days"/>
    <x v="49"/>
    <x v="368"/>
    <s v="4 days"/>
    <x v="2"/>
    <s v="Returning"/>
    <s v="Standard"/>
    <n v="49"/>
    <n v="4"/>
    <n v="4324"/>
    <n v="17296"/>
    <n v="0"/>
    <x v="1"/>
    <x v="1"/>
    <x v="1"/>
    <x v="0"/>
  </r>
  <r>
    <n v="2365"/>
    <s v="C0714"/>
    <x v="334"/>
    <s v="17 days"/>
    <x v="304"/>
    <x v="353"/>
    <s v="5 days"/>
    <x v="0"/>
    <s v="New"/>
    <s v="Deluxe"/>
    <n v="17"/>
    <n v="5"/>
    <n v="4991"/>
    <n v="24955"/>
    <n v="24955"/>
    <x v="1"/>
    <x v="0"/>
    <x v="0"/>
    <x v="0"/>
  </r>
  <r>
    <n v="2366"/>
    <s v="C1182"/>
    <x v="18"/>
    <s v="42 days"/>
    <x v="177"/>
    <x v="230"/>
    <s v="2 days"/>
    <x v="2"/>
    <s v="Returning"/>
    <s v="Standard"/>
    <n v="42"/>
    <n v="2"/>
    <n v="6560"/>
    <n v="13120"/>
    <n v="13120"/>
    <x v="1"/>
    <x v="0"/>
    <x v="0"/>
    <x v="1"/>
  </r>
  <r>
    <n v="2367"/>
    <s v="C0632"/>
    <x v="169"/>
    <s v="30 days"/>
    <x v="242"/>
    <x v="40"/>
    <s v="3 days"/>
    <x v="4"/>
    <s v="New"/>
    <s v="Suite"/>
    <n v="30"/>
    <n v="3"/>
    <n v="7824"/>
    <n v="23472"/>
    <n v="0"/>
    <x v="0"/>
    <x v="1"/>
    <x v="1"/>
    <x v="1"/>
  </r>
  <r>
    <n v="2368"/>
    <s v="C0059"/>
    <x v="207"/>
    <s v="29 days"/>
    <x v="168"/>
    <x v="146"/>
    <s v="2 days"/>
    <x v="0"/>
    <s v="Returning"/>
    <s v="Suite"/>
    <n v="29"/>
    <n v="2"/>
    <n v="2904"/>
    <n v="5808"/>
    <n v="0"/>
    <x v="0"/>
    <x v="1"/>
    <x v="1"/>
    <x v="0"/>
  </r>
  <r>
    <n v="2369"/>
    <s v="C0128"/>
    <x v="309"/>
    <s v="19 days"/>
    <x v="131"/>
    <x v="127"/>
    <s v="4 days"/>
    <x v="0"/>
    <s v="Returning"/>
    <s v="Deluxe"/>
    <n v="19"/>
    <n v="4"/>
    <n v="4221"/>
    <n v="16884"/>
    <n v="0"/>
    <x v="0"/>
    <x v="1"/>
    <x v="1"/>
    <x v="1"/>
  </r>
  <r>
    <n v="2370"/>
    <s v="C0736"/>
    <x v="173"/>
    <s v="46 days"/>
    <x v="185"/>
    <x v="385"/>
    <s v="1 days"/>
    <x v="2"/>
    <s v="Returning"/>
    <s v="Standard"/>
    <n v="46"/>
    <n v="1"/>
    <n v="7816"/>
    <n v="7816"/>
    <n v="7816"/>
    <x v="1"/>
    <x v="0"/>
    <x v="0"/>
    <x v="0"/>
  </r>
  <r>
    <n v="2371"/>
    <s v="C0721"/>
    <x v="188"/>
    <s v="11 days"/>
    <x v="145"/>
    <x v="186"/>
    <s v="4 days"/>
    <x v="1"/>
    <s v="Returning"/>
    <s v="Standard"/>
    <n v="11"/>
    <n v="4"/>
    <n v="5325"/>
    <n v="21300"/>
    <n v="21300"/>
    <x v="1"/>
    <x v="0"/>
    <x v="0"/>
    <x v="0"/>
  </r>
  <r>
    <n v="2372"/>
    <s v="C1139"/>
    <x v="238"/>
    <s v="34 days"/>
    <x v="228"/>
    <x v="79"/>
    <s v="2 days"/>
    <x v="2"/>
    <s v="New"/>
    <s v="Deluxe"/>
    <n v="34"/>
    <n v="2"/>
    <n v="6345"/>
    <n v="12690"/>
    <n v="12690"/>
    <x v="0"/>
    <x v="0"/>
    <x v="0"/>
    <x v="1"/>
  </r>
  <r>
    <n v="2373"/>
    <s v="C1233"/>
    <x v="339"/>
    <s v="50 days"/>
    <x v="70"/>
    <x v="89"/>
    <s v="4 days"/>
    <x v="1"/>
    <s v="New"/>
    <s v="Suite"/>
    <n v="50"/>
    <n v="4"/>
    <n v="6710"/>
    <n v="26840"/>
    <n v="26840"/>
    <x v="1"/>
    <x v="0"/>
    <x v="0"/>
    <x v="1"/>
  </r>
  <r>
    <n v="2374"/>
    <s v="C0526"/>
    <x v="67"/>
    <s v="7 days"/>
    <x v="38"/>
    <x v="78"/>
    <s v="1 days"/>
    <x v="0"/>
    <s v="Returning"/>
    <s v="Suite"/>
    <n v="7"/>
    <n v="1"/>
    <n v="5692"/>
    <n v="5692"/>
    <n v="0"/>
    <x v="1"/>
    <x v="1"/>
    <x v="1"/>
    <x v="1"/>
  </r>
  <r>
    <n v="2375"/>
    <s v="C0521"/>
    <x v="102"/>
    <s v="44 days"/>
    <x v="342"/>
    <x v="238"/>
    <s v="5 days"/>
    <x v="1"/>
    <s v="New"/>
    <s v="Suite"/>
    <n v="44"/>
    <n v="5"/>
    <n v="8272"/>
    <n v="41360"/>
    <n v="0"/>
    <x v="1"/>
    <x v="1"/>
    <x v="1"/>
    <x v="0"/>
  </r>
  <r>
    <n v="2376"/>
    <s v="C0552"/>
    <x v="290"/>
    <s v="58 days"/>
    <x v="299"/>
    <x v="386"/>
    <s v="2 days"/>
    <x v="4"/>
    <s v="Returning"/>
    <s v="Suite"/>
    <n v="58"/>
    <n v="2"/>
    <n v="2564"/>
    <n v="5128"/>
    <n v="0"/>
    <x v="1"/>
    <x v="1"/>
    <x v="1"/>
    <x v="1"/>
  </r>
  <r>
    <n v="2377"/>
    <s v="C0237"/>
    <x v="189"/>
    <s v="34 days"/>
    <x v="302"/>
    <x v="93"/>
    <s v="4 days"/>
    <x v="3"/>
    <s v="New"/>
    <s v="Suite"/>
    <n v="34"/>
    <n v="4"/>
    <n v="3799"/>
    <n v="15196"/>
    <n v="0"/>
    <x v="1"/>
    <x v="1"/>
    <x v="1"/>
    <x v="1"/>
  </r>
  <r>
    <n v="2378"/>
    <s v="C1305"/>
    <x v="142"/>
    <s v="59 days"/>
    <x v="383"/>
    <x v="250"/>
    <s v="2 days"/>
    <x v="1"/>
    <s v="New"/>
    <s v="Deluxe"/>
    <n v="59"/>
    <n v="2"/>
    <n v="7420"/>
    <n v="14840"/>
    <n v="0"/>
    <x v="0"/>
    <x v="1"/>
    <x v="1"/>
    <x v="0"/>
  </r>
  <r>
    <n v="2379"/>
    <s v="C1383"/>
    <x v="85"/>
    <s v="20 days"/>
    <x v="126"/>
    <x v="40"/>
    <s v="5 days"/>
    <x v="3"/>
    <s v="Returning"/>
    <s v="Deluxe"/>
    <n v="20"/>
    <n v="5"/>
    <n v="8882"/>
    <n v="44410"/>
    <n v="0"/>
    <x v="0"/>
    <x v="1"/>
    <x v="1"/>
    <x v="0"/>
  </r>
  <r>
    <n v="2380"/>
    <s v="C1225"/>
    <x v="336"/>
    <s v="50 days"/>
    <x v="180"/>
    <x v="177"/>
    <s v="4 days"/>
    <x v="4"/>
    <s v="Returning"/>
    <s v="Deluxe"/>
    <n v="50"/>
    <n v="4"/>
    <n v="8945"/>
    <n v="35780"/>
    <n v="0"/>
    <x v="0"/>
    <x v="1"/>
    <x v="1"/>
    <x v="1"/>
  </r>
  <r>
    <n v="2381"/>
    <s v="C1302"/>
    <x v="147"/>
    <s v="38 days"/>
    <x v="346"/>
    <x v="234"/>
    <s v="4 days"/>
    <x v="3"/>
    <s v="New"/>
    <s v="Suite"/>
    <n v="38"/>
    <n v="4"/>
    <n v="3915"/>
    <n v="15660"/>
    <n v="0"/>
    <x v="0"/>
    <x v="1"/>
    <x v="1"/>
    <x v="0"/>
  </r>
  <r>
    <n v="2382"/>
    <s v="C1259"/>
    <x v="126"/>
    <s v="24 days"/>
    <x v="110"/>
    <x v="186"/>
    <s v="2 days"/>
    <x v="4"/>
    <s v="Returning"/>
    <s v="Suite"/>
    <n v="24"/>
    <n v="2"/>
    <n v="6093"/>
    <n v="12186"/>
    <n v="12186"/>
    <x v="0"/>
    <x v="0"/>
    <x v="0"/>
    <x v="0"/>
  </r>
  <r>
    <n v="2383"/>
    <s v="C0494"/>
    <x v="185"/>
    <s v="10 days"/>
    <x v="228"/>
    <x v="79"/>
    <s v="2 days"/>
    <x v="3"/>
    <s v="New"/>
    <s v="Deluxe"/>
    <n v="10"/>
    <n v="2"/>
    <n v="3468"/>
    <n v="6936"/>
    <n v="0"/>
    <x v="1"/>
    <x v="1"/>
    <x v="1"/>
    <x v="0"/>
  </r>
  <r>
    <n v="2384"/>
    <s v="C0004"/>
    <x v="33"/>
    <s v="32 days"/>
    <x v="291"/>
    <x v="271"/>
    <s v="1 days"/>
    <x v="3"/>
    <s v="New"/>
    <s v="Deluxe"/>
    <n v="32"/>
    <n v="1"/>
    <n v="2868"/>
    <n v="2868"/>
    <n v="2868"/>
    <x v="1"/>
    <x v="0"/>
    <x v="0"/>
    <x v="1"/>
  </r>
  <r>
    <n v="2385"/>
    <s v="C0666"/>
    <x v="295"/>
    <s v="52 days"/>
    <x v="281"/>
    <x v="141"/>
    <s v="5 days"/>
    <x v="2"/>
    <s v="New"/>
    <s v="Suite"/>
    <n v="52"/>
    <n v="5"/>
    <n v="2732"/>
    <n v="13660"/>
    <n v="0"/>
    <x v="1"/>
    <x v="1"/>
    <x v="1"/>
    <x v="1"/>
  </r>
  <r>
    <n v="2386"/>
    <s v="C0442"/>
    <x v="15"/>
    <s v="15 days"/>
    <x v="332"/>
    <x v="202"/>
    <s v="1 days"/>
    <x v="1"/>
    <s v="Returning"/>
    <s v="Standard"/>
    <n v="15"/>
    <n v="1"/>
    <n v="4742"/>
    <n v="4742"/>
    <n v="0"/>
    <x v="0"/>
    <x v="1"/>
    <x v="1"/>
    <x v="0"/>
  </r>
  <r>
    <n v="2387"/>
    <s v="C0029"/>
    <x v="53"/>
    <s v="37 days"/>
    <x v="156"/>
    <x v="95"/>
    <s v="4 days"/>
    <x v="3"/>
    <s v="Returning"/>
    <s v="Deluxe"/>
    <n v="37"/>
    <n v="4"/>
    <n v="7502"/>
    <n v="30008"/>
    <n v="0"/>
    <x v="1"/>
    <x v="1"/>
    <x v="1"/>
    <x v="0"/>
  </r>
  <r>
    <n v="2388"/>
    <s v="C1133"/>
    <x v="5"/>
    <s v="20 days"/>
    <x v="229"/>
    <x v="301"/>
    <s v="2 days"/>
    <x v="0"/>
    <s v="New"/>
    <s v="Suite"/>
    <n v="20"/>
    <n v="2"/>
    <n v="5583"/>
    <n v="11166"/>
    <n v="11166"/>
    <x v="1"/>
    <x v="0"/>
    <x v="0"/>
    <x v="0"/>
  </r>
  <r>
    <n v="2389"/>
    <s v="C0610"/>
    <x v="155"/>
    <s v="3 days"/>
    <x v="29"/>
    <x v="54"/>
    <s v="4 days"/>
    <x v="2"/>
    <s v="Returning"/>
    <s v="Suite"/>
    <n v="3"/>
    <n v="4"/>
    <n v="3420"/>
    <n v="13680"/>
    <n v="13680"/>
    <x v="1"/>
    <x v="0"/>
    <x v="0"/>
    <x v="1"/>
  </r>
  <r>
    <n v="2390"/>
    <s v="C0805"/>
    <x v="28"/>
    <s v="37 days"/>
    <x v="163"/>
    <x v="387"/>
    <s v="4 days"/>
    <x v="1"/>
    <s v="Returning"/>
    <s v="Deluxe"/>
    <n v="37"/>
    <n v="4"/>
    <n v="3188"/>
    <n v="12752"/>
    <n v="12752"/>
    <x v="0"/>
    <x v="0"/>
    <x v="0"/>
    <x v="0"/>
  </r>
  <r>
    <n v="2391"/>
    <s v="C0075"/>
    <x v="221"/>
    <s v="57 days"/>
    <x v="16"/>
    <x v="16"/>
    <s v="3 days"/>
    <x v="2"/>
    <s v="New"/>
    <s v="Standard"/>
    <n v="57"/>
    <n v="3"/>
    <n v="6772"/>
    <n v="20316"/>
    <n v="0"/>
    <x v="1"/>
    <x v="1"/>
    <x v="1"/>
    <x v="0"/>
  </r>
  <r>
    <n v="2392"/>
    <s v="C0838"/>
    <x v="79"/>
    <s v="40 days"/>
    <x v="358"/>
    <x v="263"/>
    <s v="3 days"/>
    <x v="1"/>
    <s v="Returning"/>
    <s v="Suite"/>
    <n v="40"/>
    <n v="3"/>
    <n v="8860"/>
    <n v="26580"/>
    <n v="0"/>
    <x v="1"/>
    <x v="1"/>
    <x v="1"/>
    <x v="1"/>
  </r>
  <r>
    <n v="2393"/>
    <s v="C1170"/>
    <x v="296"/>
    <s v="8 days"/>
    <x v="257"/>
    <x v="271"/>
    <s v="4 days"/>
    <x v="4"/>
    <s v="Returning"/>
    <s v="Deluxe"/>
    <n v="8"/>
    <n v="4"/>
    <n v="7630"/>
    <n v="30520"/>
    <n v="30520"/>
    <x v="0"/>
    <x v="0"/>
    <x v="0"/>
    <x v="0"/>
  </r>
  <r>
    <n v="2394"/>
    <s v="C0128"/>
    <x v="212"/>
    <s v="40 days"/>
    <x v="288"/>
    <x v="284"/>
    <s v="2 days"/>
    <x v="3"/>
    <s v="New"/>
    <s v="Suite"/>
    <n v="40"/>
    <n v="2"/>
    <n v="3969"/>
    <n v="7938"/>
    <n v="0"/>
    <x v="0"/>
    <x v="1"/>
    <x v="1"/>
    <x v="1"/>
  </r>
  <r>
    <n v="2395"/>
    <s v="C0042"/>
    <x v="342"/>
    <s v="44 days"/>
    <x v="336"/>
    <x v="244"/>
    <s v="4 days"/>
    <x v="0"/>
    <s v="Returning"/>
    <s v="Suite"/>
    <n v="44"/>
    <n v="4"/>
    <n v="7225"/>
    <n v="28900"/>
    <n v="0"/>
    <x v="1"/>
    <x v="1"/>
    <x v="1"/>
    <x v="1"/>
  </r>
  <r>
    <n v="2396"/>
    <s v="C1380"/>
    <x v="151"/>
    <s v="56 days"/>
    <x v="384"/>
    <x v="385"/>
    <s v="3 days"/>
    <x v="2"/>
    <s v="New"/>
    <s v="Suite"/>
    <n v="56"/>
    <n v="3"/>
    <n v="6759"/>
    <n v="20277"/>
    <n v="20277"/>
    <x v="0"/>
    <x v="0"/>
    <x v="0"/>
    <x v="1"/>
  </r>
  <r>
    <n v="2397"/>
    <s v="C0041"/>
    <x v="52"/>
    <s v="23 days"/>
    <x v="233"/>
    <x v="34"/>
    <s v="2 days"/>
    <x v="2"/>
    <s v="Returning"/>
    <s v="Suite"/>
    <n v="23"/>
    <n v="2"/>
    <n v="6122"/>
    <n v="12244"/>
    <n v="0"/>
    <x v="1"/>
    <x v="1"/>
    <x v="1"/>
    <x v="0"/>
  </r>
  <r>
    <n v="2398"/>
    <s v="C0934"/>
    <x v="343"/>
    <s v="40 days"/>
    <x v="0"/>
    <x v="298"/>
    <s v="4 days"/>
    <x v="2"/>
    <s v="Returning"/>
    <s v="Standard"/>
    <n v="40"/>
    <n v="4"/>
    <n v="4600"/>
    <n v="18400"/>
    <n v="18400"/>
    <x v="0"/>
    <x v="0"/>
    <x v="0"/>
    <x v="0"/>
  </r>
  <r>
    <n v="2399"/>
    <s v="C0034"/>
    <x v="179"/>
    <s v="11 days"/>
    <x v="30"/>
    <x v="30"/>
    <s v="5 days"/>
    <x v="2"/>
    <s v="New"/>
    <s v="Deluxe"/>
    <n v="11"/>
    <n v="5"/>
    <n v="4765"/>
    <n v="23825"/>
    <n v="0"/>
    <x v="1"/>
    <x v="1"/>
    <x v="1"/>
    <x v="1"/>
  </r>
  <r>
    <n v="2400"/>
    <s v="C1041"/>
    <x v="48"/>
    <s v="46 days"/>
    <x v="102"/>
    <x v="247"/>
    <s v="5 days"/>
    <x v="3"/>
    <s v="New"/>
    <s v="Deluxe"/>
    <n v="46"/>
    <n v="5"/>
    <n v="6289"/>
    <n v="31445"/>
    <n v="0"/>
    <x v="1"/>
    <x v="1"/>
    <x v="1"/>
    <x v="0"/>
  </r>
  <r>
    <n v="2401"/>
    <s v="C1177"/>
    <x v="346"/>
    <s v="8 days"/>
    <x v="206"/>
    <x v="200"/>
    <s v="4 days"/>
    <x v="1"/>
    <s v="Returning"/>
    <s v="Deluxe"/>
    <n v="8"/>
    <n v="4"/>
    <n v="3323"/>
    <n v="13292"/>
    <n v="0"/>
    <x v="0"/>
    <x v="1"/>
    <x v="1"/>
    <x v="1"/>
  </r>
  <r>
    <n v="2402"/>
    <s v="C0998"/>
    <x v="97"/>
    <s v="29 days"/>
    <x v="381"/>
    <x v="13"/>
    <s v="2 days"/>
    <x v="3"/>
    <s v="New"/>
    <s v="Deluxe"/>
    <n v="29"/>
    <n v="2"/>
    <n v="5931"/>
    <n v="11862"/>
    <n v="11862"/>
    <x v="0"/>
    <x v="0"/>
    <x v="0"/>
    <x v="0"/>
  </r>
  <r>
    <n v="2403"/>
    <s v="C1402"/>
    <x v="38"/>
    <s v="30 days"/>
    <x v="207"/>
    <x v="213"/>
    <s v="4 days"/>
    <x v="4"/>
    <s v="New"/>
    <s v="Deluxe"/>
    <n v="30"/>
    <n v="4"/>
    <n v="6651"/>
    <n v="26604"/>
    <n v="0"/>
    <x v="0"/>
    <x v="1"/>
    <x v="1"/>
    <x v="1"/>
  </r>
  <r>
    <n v="2404"/>
    <s v="C0588"/>
    <x v="236"/>
    <s v="56 days"/>
    <x v="16"/>
    <x v="236"/>
    <s v="4 days"/>
    <x v="3"/>
    <s v="Returning"/>
    <s v="Standard"/>
    <n v="56"/>
    <n v="4"/>
    <n v="6713"/>
    <n v="26852"/>
    <n v="0"/>
    <x v="0"/>
    <x v="1"/>
    <x v="1"/>
    <x v="1"/>
  </r>
  <r>
    <n v="2405"/>
    <s v="C0342"/>
    <x v="33"/>
    <s v="10 days"/>
    <x v="339"/>
    <x v="221"/>
    <s v="3 days"/>
    <x v="3"/>
    <s v="New"/>
    <s v="Suite"/>
    <n v="10"/>
    <n v="3"/>
    <n v="3297"/>
    <n v="9891"/>
    <n v="9891"/>
    <x v="1"/>
    <x v="0"/>
    <x v="0"/>
    <x v="0"/>
  </r>
  <r>
    <n v="2406"/>
    <s v="C0027"/>
    <x v="285"/>
    <s v="39 days"/>
    <x v="316"/>
    <x v="63"/>
    <s v="5 days"/>
    <x v="4"/>
    <s v="Returning"/>
    <s v="Suite"/>
    <n v="39"/>
    <n v="5"/>
    <n v="3279"/>
    <n v="16395"/>
    <n v="0"/>
    <x v="0"/>
    <x v="1"/>
    <x v="1"/>
    <x v="0"/>
  </r>
  <r>
    <n v="2407"/>
    <s v="C1311"/>
    <x v="166"/>
    <s v="28 days"/>
    <x v="232"/>
    <x v="225"/>
    <s v="3 days"/>
    <x v="3"/>
    <s v="Returning"/>
    <s v="Deluxe"/>
    <n v="28"/>
    <n v="3"/>
    <n v="5350"/>
    <n v="16050"/>
    <n v="16050"/>
    <x v="1"/>
    <x v="0"/>
    <x v="0"/>
    <x v="0"/>
  </r>
  <r>
    <n v="2408"/>
    <s v="C0646"/>
    <x v="25"/>
    <s v="49 days"/>
    <x v="237"/>
    <x v="388"/>
    <s v="3 days"/>
    <x v="1"/>
    <s v="New"/>
    <s v="Suite"/>
    <n v="49"/>
    <n v="3"/>
    <n v="5392"/>
    <n v="16176"/>
    <n v="0"/>
    <x v="1"/>
    <x v="1"/>
    <x v="1"/>
    <x v="0"/>
  </r>
  <r>
    <n v="2409"/>
    <s v="C0731"/>
    <x v="51"/>
    <s v="36 days"/>
    <x v="209"/>
    <x v="69"/>
    <s v="4 days"/>
    <x v="0"/>
    <s v="Returning"/>
    <s v="Suite"/>
    <n v="36"/>
    <n v="4"/>
    <n v="8034"/>
    <n v="32136"/>
    <n v="0"/>
    <x v="1"/>
    <x v="1"/>
    <x v="1"/>
    <x v="1"/>
  </r>
  <r>
    <n v="2410"/>
    <s v="C0168"/>
    <x v="259"/>
    <s v="13 days"/>
    <x v="160"/>
    <x v="156"/>
    <s v="3 days"/>
    <x v="4"/>
    <s v="New"/>
    <s v="Suite"/>
    <n v="13"/>
    <n v="3"/>
    <n v="4393"/>
    <n v="13179"/>
    <n v="13179"/>
    <x v="0"/>
    <x v="0"/>
    <x v="0"/>
    <x v="1"/>
  </r>
  <r>
    <n v="2411"/>
    <s v="C0610"/>
    <x v="54"/>
    <s v="32 days"/>
    <x v="36"/>
    <x v="357"/>
    <s v="5 days"/>
    <x v="2"/>
    <s v="Returning"/>
    <s v="Deluxe"/>
    <n v="32"/>
    <n v="5"/>
    <n v="5806"/>
    <n v="29030"/>
    <n v="29030"/>
    <x v="1"/>
    <x v="0"/>
    <x v="0"/>
    <x v="0"/>
  </r>
  <r>
    <n v="2412"/>
    <s v="C0268"/>
    <x v="356"/>
    <s v="36 days"/>
    <x v="297"/>
    <x v="171"/>
    <s v="3 days"/>
    <x v="1"/>
    <s v="New"/>
    <s v="Deluxe"/>
    <n v="36"/>
    <n v="3"/>
    <n v="5402"/>
    <n v="16206"/>
    <n v="16206"/>
    <x v="1"/>
    <x v="0"/>
    <x v="0"/>
    <x v="0"/>
  </r>
  <r>
    <n v="2413"/>
    <s v="C0821"/>
    <x v="221"/>
    <s v="37 days"/>
    <x v="148"/>
    <x v="389"/>
    <s v="5 days"/>
    <x v="0"/>
    <s v="New"/>
    <s v="Standard"/>
    <n v="37"/>
    <n v="5"/>
    <n v="7303"/>
    <n v="36515"/>
    <n v="36515"/>
    <x v="0"/>
    <x v="0"/>
    <x v="0"/>
    <x v="1"/>
  </r>
  <r>
    <n v="2414"/>
    <s v="C0455"/>
    <x v="338"/>
    <s v="26 days"/>
    <x v="283"/>
    <x v="344"/>
    <s v="3 days"/>
    <x v="1"/>
    <s v="Returning"/>
    <s v="Deluxe"/>
    <n v="26"/>
    <n v="3"/>
    <n v="7699"/>
    <n v="23097"/>
    <n v="23097"/>
    <x v="1"/>
    <x v="0"/>
    <x v="0"/>
    <x v="0"/>
  </r>
  <r>
    <n v="2415"/>
    <s v="C0906"/>
    <x v="9"/>
    <s v="22 days"/>
    <x v="155"/>
    <x v="99"/>
    <s v="5 days"/>
    <x v="1"/>
    <s v="New"/>
    <s v="Standard"/>
    <n v="22"/>
    <n v="5"/>
    <n v="6218"/>
    <n v="31090"/>
    <n v="31090"/>
    <x v="1"/>
    <x v="0"/>
    <x v="0"/>
    <x v="0"/>
  </r>
  <r>
    <n v="2416"/>
    <s v="C1425"/>
    <x v="315"/>
    <s v="4 days"/>
    <x v="308"/>
    <x v="239"/>
    <s v="3 days"/>
    <x v="2"/>
    <s v="New"/>
    <s v="Deluxe"/>
    <n v="4"/>
    <n v="3"/>
    <n v="2521"/>
    <n v="7563"/>
    <n v="7563"/>
    <x v="1"/>
    <x v="0"/>
    <x v="0"/>
    <x v="0"/>
  </r>
  <r>
    <n v="2417"/>
    <s v="C0922"/>
    <x v="251"/>
    <s v="31 days"/>
    <x v="157"/>
    <x v="244"/>
    <s v="3 days"/>
    <x v="0"/>
    <s v="New"/>
    <s v="Suite"/>
    <n v="31"/>
    <n v="3"/>
    <n v="4000"/>
    <n v="12000"/>
    <n v="12000"/>
    <x v="0"/>
    <x v="0"/>
    <x v="0"/>
    <x v="0"/>
  </r>
  <r>
    <n v="2418"/>
    <s v="C0981"/>
    <x v="116"/>
    <s v="18 days"/>
    <x v="68"/>
    <x v="162"/>
    <s v="2 days"/>
    <x v="1"/>
    <s v="Returning"/>
    <s v="Standard"/>
    <n v="18"/>
    <n v="2"/>
    <n v="3342"/>
    <n v="6684"/>
    <n v="6684"/>
    <x v="1"/>
    <x v="0"/>
    <x v="0"/>
    <x v="1"/>
  </r>
  <r>
    <n v="2419"/>
    <s v="C0702"/>
    <x v="43"/>
    <s v="38 days"/>
    <x v="169"/>
    <x v="167"/>
    <s v="5 days"/>
    <x v="2"/>
    <s v="Returning"/>
    <s v="Standard"/>
    <n v="38"/>
    <n v="5"/>
    <n v="4260"/>
    <n v="21300"/>
    <n v="0"/>
    <x v="1"/>
    <x v="1"/>
    <x v="1"/>
    <x v="1"/>
  </r>
  <r>
    <n v="2420"/>
    <s v="C0634"/>
    <x v="351"/>
    <s v="24 days"/>
    <x v="254"/>
    <x v="348"/>
    <s v="5 days"/>
    <x v="4"/>
    <s v="New"/>
    <s v="Standard"/>
    <n v="24"/>
    <n v="5"/>
    <n v="6141"/>
    <n v="30705"/>
    <n v="30705"/>
    <x v="1"/>
    <x v="0"/>
    <x v="0"/>
    <x v="0"/>
  </r>
  <r>
    <n v="2421"/>
    <s v="C0130"/>
    <x v="154"/>
    <s v="56 days"/>
    <x v="159"/>
    <x v="297"/>
    <s v="5 days"/>
    <x v="2"/>
    <s v="New"/>
    <s v="Deluxe"/>
    <n v="56"/>
    <n v="5"/>
    <n v="7712"/>
    <n v="38560"/>
    <n v="0"/>
    <x v="0"/>
    <x v="1"/>
    <x v="1"/>
    <x v="1"/>
  </r>
  <r>
    <n v="2422"/>
    <s v="C1020"/>
    <x v="284"/>
    <s v="23 days"/>
    <x v="344"/>
    <x v="1"/>
    <s v="1 days"/>
    <x v="3"/>
    <s v="Returning"/>
    <s v="Standard"/>
    <n v="23"/>
    <n v="1"/>
    <n v="2691"/>
    <n v="2691"/>
    <n v="2691"/>
    <x v="0"/>
    <x v="0"/>
    <x v="0"/>
    <x v="0"/>
  </r>
  <r>
    <n v="2423"/>
    <s v="C1387"/>
    <x v="206"/>
    <s v="22 days"/>
    <x v="273"/>
    <x v="328"/>
    <s v="3 days"/>
    <x v="2"/>
    <s v="Returning"/>
    <s v="Deluxe"/>
    <n v="22"/>
    <n v="3"/>
    <n v="7614"/>
    <n v="22842"/>
    <n v="22842"/>
    <x v="0"/>
    <x v="0"/>
    <x v="0"/>
    <x v="0"/>
  </r>
  <r>
    <n v="2424"/>
    <s v="C0819"/>
    <x v="336"/>
    <s v="2 days"/>
    <x v="209"/>
    <x v="139"/>
    <s v="5 days"/>
    <x v="2"/>
    <s v="Returning"/>
    <s v="Standard"/>
    <n v="2"/>
    <n v="5"/>
    <n v="7722"/>
    <n v="38610"/>
    <n v="38610"/>
    <x v="1"/>
    <x v="0"/>
    <x v="0"/>
    <x v="0"/>
  </r>
  <r>
    <n v="2425"/>
    <s v="C0693"/>
    <x v="98"/>
    <s v="31 days"/>
    <x v="298"/>
    <x v="187"/>
    <s v="1 days"/>
    <x v="2"/>
    <s v="New"/>
    <s v="Deluxe"/>
    <n v="31"/>
    <n v="1"/>
    <n v="2895"/>
    <n v="2895"/>
    <n v="0"/>
    <x v="1"/>
    <x v="1"/>
    <x v="1"/>
    <x v="1"/>
  </r>
  <r>
    <n v="2426"/>
    <s v="C1316"/>
    <x v="148"/>
    <s v="55 days"/>
    <x v="27"/>
    <x v="27"/>
    <s v="2 days"/>
    <x v="1"/>
    <s v="Returning"/>
    <s v="Standard"/>
    <n v="55"/>
    <n v="2"/>
    <n v="7614"/>
    <n v="15228"/>
    <n v="0"/>
    <x v="1"/>
    <x v="1"/>
    <x v="1"/>
    <x v="1"/>
  </r>
  <r>
    <n v="2427"/>
    <s v="C1395"/>
    <x v="101"/>
    <s v="11 days"/>
    <x v="164"/>
    <x v="64"/>
    <s v="5 days"/>
    <x v="0"/>
    <s v="New"/>
    <s v="Suite"/>
    <n v="11"/>
    <n v="5"/>
    <n v="7162"/>
    <n v="35810"/>
    <n v="35810"/>
    <x v="1"/>
    <x v="0"/>
    <x v="0"/>
    <x v="1"/>
  </r>
  <r>
    <n v="2428"/>
    <s v="C0794"/>
    <x v="64"/>
    <s v="28 days"/>
    <x v="276"/>
    <x v="280"/>
    <s v="5 days"/>
    <x v="2"/>
    <s v="Returning"/>
    <s v="Suite"/>
    <n v="28"/>
    <n v="5"/>
    <n v="6826"/>
    <n v="34130"/>
    <n v="0"/>
    <x v="1"/>
    <x v="1"/>
    <x v="1"/>
    <x v="1"/>
  </r>
  <r>
    <n v="2429"/>
    <s v="C0029"/>
    <x v="180"/>
    <s v="46 days"/>
    <x v="290"/>
    <x v="47"/>
    <s v="1 days"/>
    <x v="2"/>
    <s v="New"/>
    <s v="Standard"/>
    <n v="46"/>
    <n v="1"/>
    <n v="3373"/>
    <n v="3373"/>
    <n v="3373"/>
    <x v="0"/>
    <x v="0"/>
    <x v="0"/>
    <x v="1"/>
  </r>
  <r>
    <n v="2430"/>
    <s v="C0149"/>
    <x v="66"/>
    <s v="32 days"/>
    <x v="62"/>
    <x v="320"/>
    <s v="3 days"/>
    <x v="3"/>
    <s v="Returning"/>
    <s v="Deluxe"/>
    <n v="32"/>
    <n v="3"/>
    <n v="5121"/>
    <n v="15363"/>
    <n v="0"/>
    <x v="1"/>
    <x v="1"/>
    <x v="1"/>
    <x v="0"/>
  </r>
  <r>
    <n v="2431"/>
    <s v="C1320"/>
    <x v="189"/>
    <s v="5 days"/>
    <x v="61"/>
    <x v="355"/>
    <s v="2 days"/>
    <x v="3"/>
    <s v="New"/>
    <s v="Deluxe"/>
    <n v="5"/>
    <n v="2"/>
    <n v="6835"/>
    <n v="13670"/>
    <n v="13670"/>
    <x v="1"/>
    <x v="0"/>
    <x v="0"/>
    <x v="0"/>
  </r>
  <r>
    <n v="2432"/>
    <s v="C0011"/>
    <x v="275"/>
    <s v="38 days"/>
    <x v="10"/>
    <x v="320"/>
    <s v="5 days"/>
    <x v="4"/>
    <s v="Returning"/>
    <s v="Deluxe"/>
    <n v="38"/>
    <n v="5"/>
    <n v="2589"/>
    <n v="12945"/>
    <n v="0"/>
    <x v="0"/>
    <x v="1"/>
    <x v="1"/>
    <x v="1"/>
  </r>
  <r>
    <n v="2433"/>
    <s v="C0676"/>
    <x v="135"/>
    <s v="10 days"/>
    <x v="67"/>
    <x v="1"/>
    <s v="3 days"/>
    <x v="4"/>
    <s v="Returning"/>
    <s v="Suite"/>
    <n v="10"/>
    <n v="3"/>
    <n v="4779"/>
    <n v="14337"/>
    <n v="14337"/>
    <x v="0"/>
    <x v="0"/>
    <x v="0"/>
    <x v="1"/>
  </r>
  <r>
    <n v="2434"/>
    <s v="C1137"/>
    <x v="310"/>
    <s v="40 days"/>
    <x v="47"/>
    <x v="65"/>
    <s v="2 days"/>
    <x v="3"/>
    <s v="New"/>
    <s v="Suite"/>
    <n v="40"/>
    <n v="2"/>
    <n v="2956"/>
    <n v="5912"/>
    <n v="5912"/>
    <x v="1"/>
    <x v="0"/>
    <x v="0"/>
    <x v="1"/>
  </r>
  <r>
    <n v="2435"/>
    <s v="C0187"/>
    <x v="245"/>
    <s v="46 days"/>
    <x v="204"/>
    <x v="160"/>
    <s v="4 days"/>
    <x v="0"/>
    <s v="Returning"/>
    <s v="Suite"/>
    <n v="46"/>
    <n v="4"/>
    <n v="4780"/>
    <n v="19120"/>
    <n v="0"/>
    <x v="0"/>
    <x v="1"/>
    <x v="1"/>
    <x v="0"/>
  </r>
  <r>
    <n v="2436"/>
    <s v="C0807"/>
    <x v="226"/>
    <s v="24 days"/>
    <x v="182"/>
    <x v="287"/>
    <s v="4 days"/>
    <x v="4"/>
    <s v="Returning"/>
    <s v="Deluxe"/>
    <n v="24"/>
    <n v="4"/>
    <n v="6949"/>
    <n v="27796"/>
    <n v="0"/>
    <x v="0"/>
    <x v="1"/>
    <x v="1"/>
    <x v="1"/>
  </r>
  <r>
    <n v="2437"/>
    <s v="C0744"/>
    <x v="174"/>
    <s v="35 days"/>
    <x v="15"/>
    <x v="15"/>
    <s v="2 days"/>
    <x v="0"/>
    <s v="Returning"/>
    <s v="Deluxe"/>
    <n v="35"/>
    <n v="2"/>
    <n v="3504"/>
    <n v="7008"/>
    <n v="7008"/>
    <x v="0"/>
    <x v="0"/>
    <x v="0"/>
    <x v="0"/>
  </r>
  <r>
    <n v="2438"/>
    <s v="C1251"/>
    <x v="240"/>
    <s v="44 days"/>
    <x v="374"/>
    <x v="390"/>
    <s v="1 days"/>
    <x v="3"/>
    <s v="Returning"/>
    <s v="Deluxe"/>
    <n v="44"/>
    <n v="1"/>
    <n v="7952"/>
    <n v="7952"/>
    <n v="0"/>
    <x v="1"/>
    <x v="1"/>
    <x v="1"/>
    <x v="0"/>
  </r>
  <r>
    <n v="2439"/>
    <s v="C1334"/>
    <x v="227"/>
    <s v="48 days"/>
    <x v="345"/>
    <x v="24"/>
    <s v="2 days"/>
    <x v="4"/>
    <s v="New"/>
    <s v="Standard"/>
    <n v="48"/>
    <n v="2"/>
    <n v="7034"/>
    <n v="14068"/>
    <n v="14068"/>
    <x v="0"/>
    <x v="0"/>
    <x v="0"/>
    <x v="1"/>
  </r>
  <r>
    <n v="2440"/>
    <s v="C0098"/>
    <x v="47"/>
    <s v="23 days"/>
    <x v="272"/>
    <x v="276"/>
    <s v="2 days"/>
    <x v="2"/>
    <s v="New"/>
    <s v="Standard"/>
    <n v="23"/>
    <n v="2"/>
    <n v="7994"/>
    <n v="15988"/>
    <n v="0"/>
    <x v="1"/>
    <x v="1"/>
    <x v="1"/>
    <x v="0"/>
  </r>
  <r>
    <n v="2441"/>
    <s v="C0055"/>
    <x v="74"/>
    <s v="17 days"/>
    <x v="197"/>
    <x v="109"/>
    <s v="1 days"/>
    <x v="3"/>
    <s v="Returning"/>
    <s v="Standard"/>
    <n v="17"/>
    <n v="1"/>
    <n v="2844"/>
    <n v="2844"/>
    <n v="0"/>
    <x v="0"/>
    <x v="1"/>
    <x v="1"/>
    <x v="0"/>
  </r>
  <r>
    <n v="2442"/>
    <s v="C0623"/>
    <x v="196"/>
    <s v="1 days"/>
    <x v="197"/>
    <x v="109"/>
    <s v="1 days"/>
    <x v="4"/>
    <s v="New"/>
    <s v="Suite"/>
    <n v="1"/>
    <n v="1"/>
    <n v="5211"/>
    <n v="5211"/>
    <n v="5211"/>
    <x v="1"/>
    <x v="0"/>
    <x v="0"/>
    <x v="1"/>
  </r>
  <r>
    <n v="2443"/>
    <s v="C0664"/>
    <x v="2"/>
    <s v="55 days"/>
    <x v="136"/>
    <x v="267"/>
    <s v="3 days"/>
    <x v="0"/>
    <s v="New"/>
    <s v="Suite"/>
    <n v="55"/>
    <n v="3"/>
    <n v="7252"/>
    <n v="21756"/>
    <n v="0"/>
    <x v="1"/>
    <x v="1"/>
    <x v="1"/>
    <x v="0"/>
  </r>
  <r>
    <n v="2444"/>
    <s v="C0758"/>
    <x v="28"/>
    <s v="31 days"/>
    <x v="80"/>
    <x v="266"/>
    <s v="3 days"/>
    <x v="0"/>
    <s v="New"/>
    <s v="Deluxe"/>
    <n v="31"/>
    <n v="3"/>
    <n v="8773"/>
    <n v="26319"/>
    <n v="26319"/>
    <x v="1"/>
    <x v="0"/>
    <x v="0"/>
    <x v="1"/>
  </r>
  <r>
    <n v="2445"/>
    <s v="C0406"/>
    <x v="134"/>
    <s v="31 days"/>
    <x v="339"/>
    <x v="364"/>
    <s v="1 days"/>
    <x v="4"/>
    <s v="New"/>
    <s v="Standard"/>
    <n v="31"/>
    <n v="1"/>
    <n v="8784"/>
    <n v="8784"/>
    <n v="0"/>
    <x v="0"/>
    <x v="1"/>
    <x v="1"/>
    <x v="0"/>
  </r>
  <r>
    <n v="2446"/>
    <s v="C0069"/>
    <x v="320"/>
    <s v="42 days"/>
    <x v="353"/>
    <x v="334"/>
    <s v="4 days"/>
    <x v="0"/>
    <s v="New"/>
    <s v="Deluxe"/>
    <n v="42"/>
    <n v="4"/>
    <n v="4962"/>
    <n v="19848"/>
    <n v="0"/>
    <x v="0"/>
    <x v="1"/>
    <x v="1"/>
    <x v="1"/>
  </r>
  <r>
    <n v="2447"/>
    <s v="C1336"/>
    <x v="249"/>
    <s v="57 days"/>
    <x v="385"/>
    <x v="391"/>
    <s v="4 days"/>
    <x v="4"/>
    <s v="Returning"/>
    <s v="Standard"/>
    <n v="57"/>
    <n v="4"/>
    <n v="3616"/>
    <n v="14464"/>
    <n v="0"/>
    <x v="0"/>
    <x v="1"/>
    <x v="1"/>
    <x v="1"/>
  </r>
  <r>
    <n v="2448"/>
    <s v="C1313"/>
    <x v="322"/>
    <s v="55 days"/>
    <x v="125"/>
    <x v="8"/>
    <s v="2 days"/>
    <x v="4"/>
    <s v="New"/>
    <s v="Standard"/>
    <n v="55"/>
    <n v="2"/>
    <n v="3125"/>
    <n v="6250"/>
    <n v="0"/>
    <x v="1"/>
    <x v="1"/>
    <x v="1"/>
    <x v="0"/>
  </r>
  <r>
    <n v="2449"/>
    <s v="C0751"/>
    <x v="298"/>
    <s v="42 days"/>
    <x v="188"/>
    <x v="364"/>
    <s v="5 days"/>
    <x v="0"/>
    <s v="Returning"/>
    <s v="Deluxe"/>
    <n v="42"/>
    <n v="5"/>
    <n v="6879"/>
    <n v="34395"/>
    <n v="0"/>
    <x v="0"/>
    <x v="1"/>
    <x v="1"/>
    <x v="1"/>
  </r>
  <r>
    <n v="2450"/>
    <s v="C1172"/>
    <x v="216"/>
    <s v="53 days"/>
    <x v="192"/>
    <x v="123"/>
    <s v="2 days"/>
    <x v="1"/>
    <s v="New"/>
    <s v="Deluxe"/>
    <n v="53"/>
    <n v="2"/>
    <n v="4479"/>
    <n v="8958"/>
    <n v="0"/>
    <x v="0"/>
    <x v="1"/>
    <x v="1"/>
    <x v="0"/>
  </r>
  <r>
    <n v="2451"/>
    <s v="C1491"/>
    <x v="62"/>
    <s v="56 days"/>
    <x v="156"/>
    <x v="378"/>
    <s v="2 days"/>
    <x v="2"/>
    <s v="Returning"/>
    <s v="Standard"/>
    <n v="56"/>
    <n v="2"/>
    <n v="6494"/>
    <n v="12988"/>
    <n v="12988"/>
    <x v="1"/>
    <x v="0"/>
    <x v="0"/>
    <x v="0"/>
  </r>
  <r>
    <n v="2452"/>
    <s v="C1268"/>
    <x v="48"/>
    <s v="34 days"/>
    <x v="49"/>
    <x v="98"/>
    <s v="5 days"/>
    <x v="3"/>
    <s v="Returning"/>
    <s v="Standard"/>
    <n v="34"/>
    <n v="5"/>
    <n v="4178"/>
    <n v="20890"/>
    <n v="20890"/>
    <x v="0"/>
    <x v="0"/>
    <x v="0"/>
    <x v="1"/>
  </r>
  <r>
    <n v="2453"/>
    <s v="C0958"/>
    <x v="19"/>
    <s v="9 days"/>
    <x v="48"/>
    <x v="344"/>
    <s v="1 days"/>
    <x v="2"/>
    <s v="Returning"/>
    <s v="Suite"/>
    <n v="9"/>
    <n v="1"/>
    <n v="2722"/>
    <n v="2722"/>
    <n v="2722"/>
    <x v="1"/>
    <x v="0"/>
    <x v="0"/>
    <x v="0"/>
  </r>
  <r>
    <n v="2454"/>
    <s v="C0365"/>
    <x v="211"/>
    <s v="22 days"/>
    <x v="289"/>
    <x v="380"/>
    <s v="4 days"/>
    <x v="3"/>
    <s v="New"/>
    <s v="Deluxe"/>
    <n v="22"/>
    <n v="4"/>
    <n v="3243"/>
    <n v="12972"/>
    <n v="0"/>
    <x v="0"/>
    <x v="1"/>
    <x v="1"/>
    <x v="1"/>
  </r>
  <r>
    <n v="2455"/>
    <s v="C0482"/>
    <x v="114"/>
    <s v="13 days"/>
    <x v="238"/>
    <x v="350"/>
    <s v="2 days"/>
    <x v="3"/>
    <s v="New"/>
    <s v="Deluxe"/>
    <n v="13"/>
    <n v="2"/>
    <n v="2962"/>
    <n v="5924"/>
    <n v="5924"/>
    <x v="1"/>
    <x v="0"/>
    <x v="0"/>
    <x v="0"/>
  </r>
  <r>
    <n v="2456"/>
    <s v="C0201"/>
    <x v="74"/>
    <s v="25 days"/>
    <x v="126"/>
    <x v="40"/>
    <s v="5 days"/>
    <x v="2"/>
    <s v="Returning"/>
    <s v="Deluxe"/>
    <n v="25"/>
    <n v="5"/>
    <n v="4068"/>
    <n v="20340"/>
    <n v="20340"/>
    <x v="1"/>
    <x v="0"/>
    <x v="0"/>
    <x v="0"/>
  </r>
  <r>
    <n v="2457"/>
    <s v="C0154"/>
    <x v="261"/>
    <s v="48 days"/>
    <x v="171"/>
    <x v="38"/>
    <s v="3 days"/>
    <x v="4"/>
    <s v="Returning"/>
    <s v="Deluxe"/>
    <n v="48"/>
    <n v="3"/>
    <n v="5847"/>
    <n v="17541"/>
    <n v="17541"/>
    <x v="0"/>
    <x v="0"/>
    <x v="0"/>
    <x v="1"/>
  </r>
  <r>
    <n v="2458"/>
    <s v="C1474"/>
    <x v="231"/>
    <s v="18 days"/>
    <x v="256"/>
    <x v="287"/>
    <s v="2 days"/>
    <x v="0"/>
    <s v="New"/>
    <s v="Standard"/>
    <n v="18"/>
    <n v="2"/>
    <n v="8301"/>
    <n v="16602"/>
    <n v="0"/>
    <x v="1"/>
    <x v="1"/>
    <x v="1"/>
    <x v="0"/>
  </r>
  <r>
    <n v="2459"/>
    <s v="C0073"/>
    <x v="273"/>
    <s v="51 days"/>
    <x v="283"/>
    <x v="48"/>
    <s v="4 days"/>
    <x v="1"/>
    <s v="New"/>
    <s v="Suite"/>
    <n v="51"/>
    <n v="4"/>
    <n v="7759"/>
    <n v="31036"/>
    <n v="31036"/>
    <x v="0"/>
    <x v="0"/>
    <x v="0"/>
    <x v="0"/>
  </r>
  <r>
    <n v="2460"/>
    <s v="C0713"/>
    <x v="251"/>
    <s v="12 days"/>
    <x v="377"/>
    <x v="25"/>
    <s v="1 days"/>
    <x v="1"/>
    <s v="Returning"/>
    <s v="Deluxe"/>
    <n v="12"/>
    <n v="1"/>
    <n v="4236"/>
    <n v="4236"/>
    <n v="4236"/>
    <x v="0"/>
    <x v="0"/>
    <x v="0"/>
    <x v="0"/>
  </r>
  <r>
    <n v="2461"/>
    <s v="C0296"/>
    <x v="115"/>
    <s v="40 days"/>
    <x v="386"/>
    <x v="306"/>
    <s v="2 days"/>
    <x v="1"/>
    <s v="New"/>
    <s v="Standard"/>
    <n v="40"/>
    <n v="2"/>
    <n v="7642"/>
    <n v="15284"/>
    <n v="15284"/>
    <x v="0"/>
    <x v="0"/>
    <x v="0"/>
    <x v="0"/>
  </r>
  <r>
    <n v="2462"/>
    <s v="C1041"/>
    <x v="199"/>
    <s v="17 days"/>
    <x v="75"/>
    <x v="392"/>
    <s v="2 days"/>
    <x v="2"/>
    <s v="New"/>
    <s v="Standard"/>
    <n v="17"/>
    <n v="2"/>
    <n v="6539"/>
    <n v="13078"/>
    <n v="0"/>
    <x v="0"/>
    <x v="1"/>
    <x v="1"/>
    <x v="0"/>
  </r>
  <r>
    <n v="2463"/>
    <s v="C1241"/>
    <x v="301"/>
    <s v="15 days"/>
    <x v="66"/>
    <x v="84"/>
    <s v="5 days"/>
    <x v="2"/>
    <s v="New"/>
    <s v="Standard"/>
    <n v="15"/>
    <n v="5"/>
    <n v="6451"/>
    <n v="32255"/>
    <n v="0"/>
    <x v="1"/>
    <x v="1"/>
    <x v="1"/>
    <x v="0"/>
  </r>
  <r>
    <n v="2464"/>
    <s v="C0061"/>
    <x v="182"/>
    <s v="42 days"/>
    <x v="152"/>
    <x v="71"/>
    <s v="3 days"/>
    <x v="4"/>
    <s v="New"/>
    <s v="Standard"/>
    <n v="42"/>
    <n v="3"/>
    <n v="3164"/>
    <n v="9492"/>
    <n v="0"/>
    <x v="1"/>
    <x v="1"/>
    <x v="1"/>
    <x v="0"/>
  </r>
  <r>
    <n v="2465"/>
    <s v="C0939"/>
    <x v="109"/>
    <s v="15 days"/>
    <x v="123"/>
    <x v="122"/>
    <s v="3 days"/>
    <x v="1"/>
    <s v="New"/>
    <s v="Standard"/>
    <n v="15"/>
    <n v="3"/>
    <n v="3856"/>
    <n v="11568"/>
    <n v="0"/>
    <x v="1"/>
    <x v="1"/>
    <x v="1"/>
    <x v="0"/>
  </r>
  <r>
    <n v="2466"/>
    <s v="C0042"/>
    <x v="212"/>
    <s v="15 days"/>
    <x v="6"/>
    <x v="67"/>
    <s v="1 days"/>
    <x v="4"/>
    <s v="New"/>
    <s v="Deluxe"/>
    <n v="15"/>
    <n v="1"/>
    <n v="3514"/>
    <n v="3514"/>
    <n v="3514"/>
    <x v="0"/>
    <x v="0"/>
    <x v="0"/>
    <x v="1"/>
  </r>
  <r>
    <n v="2467"/>
    <s v="C0025"/>
    <x v="93"/>
    <s v="55 days"/>
    <x v="126"/>
    <x v="235"/>
    <s v="4 days"/>
    <x v="1"/>
    <s v="Returning"/>
    <s v="Deluxe"/>
    <n v="55"/>
    <n v="4"/>
    <n v="4632"/>
    <n v="18528"/>
    <n v="0"/>
    <x v="0"/>
    <x v="1"/>
    <x v="1"/>
    <x v="0"/>
  </r>
  <r>
    <n v="2468"/>
    <s v="C1063"/>
    <x v="70"/>
    <s v="39 days"/>
    <x v="179"/>
    <x v="4"/>
    <s v="1 days"/>
    <x v="2"/>
    <s v="Returning"/>
    <s v="Suite"/>
    <n v="39"/>
    <n v="1"/>
    <n v="5168"/>
    <n v="5168"/>
    <n v="0"/>
    <x v="1"/>
    <x v="1"/>
    <x v="1"/>
    <x v="0"/>
  </r>
  <r>
    <n v="2469"/>
    <s v="C0131"/>
    <x v="101"/>
    <s v="13 days"/>
    <x v="195"/>
    <x v="158"/>
    <s v="2 days"/>
    <x v="0"/>
    <s v="Returning"/>
    <s v="Deluxe"/>
    <n v="13"/>
    <n v="2"/>
    <n v="3554"/>
    <n v="7108"/>
    <n v="0"/>
    <x v="1"/>
    <x v="1"/>
    <x v="1"/>
    <x v="1"/>
  </r>
  <r>
    <n v="2470"/>
    <s v="C1253"/>
    <x v="63"/>
    <s v="17 days"/>
    <x v="267"/>
    <x v="379"/>
    <s v="2 days"/>
    <x v="0"/>
    <s v="Returning"/>
    <s v="Standard"/>
    <n v="17"/>
    <n v="2"/>
    <n v="4264"/>
    <n v="8528"/>
    <n v="0"/>
    <x v="0"/>
    <x v="1"/>
    <x v="1"/>
    <x v="1"/>
  </r>
  <r>
    <n v="2471"/>
    <s v="C0108"/>
    <x v="27"/>
    <s v="32 days"/>
    <x v="114"/>
    <x v="142"/>
    <s v="3 days"/>
    <x v="0"/>
    <s v="Returning"/>
    <s v="Suite"/>
    <n v="32"/>
    <n v="3"/>
    <n v="8883"/>
    <n v="26649"/>
    <n v="0"/>
    <x v="0"/>
    <x v="1"/>
    <x v="1"/>
    <x v="1"/>
  </r>
  <r>
    <n v="2472"/>
    <s v="C0172"/>
    <x v="138"/>
    <s v="9 days"/>
    <x v="214"/>
    <x v="175"/>
    <s v="4 days"/>
    <x v="0"/>
    <s v="Returning"/>
    <s v="Standard"/>
    <n v="9"/>
    <n v="4"/>
    <n v="8509"/>
    <n v="34036"/>
    <n v="34036"/>
    <x v="0"/>
    <x v="0"/>
    <x v="0"/>
    <x v="0"/>
  </r>
  <r>
    <n v="2473"/>
    <s v="C1459"/>
    <x v="242"/>
    <s v="40 days"/>
    <x v="33"/>
    <x v="36"/>
    <s v="5 days"/>
    <x v="3"/>
    <s v="New"/>
    <s v="Standard"/>
    <n v="40"/>
    <n v="5"/>
    <n v="6958"/>
    <n v="34790"/>
    <n v="0"/>
    <x v="1"/>
    <x v="1"/>
    <x v="1"/>
    <x v="1"/>
  </r>
  <r>
    <n v="2474"/>
    <s v="C0102"/>
    <x v="68"/>
    <s v="20 days"/>
    <x v="225"/>
    <x v="68"/>
    <s v="4 days"/>
    <x v="1"/>
    <s v="New"/>
    <s v="Deluxe"/>
    <n v="20"/>
    <n v="4"/>
    <n v="5369"/>
    <n v="21476"/>
    <n v="0"/>
    <x v="0"/>
    <x v="1"/>
    <x v="1"/>
    <x v="1"/>
  </r>
  <r>
    <n v="2475"/>
    <s v="C0866"/>
    <x v="251"/>
    <s v="26 days"/>
    <x v="366"/>
    <x v="106"/>
    <s v="2 days"/>
    <x v="0"/>
    <s v="Returning"/>
    <s v="Standard"/>
    <n v="26"/>
    <n v="2"/>
    <n v="3912"/>
    <n v="7824"/>
    <n v="0"/>
    <x v="1"/>
    <x v="1"/>
    <x v="1"/>
    <x v="0"/>
  </r>
  <r>
    <n v="2476"/>
    <s v="C0524"/>
    <x v="271"/>
    <s v="27 days"/>
    <x v="207"/>
    <x v="201"/>
    <s v="5 days"/>
    <x v="3"/>
    <s v="Returning"/>
    <s v="Deluxe"/>
    <n v="27"/>
    <n v="5"/>
    <n v="3167"/>
    <n v="15835"/>
    <n v="0"/>
    <x v="0"/>
    <x v="1"/>
    <x v="1"/>
    <x v="0"/>
  </r>
  <r>
    <n v="2477"/>
    <s v="C0275"/>
    <x v="295"/>
    <s v="21 days"/>
    <x v="167"/>
    <x v="166"/>
    <s v="4 days"/>
    <x v="3"/>
    <s v="Returning"/>
    <s v="Standard"/>
    <n v="21"/>
    <n v="4"/>
    <n v="5870"/>
    <n v="23480"/>
    <n v="0"/>
    <x v="1"/>
    <x v="1"/>
    <x v="1"/>
    <x v="1"/>
  </r>
  <r>
    <n v="2478"/>
    <s v="C1068"/>
    <x v="150"/>
    <s v="18 days"/>
    <x v="383"/>
    <x v="357"/>
    <s v="4 days"/>
    <x v="3"/>
    <s v="New"/>
    <s v="Suite"/>
    <n v="18"/>
    <n v="4"/>
    <n v="8476"/>
    <n v="33904"/>
    <n v="33904"/>
    <x v="0"/>
    <x v="0"/>
    <x v="0"/>
    <x v="1"/>
  </r>
  <r>
    <n v="2479"/>
    <s v="C0817"/>
    <x v="27"/>
    <s v="13 days"/>
    <x v="35"/>
    <x v="35"/>
    <s v="5 days"/>
    <x v="4"/>
    <s v="New"/>
    <s v="Standard"/>
    <n v="13"/>
    <n v="5"/>
    <n v="3894"/>
    <n v="19470"/>
    <n v="19470"/>
    <x v="1"/>
    <x v="0"/>
    <x v="0"/>
    <x v="0"/>
  </r>
  <r>
    <n v="2480"/>
    <s v="C0957"/>
    <x v="152"/>
    <s v="16 days"/>
    <x v="338"/>
    <x v="111"/>
    <s v="2 days"/>
    <x v="4"/>
    <s v="New"/>
    <s v="Deluxe"/>
    <n v="16"/>
    <n v="2"/>
    <n v="2598"/>
    <n v="5196"/>
    <n v="5196"/>
    <x v="1"/>
    <x v="0"/>
    <x v="0"/>
    <x v="0"/>
  </r>
  <r>
    <n v="2481"/>
    <s v="C1041"/>
    <x v="234"/>
    <s v="9 days"/>
    <x v="204"/>
    <x v="160"/>
    <s v="4 days"/>
    <x v="3"/>
    <s v="New"/>
    <s v="Standard"/>
    <n v="9"/>
    <n v="4"/>
    <n v="8690"/>
    <n v="34760"/>
    <n v="34760"/>
    <x v="1"/>
    <x v="0"/>
    <x v="0"/>
    <x v="0"/>
  </r>
  <r>
    <n v="2482"/>
    <s v="C0330"/>
    <x v="322"/>
    <s v="12 days"/>
    <x v="293"/>
    <x v="241"/>
    <s v="5 days"/>
    <x v="0"/>
    <s v="Returning"/>
    <s v="Deluxe"/>
    <n v="12"/>
    <n v="5"/>
    <n v="6570"/>
    <n v="32850"/>
    <n v="0"/>
    <x v="0"/>
    <x v="1"/>
    <x v="1"/>
    <x v="0"/>
  </r>
  <r>
    <n v="2483"/>
    <s v="C0012"/>
    <x v="355"/>
    <s v="44 days"/>
    <x v="202"/>
    <x v="182"/>
    <s v="2 days"/>
    <x v="1"/>
    <s v="Returning"/>
    <s v="Deluxe"/>
    <n v="44"/>
    <n v="2"/>
    <n v="2921"/>
    <n v="5842"/>
    <n v="5842"/>
    <x v="1"/>
    <x v="0"/>
    <x v="0"/>
    <x v="0"/>
  </r>
  <r>
    <n v="2484"/>
    <s v="C1342"/>
    <x v="279"/>
    <s v="38 days"/>
    <x v="9"/>
    <x v="50"/>
    <s v="5 days"/>
    <x v="2"/>
    <s v="Returning"/>
    <s v="Suite"/>
    <n v="38"/>
    <n v="5"/>
    <n v="8099"/>
    <n v="40495"/>
    <n v="40495"/>
    <x v="1"/>
    <x v="0"/>
    <x v="0"/>
    <x v="1"/>
  </r>
  <r>
    <n v="2485"/>
    <s v="C0216"/>
    <x v="168"/>
    <s v="19 days"/>
    <x v="197"/>
    <x v="251"/>
    <s v="5 days"/>
    <x v="4"/>
    <s v="Returning"/>
    <s v="Deluxe"/>
    <n v="19"/>
    <n v="5"/>
    <n v="6150"/>
    <n v="30750"/>
    <n v="30750"/>
    <x v="0"/>
    <x v="0"/>
    <x v="0"/>
    <x v="0"/>
  </r>
  <r>
    <n v="2486"/>
    <s v="C0339"/>
    <x v="285"/>
    <s v="7 days"/>
    <x v="47"/>
    <x v="255"/>
    <s v="4 days"/>
    <x v="0"/>
    <s v="New"/>
    <s v="Suite"/>
    <n v="7"/>
    <n v="4"/>
    <n v="6657"/>
    <n v="26628"/>
    <n v="0"/>
    <x v="1"/>
    <x v="1"/>
    <x v="1"/>
    <x v="0"/>
  </r>
  <r>
    <n v="2487"/>
    <s v="C0661"/>
    <x v="335"/>
    <s v="57 days"/>
    <x v="387"/>
    <x v="393"/>
    <s v="2 days"/>
    <x v="0"/>
    <s v="New"/>
    <s v="Suite"/>
    <n v="57"/>
    <n v="2"/>
    <n v="3632"/>
    <n v="7264"/>
    <n v="7264"/>
    <x v="1"/>
    <x v="0"/>
    <x v="0"/>
    <x v="0"/>
  </r>
  <r>
    <n v="2488"/>
    <s v="C1105"/>
    <x v="106"/>
    <s v="35 days"/>
    <x v="159"/>
    <x v="14"/>
    <s v="4 days"/>
    <x v="2"/>
    <s v="Returning"/>
    <s v="Standard"/>
    <n v="35"/>
    <n v="4"/>
    <n v="4202"/>
    <n v="16808"/>
    <n v="16808"/>
    <x v="0"/>
    <x v="0"/>
    <x v="0"/>
    <x v="0"/>
  </r>
  <r>
    <n v="2489"/>
    <s v="C0374"/>
    <x v="179"/>
    <s v="48 days"/>
    <x v="130"/>
    <x v="288"/>
    <s v="1 days"/>
    <x v="2"/>
    <s v="New"/>
    <s v="Suite"/>
    <n v="48"/>
    <n v="1"/>
    <n v="6120"/>
    <n v="6120"/>
    <n v="6120"/>
    <x v="1"/>
    <x v="0"/>
    <x v="0"/>
    <x v="0"/>
  </r>
  <r>
    <n v="2490"/>
    <s v="C0976"/>
    <x v="95"/>
    <s v="18 days"/>
    <x v="260"/>
    <x v="157"/>
    <s v="1 days"/>
    <x v="0"/>
    <s v="New"/>
    <s v="Deluxe"/>
    <n v="18"/>
    <n v="1"/>
    <n v="5690"/>
    <n v="5690"/>
    <n v="0"/>
    <x v="0"/>
    <x v="1"/>
    <x v="1"/>
    <x v="1"/>
  </r>
  <r>
    <n v="2491"/>
    <s v="C0710"/>
    <x v="3"/>
    <s v="16 days"/>
    <x v="55"/>
    <x v="81"/>
    <s v="2 days"/>
    <x v="2"/>
    <s v="New"/>
    <s v="Deluxe"/>
    <n v="16"/>
    <n v="2"/>
    <n v="3097"/>
    <n v="6194"/>
    <n v="6194"/>
    <x v="1"/>
    <x v="0"/>
    <x v="0"/>
    <x v="0"/>
  </r>
  <r>
    <n v="2492"/>
    <s v="C1224"/>
    <x v="307"/>
    <s v="55 days"/>
    <x v="97"/>
    <x v="179"/>
    <s v="5 days"/>
    <x v="0"/>
    <s v="New"/>
    <s v="Suite"/>
    <n v="55"/>
    <n v="5"/>
    <n v="2891"/>
    <n v="14455"/>
    <n v="14455"/>
    <x v="0"/>
    <x v="0"/>
    <x v="0"/>
    <x v="1"/>
  </r>
  <r>
    <n v="2493"/>
    <s v="C0466"/>
    <x v="8"/>
    <s v="39 days"/>
    <x v="102"/>
    <x v="84"/>
    <s v="4 days"/>
    <x v="2"/>
    <s v="Returning"/>
    <s v="Standard"/>
    <n v="39"/>
    <n v="4"/>
    <n v="3575"/>
    <n v="14300"/>
    <n v="14300"/>
    <x v="1"/>
    <x v="0"/>
    <x v="0"/>
    <x v="0"/>
  </r>
  <r>
    <n v="2494"/>
    <s v="C1113"/>
    <x v="83"/>
    <s v="4 days"/>
    <x v="228"/>
    <x v="0"/>
    <s v="4 days"/>
    <x v="2"/>
    <s v="New"/>
    <s v="Suite"/>
    <n v="4"/>
    <n v="4"/>
    <n v="5150"/>
    <n v="20600"/>
    <n v="20600"/>
    <x v="1"/>
    <x v="0"/>
    <x v="0"/>
    <x v="1"/>
  </r>
  <r>
    <n v="2495"/>
    <s v="C1292"/>
    <x v="245"/>
    <s v="59 days"/>
    <x v="202"/>
    <x v="182"/>
    <s v="2 days"/>
    <x v="0"/>
    <s v="Returning"/>
    <s v="Suite"/>
    <n v="59"/>
    <n v="2"/>
    <n v="7908"/>
    <n v="15816"/>
    <n v="15816"/>
    <x v="1"/>
    <x v="0"/>
    <x v="0"/>
    <x v="1"/>
  </r>
  <r>
    <n v="2496"/>
    <s v="C0489"/>
    <x v="310"/>
    <s v="25 days"/>
    <x v="211"/>
    <x v="18"/>
    <s v="2 days"/>
    <x v="3"/>
    <s v="New"/>
    <s v="Deluxe"/>
    <n v="25"/>
    <n v="2"/>
    <n v="8625"/>
    <n v="17250"/>
    <n v="0"/>
    <x v="0"/>
    <x v="1"/>
    <x v="1"/>
    <x v="0"/>
  </r>
  <r>
    <n v="2497"/>
    <s v="C0047"/>
    <x v="8"/>
    <s v="32 days"/>
    <x v="365"/>
    <x v="33"/>
    <s v="1 days"/>
    <x v="0"/>
    <s v="New"/>
    <s v="Standard"/>
    <n v="32"/>
    <n v="1"/>
    <n v="4884"/>
    <n v="4884"/>
    <n v="4884"/>
    <x v="1"/>
    <x v="0"/>
    <x v="0"/>
    <x v="0"/>
  </r>
  <r>
    <n v="2498"/>
    <s v="C1312"/>
    <x v="354"/>
    <s v="40 days"/>
    <x v="187"/>
    <x v="160"/>
    <s v="3 days"/>
    <x v="1"/>
    <s v="Returning"/>
    <s v="Standard"/>
    <n v="40"/>
    <n v="3"/>
    <n v="3309"/>
    <n v="9927"/>
    <n v="0"/>
    <x v="1"/>
    <x v="1"/>
    <x v="1"/>
    <x v="0"/>
  </r>
  <r>
    <n v="2499"/>
    <s v="C0778"/>
    <x v="202"/>
    <s v="13 days"/>
    <x v="242"/>
    <x v="235"/>
    <s v="2 days"/>
    <x v="2"/>
    <s v="Returning"/>
    <s v="Standard"/>
    <n v="13"/>
    <n v="2"/>
    <n v="5809"/>
    <n v="11618"/>
    <n v="11618"/>
    <x v="0"/>
    <x v="0"/>
    <x v="0"/>
    <x v="0"/>
  </r>
  <r>
    <n v="2500"/>
    <s v="C1040"/>
    <x v="175"/>
    <s v="45 days"/>
    <x v="145"/>
    <x v="107"/>
    <s v="3 days"/>
    <x v="4"/>
    <s v="New"/>
    <s v="Standard"/>
    <n v="45"/>
    <n v="3"/>
    <n v="8001"/>
    <n v="24003"/>
    <n v="0"/>
    <x v="0"/>
    <x v="1"/>
    <x v="1"/>
    <x v="0"/>
  </r>
  <r>
    <n v="2501"/>
    <s v="C0711"/>
    <x v="351"/>
    <s v="17 days"/>
    <x v="347"/>
    <x v="184"/>
    <s v="2 days"/>
    <x v="2"/>
    <s v="New"/>
    <s v="Deluxe"/>
    <n v="17"/>
    <n v="2"/>
    <n v="6238"/>
    <n v="12476"/>
    <n v="12476"/>
    <x v="0"/>
    <x v="0"/>
    <x v="0"/>
    <x v="1"/>
  </r>
  <r>
    <n v="2502"/>
    <s v="C0401"/>
    <x v="81"/>
    <s v="49 days"/>
    <x v="1"/>
    <x v="231"/>
    <s v="5 days"/>
    <x v="1"/>
    <s v="Returning"/>
    <s v="Standard"/>
    <n v="49"/>
    <n v="5"/>
    <n v="3659"/>
    <n v="18295"/>
    <n v="0"/>
    <x v="1"/>
    <x v="1"/>
    <x v="1"/>
    <x v="0"/>
  </r>
  <r>
    <n v="2503"/>
    <s v="C0981"/>
    <x v="21"/>
    <s v="37 days"/>
    <x v="286"/>
    <x v="180"/>
    <s v="5 days"/>
    <x v="4"/>
    <s v="New"/>
    <s v="Standard"/>
    <n v="37"/>
    <n v="5"/>
    <n v="4031"/>
    <n v="20155"/>
    <n v="20155"/>
    <x v="1"/>
    <x v="0"/>
    <x v="0"/>
    <x v="0"/>
  </r>
  <r>
    <n v="2504"/>
    <s v="C1110"/>
    <x v="260"/>
    <s v="6 days"/>
    <x v="321"/>
    <x v="10"/>
    <s v="1 days"/>
    <x v="4"/>
    <s v="New"/>
    <s v="Standard"/>
    <n v="6"/>
    <n v="1"/>
    <n v="7981"/>
    <n v="7981"/>
    <n v="7981"/>
    <x v="1"/>
    <x v="0"/>
    <x v="0"/>
    <x v="1"/>
  </r>
  <r>
    <n v="2505"/>
    <s v="C0250"/>
    <x v="231"/>
    <s v="19 days"/>
    <x v="69"/>
    <x v="287"/>
    <s v="1 days"/>
    <x v="0"/>
    <s v="Returning"/>
    <s v="Deluxe"/>
    <n v="19"/>
    <n v="1"/>
    <n v="7476"/>
    <n v="7476"/>
    <n v="7476"/>
    <x v="0"/>
    <x v="0"/>
    <x v="0"/>
    <x v="0"/>
  </r>
  <r>
    <n v="2506"/>
    <s v="C0391"/>
    <x v="357"/>
    <s v="13 days"/>
    <x v="31"/>
    <x v="327"/>
    <s v="3 days"/>
    <x v="3"/>
    <s v="New"/>
    <s v="Deluxe"/>
    <n v="13"/>
    <n v="3"/>
    <n v="8195"/>
    <n v="24585"/>
    <n v="24585"/>
    <x v="0"/>
    <x v="0"/>
    <x v="0"/>
    <x v="1"/>
  </r>
  <r>
    <n v="2507"/>
    <s v="C0335"/>
    <x v="346"/>
    <s v="57 days"/>
    <x v="140"/>
    <x v="229"/>
    <s v="2 days"/>
    <x v="0"/>
    <s v="New"/>
    <s v="Standard"/>
    <n v="57"/>
    <n v="2"/>
    <n v="5182"/>
    <n v="10364"/>
    <n v="0"/>
    <x v="1"/>
    <x v="1"/>
    <x v="1"/>
    <x v="0"/>
  </r>
  <r>
    <n v="2508"/>
    <s v="C0629"/>
    <x v="79"/>
    <s v="26 days"/>
    <x v="226"/>
    <x v="219"/>
    <s v="4 days"/>
    <x v="4"/>
    <s v="New"/>
    <s v="Deluxe"/>
    <n v="26"/>
    <n v="4"/>
    <n v="2753"/>
    <n v="11012"/>
    <n v="0"/>
    <x v="1"/>
    <x v="1"/>
    <x v="1"/>
    <x v="1"/>
  </r>
  <r>
    <n v="2509"/>
    <s v="C0137"/>
    <x v="140"/>
    <s v="14 days"/>
    <x v="361"/>
    <x v="241"/>
    <s v="1 days"/>
    <x v="4"/>
    <s v="New"/>
    <s v="Suite"/>
    <n v="14"/>
    <n v="1"/>
    <n v="6048"/>
    <n v="6048"/>
    <n v="0"/>
    <x v="0"/>
    <x v="1"/>
    <x v="1"/>
    <x v="0"/>
  </r>
  <r>
    <n v="2510"/>
    <s v="C0883"/>
    <x v="84"/>
    <s v="31 days"/>
    <x v="188"/>
    <x v="218"/>
    <s v="4 days"/>
    <x v="3"/>
    <s v="New"/>
    <s v="Standard"/>
    <n v="31"/>
    <n v="4"/>
    <n v="5685"/>
    <n v="22740"/>
    <n v="0"/>
    <x v="0"/>
    <x v="1"/>
    <x v="1"/>
    <x v="1"/>
  </r>
  <r>
    <n v="2511"/>
    <s v="C0688"/>
    <x v="93"/>
    <s v="54 days"/>
    <x v="302"/>
    <x v="93"/>
    <s v="4 days"/>
    <x v="2"/>
    <s v="Returning"/>
    <s v="Deluxe"/>
    <n v="54"/>
    <n v="4"/>
    <n v="8663"/>
    <n v="34652"/>
    <n v="0"/>
    <x v="0"/>
    <x v="1"/>
    <x v="1"/>
    <x v="1"/>
  </r>
  <r>
    <n v="2512"/>
    <s v="C0827"/>
    <x v="228"/>
    <s v="4 days"/>
    <x v="257"/>
    <x v="118"/>
    <s v="2 days"/>
    <x v="3"/>
    <s v="New"/>
    <s v="Standard"/>
    <n v="4"/>
    <n v="2"/>
    <n v="7764"/>
    <n v="15528"/>
    <n v="15528"/>
    <x v="1"/>
    <x v="0"/>
    <x v="0"/>
    <x v="0"/>
  </r>
  <r>
    <n v="2513"/>
    <s v="C0727"/>
    <x v="158"/>
    <s v="39 days"/>
    <x v="229"/>
    <x v="125"/>
    <s v="3 days"/>
    <x v="0"/>
    <s v="Returning"/>
    <s v="Standard"/>
    <n v="39"/>
    <n v="3"/>
    <n v="3731"/>
    <n v="11193"/>
    <n v="11193"/>
    <x v="0"/>
    <x v="0"/>
    <x v="0"/>
    <x v="0"/>
  </r>
  <r>
    <n v="2514"/>
    <s v="C0594"/>
    <x v="308"/>
    <s v="8 days"/>
    <x v="162"/>
    <x v="394"/>
    <s v="2 days"/>
    <x v="2"/>
    <s v="Returning"/>
    <s v="Deluxe"/>
    <n v="8"/>
    <n v="2"/>
    <n v="4923"/>
    <n v="9846"/>
    <n v="0"/>
    <x v="0"/>
    <x v="1"/>
    <x v="1"/>
    <x v="0"/>
  </r>
  <r>
    <n v="2515"/>
    <s v="C1247"/>
    <x v="208"/>
    <s v="25 days"/>
    <x v="135"/>
    <x v="218"/>
    <s v="1 days"/>
    <x v="0"/>
    <s v="New"/>
    <s v="Suite"/>
    <n v="25"/>
    <n v="1"/>
    <n v="6075"/>
    <n v="6075"/>
    <n v="0"/>
    <x v="0"/>
    <x v="1"/>
    <x v="1"/>
    <x v="1"/>
  </r>
  <r>
    <n v="2516"/>
    <s v="C0990"/>
    <x v="130"/>
    <s v="13 days"/>
    <x v="26"/>
    <x v="1"/>
    <s v="4 days"/>
    <x v="3"/>
    <s v="Returning"/>
    <s v="Standard"/>
    <n v="13"/>
    <n v="4"/>
    <n v="6761"/>
    <n v="27044"/>
    <n v="27044"/>
    <x v="0"/>
    <x v="0"/>
    <x v="0"/>
    <x v="1"/>
  </r>
  <r>
    <n v="2517"/>
    <s v="C0372"/>
    <x v="69"/>
    <s v="32 days"/>
    <x v="218"/>
    <x v="63"/>
    <s v="2 days"/>
    <x v="2"/>
    <s v="New"/>
    <s v="Suite"/>
    <n v="32"/>
    <n v="2"/>
    <n v="4073"/>
    <n v="8146"/>
    <n v="8146"/>
    <x v="1"/>
    <x v="0"/>
    <x v="0"/>
    <x v="1"/>
  </r>
  <r>
    <n v="2518"/>
    <s v="C0935"/>
    <x v="70"/>
    <s v="59 days"/>
    <x v="277"/>
    <x v="101"/>
    <s v="2 days"/>
    <x v="3"/>
    <s v="Returning"/>
    <s v="Deluxe"/>
    <n v="59"/>
    <n v="2"/>
    <n v="5408"/>
    <n v="10816"/>
    <n v="0"/>
    <x v="0"/>
    <x v="1"/>
    <x v="1"/>
    <x v="0"/>
  </r>
  <r>
    <n v="2519"/>
    <s v="C0995"/>
    <x v="326"/>
    <s v="38 days"/>
    <x v="335"/>
    <x v="154"/>
    <s v="2 days"/>
    <x v="1"/>
    <s v="Returning"/>
    <s v="Standard"/>
    <n v="38"/>
    <n v="2"/>
    <n v="7212"/>
    <n v="14424"/>
    <n v="14424"/>
    <x v="1"/>
    <x v="0"/>
    <x v="0"/>
    <x v="0"/>
  </r>
  <r>
    <n v="2520"/>
    <s v="C0402"/>
    <x v="150"/>
    <s v="38 days"/>
    <x v="201"/>
    <x v="313"/>
    <s v="1 days"/>
    <x v="4"/>
    <s v="Returning"/>
    <s v="Deluxe"/>
    <n v="38"/>
    <n v="1"/>
    <n v="4125"/>
    <n v="4125"/>
    <n v="4125"/>
    <x v="1"/>
    <x v="0"/>
    <x v="0"/>
    <x v="1"/>
  </r>
  <r>
    <n v="2521"/>
    <s v="C1467"/>
    <x v="237"/>
    <s v="56 days"/>
    <x v="374"/>
    <x v="15"/>
    <s v="3 days"/>
    <x v="2"/>
    <s v="New"/>
    <s v="Deluxe"/>
    <n v="56"/>
    <n v="3"/>
    <n v="6498"/>
    <n v="19494"/>
    <n v="0"/>
    <x v="0"/>
    <x v="1"/>
    <x v="1"/>
    <x v="0"/>
  </r>
  <r>
    <n v="2522"/>
    <s v="C0615"/>
    <x v="350"/>
    <s v="28 days"/>
    <x v="24"/>
    <x v="214"/>
    <s v="2 days"/>
    <x v="4"/>
    <s v="Returning"/>
    <s v="Deluxe"/>
    <n v="28"/>
    <n v="2"/>
    <n v="6383"/>
    <n v="12766"/>
    <n v="12766"/>
    <x v="0"/>
    <x v="0"/>
    <x v="0"/>
    <x v="1"/>
  </r>
  <r>
    <n v="2523"/>
    <s v="C1297"/>
    <x v="173"/>
    <s v="53 days"/>
    <x v="299"/>
    <x v="51"/>
    <s v="1 days"/>
    <x v="1"/>
    <s v="Returning"/>
    <s v="Deluxe"/>
    <n v="53"/>
    <n v="1"/>
    <n v="6015"/>
    <n v="6015"/>
    <n v="0"/>
    <x v="1"/>
    <x v="1"/>
    <x v="1"/>
    <x v="0"/>
  </r>
  <r>
    <n v="2524"/>
    <s v="C1183"/>
    <x v="224"/>
    <s v="30 days"/>
    <x v="80"/>
    <x v="335"/>
    <s v="4 days"/>
    <x v="2"/>
    <s v="Returning"/>
    <s v="Standard"/>
    <n v="30"/>
    <n v="4"/>
    <n v="5903"/>
    <n v="23612"/>
    <n v="23612"/>
    <x v="0"/>
    <x v="0"/>
    <x v="0"/>
    <x v="0"/>
  </r>
  <r>
    <n v="2525"/>
    <s v="C1176"/>
    <x v="240"/>
    <s v="3 days"/>
    <x v="114"/>
    <x v="111"/>
    <s v="5 days"/>
    <x v="4"/>
    <s v="New"/>
    <s v="Suite"/>
    <n v="3"/>
    <n v="5"/>
    <n v="7098"/>
    <n v="35490"/>
    <n v="35490"/>
    <x v="1"/>
    <x v="0"/>
    <x v="0"/>
    <x v="1"/>
  </r>
  <r>
    <n v="2526"/>
    <s v="C0995"/>
    <x v="228"/>
    <s v="28 days"/>
    <x v="10"/>
    <x v="166"/>
    <s v="1 days"/>
    <x v="4"/>
    <s v="New"/>
    <s v="Suite"/>
    <n v="28"/>
    <n v="1"/>
    <n v="7508"/>
    <n v="7508"/>
    <n v="0"/>
    <x v="0"/>
    <x v="1"/>
    <x v="1"/>
    <x v="0"/>
  </r>
  <r>
    <n v="2527"/>
    <s v="C0620"/>
    <x v="179"/>
    <s v="3 days"/>
    <x v="117"/>
    <x v="115"/>
    <s v="5 days"/>
    <x v="2"/>
    <s v="Returning"/>
    <s v="Standard"/>
    <n v="3"/>
    <n v="5"/>
    <n v="8722"/>
    <n v="43610"/>
    <n v="43610"/>
    <x v="1"/>
    <x v="0"/>
    <x v="0"/>
    <x v="0"/>
  </r>
  <r>
    <n v="2528"/>
    <s v="C0188"/>
    <x v="334"/>
    <s v="45 days"/>
    <x v="148"/>
    <x v="59"/>
    <s v="2 days"/>
    <x v="4"/>
    <s v="Returning"/>
    <s v="Standard"/>
    <n v="45"/>
    <n v="2"/>
    <n v="7180"/>
    <n v="14360"/>
    <n v="0"/>
    <x v="1"/>
    <x v="1"/>
    <x v="1"/>
    <x v="0"/>
  </r>
  <r>
    <n v="2529"/>
    <s v="C1122"/>
    <x v="107"/>
    <s v="54 days"/>
    <x v="388"/>
    <x v="51"/>
    <s v="2 days"/>
    <x v="4"/>
    <s v="Returning"/>
    <s v="Suite"/>
    <n v="54"/>
    <n v="2"/>
    <n v="4458"/>
    <n v="8916"/>
    <n v="0"/>
    <x v="1"/>
    <x v="1"/>
    <x v="1"/>
    <x v="0"/>
  </r>
  <r>
    <n v="2530"/>
    <s v="C0131"/>
    <x v="14"/>
    <s v="34 days"/>
    <x v="171"/>
    <x v="80"/>
    <s v="1 days"/>
    <x v="2"/>
    <s v="Returning"/>
    <s v="Suite"/>
    <n v="34"/>
    <n v="1"/>
    <n v="6509"/>
    <n v="6509"/>
    <n v="0"/>
    <x v="0"/>
    <x v="1"/>
    <x v="1"/>
    <x v="0"/>
  </r>
  <r>
    <n v="2531"/>
    <s v="C0805"/>
    <x v="170"/>
    <s v="16 days"/>
    <x v="40"/>
    <x v="148"/>
    <s v="5 days"/>
    <x v="4"/>
    <s v="New"/>
    <s v="Standard"/>
    <n v="16"/>
    <n v="5"/>
    <n v="5235"/>
    <n v="26175"/>
    <n v="0"/>
    <x v="1"/>
    <x v="1"/>
    <x v="1"/>
    <x v="1"/>
  </r>
  <r>
    <n v="2532"/>
    <s v="C1195"/>
    <x v="302"/>
    <s v="22 days"/>
    <x v="133"/>
    <x v="130"/>
    <s v="2 days"/>
    <x v="4"/>
    <s v="New"/>
    <s v="Deluxe"/>
    <n v="22"/>
    <n v="2"/>
    <n v="6991"/>
    <n v="13982"/>
    <n v="0"/>
    <x v="1"/>
    <x v="1"/>
    <x v="1"/>
    <x v="0"/>
  </r>
  <r>
    <n v="2533"/>
    <s v="C0936"/>
    <x v="282"/>
    <s v="32 days"/>
    <x v="389"/>
    <x v="384"/>
    <s v="4 days"/>
    <x v="0"/>
    <s v="New"/>
    <s v="Standard"/>
    <n v="32"/>
    <n v="4"/>
    <n v="8227"/>
    <n v="32908"/>
    <n v="0"/>
    <x v="0"/>
    <x v="1"/>
    <x v="1"/>
    <x v="1"/>
  </r>
  <r>
    <n v="2534"/>
    <s v="C0986"/>
    <x v="142"/>
    <s v="38 days"/>
    <x v="118"/>
    <x v="136"/>
    <s v="3 days"/>
    <x v="0"/>
    <s v="Returning"/>
    <s v="Suite"/>
    <n v="38"/>
    <n v="3"/>
    <n v="8476"/>
    <n v="25428"/>
    <n v="25428"/>
    <x v="0"/>
    <x v="0"/>
    <x v="0"/>
    <x v="0"/>
  </r>
  <r>
    <n v="2535"/>
    <s v="C0183"/>
    <x v="270"/>
    <s v="8 days"/>
    <x v="20"/>
    <x v="274"/>
    <s v="3 days"/>
    <x v="1"/>
    <s v="New"/>
    <s v="Deluxe"/>
    <n v="8"/>
    <n v="3"/>
    <n v="5674"/>
    <n v="17022"/>
    <n v="17022"/>
    <x v="1"/>
    <x v="0"/>
    <x v="0"/>
    <x v="0"/>
  </r>
  <r>
    <n v="2536"/>
    <s v="C0983"/>
    <x v="225"/>
    <s v="55 days"/>
    <x v="96"/>
    <x v="302"/>
    <s v="2 days"/>
    <x v="0"/>
    <s v="Returning"/>
    <s v="Suite"/>
    <n v="55"/>
    <n v="2"/>
    <n v="2901"/>
    <n v="5802"/>
    <n v="0"/>
    <x v="1"/>
    <x v="1"/>
    <x v="1"/>
    <x v="1"/>
  </r>
  <r>
    <n v="2537"/>
    <s v="C0364"/>
    <x v="8"/>
    <s v="8 days"/>
    <x v="234"/>
    <x v="166"/>
    <s v="5 days"/>
    <x v="0"/>
    <s v="Returning"/>
    <s v="Deluxe"/>
    <n v="8"/>
    <n v="5"/>
    <n v="3474"/>
    <n v="17370"/>
    <n v="17370"/>
    <x v="0"/>
    <x v="0"/>
    <x v="0"/>
    <x v="1"/>
  </r>
  <r>
    <n v="2538"/>
    <s v="C0039"/>
    <x v="31"/>
    <s v="57 days"/>
    <x v="107"/>
    <x v="141"/>
    <s v="2 days"/>
    <x v="1"/>
    <s v="Returning"/>
    <s v="Suite"/>
    <n v="57"/>
    <n v="2"/>
    <n v="2723"/>
    <n v="5446"/>
    <n v="0"/>
    <x v="1"/>
    <x v="1"/>
    <x v="1"/>
    <x v="0"/>
  </r>
  <r>
    <n v="2539"/>
    <s v="C0497"/>
    <x v="240"/>
    <s v="6 days"/>
    <x v="338"/>
    <x v="136"/>
    <s v="5 days"/>
    <x v="4"/>
    <s v="New"/>
    <s v="Deluxe"/>
    <n v="6"/>
    <n v="5"/>
    <n v="7113"/>
    <n v="35565"/>
    <n v="35565"/>
    <x v="0"/>
    <x v="0"/>
    <x v="0"/>
    <x v="0"/>
  </r>
  <r>
    <n v="2540"/>
    <s v="C1373"/>
    <x v="302"/>
    <s v="14 days"/>
    <x v="112"/>
    <x v="98"/>
    <s v="4 days"/>
    <x v="4"/>
    <s v="Returning"/>
    <s v="Standard"/>
    <n v="14"/>
    <n v="4"/>
    <n v="2735"/>
    <n v="10940"/>
    <n v="10940"/>
    <x v="0"/>
    <x v="0"/>
    <x v="0"/>
    <x v="1"/>
  </r>
  <r>
    <n v="2541"/>
    <s v="C0982"/>
    <x v="281"/>
    <s v="32 days"/>
    <x v="164"/>
    <x v="64"/>
    <s v="5 days"/>
    <x v="0"/>
    <s v="New"/>
    <s v="Standard"/>
    <n v="32"/>
    <n v="5"/>
    <n v="5998"/>
    <n v="29990"/>
    <n v="0"/>
    <x v="0"/>
    <x v="1"/>
    <x v="1"/>
    <x v="1"/>
  </r>
  <r>
    <n v="2542"/>
    <s v="C0921"/>
    <x v="275"/>
    <s v="35 days"/>
    <x v="167"/>
    <x v="121"/>
    <s v="2 days"/>
    <x v="1"/>
    <s v="Returning"/>
    <s v="Deluxe"/>
    <n v="35"/>
    <n v="2"/>
    <n v="6711"/>
    <n v="13422"/>
    <n v="0"/>
    <x v="1"/>
    <x v="1"/>
    <x v="1"/>
    <x v="1"/>
  </r>
  <r>
    <n v="2543"/>
    <s v="C1421"/>
    <x v="277"/>
    <s v="10 days"/>
    <x v="129"/>
    <x v="125"/>
    <s v="4 days"/>
    <x v="4"/>
    <s v="New"/>
    <s v="Deluxe"/>
    <n v="10"/>
    <n v="4"/>
    <n v="5734"/>
    <n v="22936"/>
    <n v="0"/>
    <x v="0"/>
    <x v="1"/>
    <x v="1"/>
    <x v="1"/>
  </r>
  <r>
    <n v="2544"/>
    <s v="C0722"/>
    <x v="290"/>
    <s v="3 days"/>
    <x v="4"/>
    <x v="258"/>
    <s v="1 days"/>
    <x v="3"/>
    <s v="Returning"/>
    <s v="Standard"/>
    <n v="3"/>
    <n v="1"/>
    <n v="2725"/>
    <n v="2725"/>
    <n v="2725"/>
    <x v="1"/>
    <x v="0"/>
    <x v="0"/>
    <x v="0"/>
  </r>
  <r>
    <n v="2545"/>
    <s v="C1185"/>
    <x v="248"/>
    <s v="59 days"/>
    <x v="66"/>
    <x v="255"/>
    <s v="3 days"/>
    <x v="2"/>
    <s v="New"/>
    <s v="Standard"/>
    <n v="59"/>
    <n v="3"/>
    <n v="4777"/>
    <n v="14331"/>
    <n v="0"/>
    <x v="1"/>
    <x v="1"/>
    <x v="1"/>
    <x v="0"/>
  </r>
  <r>
    <n v="2546"/>
    <s v="C0016"/>
    <x v="200"/>
    <s v="12 days"/>
    <x v="56"/>
    <x v="68"/>
    <s v="2 days"/>
    <x v="2"/>
    <s v="Returning"/>
    <s v="Deluxe"/>
    <n v="12"/>
    <n v="2"/>
    <n v="6777"/>
    <n v="13554"/>
    <n v="13554"/>
    <x v="0"/>
    <x v="0"/>
    <x v="0"/>
    <x v="0"/>
  </r>
  <r>
    <n v="2547"/>
    <s v="C0493"/>
    <x v="254"/>
    <s v="49 days"/>
    <x v="9"/>
    <x v="389"/>
    <s v="2 days"/>
    <x v="2"/>
    <s v="New"/>
    <s v="Deluxe"/>
    <n v="49"/>
    <n v="2"/>
    <n v="3841"/>
    <n v="7682"/>
    <n v="0"/>
    <x v="0"/>
    <x v="1"/>
    <x v="1"/>
    <x v="0"/>
  </r>
  <r>
    <n v="2548"/>
    <s v="C1450"/>
    <x v="204"/>
    <s v="59 days"/>
    <x v="63"/>
    <x v="200"/>
    <s v="2 days"/>
    <x v="0"/>
    <s v="Returning"/>
    <s v="Standard"/>
    <n v="59"/>
    <n v="2"/>
    <n v="6536"/>
    <n v="13072"/>
    <n v="0"/>
    <x v="0"/>
    <x v="1"/>
    <x v="1"/>
    <x v="0"/>
  </r>
  <r>
    <n v="2549"/>
    <s v="C1132"/>
    <x v="334"/>
    <s v="31 days"/>
    <x v="262"/>
    <x v="270"/>
    <s v="4 days"/>
    <x v="2"/>
    <s v="Returning"/>
    <s v="Suite"/>
    <n v="31"/>
    <n v="4"/>
    <n v="2709"/>
    <n v="10836"/>
    <n v="10836"/>
    <x v="0"/>
    <x v="0"/>
    <x v="0"/>
    <x v="1"/>
  </r>
  <r>
    <n v="2550"/>
    <s v="C0894"/>
    <x v="182"/>
    <s v="29 days"/>
    <x v="161"/>
    <x v="350"/>
    <s v="1 days"/>
    <x v="2"/>
    <s v="Returning"/>
    <s v="Standard"/>
    <n v="29"/>
    <n v="1"/>
    <n v="6227"/>
    <n v="6227"/>
    <n v="0"/>
    <x v="1"/>
    <x v="1"/>
    <x v="1"/>
    <x v="1"/>
  </r>
  <r>
    <n v="2551"/>
    <s v="C1474"/>
    <x v="69"/>
    <s v="5 days"/>
    <x v="200"/>
    <x v="122"/>
    <s v="5 days"/>
    <x v="3"/>
    <s v="New"/>
    <s v="Deluxe"/>
    <n v="5"/>
    <n v="5"/>
    <n v="8011"/>
    <n v="40055"/>
    <n v="0"/>
    <x v="1"/>
    <x v="1"/>
    <x v="1"/>
    <x v="1"/>
  </r>
  <r>
    <n v="2552"/>
    <s v="C0311"/>
    <x v="107"/>
    <s v="52 days"/>
    <x v="51"/>
    <x v="395"/>
    <s v="1 days"/>
    <x v="4"/>
    <s v="Returning"/>
    <s v="Deluxe"/>
    <n v="52"/>
    <n v="1"/>
    <n v="6428"/>
    <n v="6428"/>
    <n v="0"/>
    <x v="0"/>
    <x v="1"/>
    <x v="1"/>
    <x v="0"/>
  </r>
  <r>
    <n v="2553"/>
    <s v="C0739"/>
    <x v="18"/>
    <s v="25 days"/>
    <x v="380"/>
    <x v="396"/>
    <s v="4 days"/>
    <x v="3"/>
    <s v="Returning"/>
    <s v="Suite"/>
    <n v="25"/>
    <n v="4"/>
    <n v="8739"/>
    <n v="34956"/>
    <n v="34956"/>
    <x v="1"/>
    <x v="0"/>
    <x v="0"/>
    <x v="1"/>
  </r>
  <r>
    <n v="2554"/>
    <s v="C1194"/>
    <x v="64"/>
    <s v="41 days"/>
    <x v="358"/>
    <x v="382"/>
    <s v="2 days"/>
    <x v="0"/>
    <s v="Returning"/>
    <s v="Standard"/>
    <n v="41"/>
    <n v="2"/>
    <n v="7489"/>
    <n v="14978"/>
    <n v="0"/>
    <x v="0"/>
    <x v="1"/>
    <x v="1"/>
    <x v="0"/>
  </r>
  <r>
    <n v="2555"/>
    <s v="C0546"/>
    <x v="112"/>
    <s v="31 days"/>
    <x v="196"/>
    <x v="189"/>
    <s v="3 days"/>
    <x v="2"/>
    <s v="New"/>
    <s v="Deluxe"/>
    <n v="31"/>
    <n v="3"/>
    <n v="8477"/>
    <n v="25431"/>
    <n v="0"/>
    <x v="1"/>
    <x v="1"/>
    <x v="1"/>
    <x v="0"/>
  </r>
  <r>
    <n v="2556"/>
    <s v="C0414"/>
    <x v="36"/>
    <s v="21 days"/>
    <x v="221"/>
    <x v="84"/>
    <s v="2 days"/>
    <x v="4"/>
    <s v="Returning"/>
    <s v="Standard"/>
    <n v="21"/>
    <n v="2"/>
    <n v="5303"/>
    <n v="10606"/>
    <n v="10606"/>
    <x v="1"/>
    <x v="0"/>
    <x v="0"/>
    <x v="0"/>
  </r>
  <r>
    <n v="2557"/>
    <s v="C0251"/>
    <x v="257"/>
    <s v="58 days"/>
    <x v="74"/>
    <x v="65"/>
    <s v="5 days"/>
    <x v="2"/>
    <s v="Returning"/>
    <s v="Deluxe"/>
    <n v="58"/>
    <n v="5"/>
    <n v="3609"/>
    <n v="18045"/>
    <n v="0"/>
    <x v="1"/>
    <x v="1"/>
    <x v="1"/>
    <x v="1"/>
  </r>
  <r>
    <n v="2558"/>
    <s v="C0759"/>
    <x v="42"/>
    <s v="20 days"/>
    <x v="356"/>
    <x v="397"/>
    <s v="3 days"/>
    <x v="2"/>
    <s v="New"/>
    <s v="Suite"/>
    <n v="20"/>
    <n v="3"/>
    <n v="4526"/>
    <n v="13578"/>
    <n v="13578"/>
    <x v="0"/>
    <x v="0"/>
    <x v="0"/>
    <x v="0"/>
  </r>
  <r>
    <n v="2559"/>
    <s v="C1165"/>
    <x v="126"/>
    <s v="39 days"/>
    <x v="261"/>
    <x v="264"/>
    <s v="2 days"/>
    <x v="0"/>
    <s v="Returning"/>
    <s v="Standard"/>
    <n v="39"/>
    <n v="2"/>
    <n v="2893"/>
    <n v="5786"/>
    <n v="5786"/>
    <x v="1"/>
    <x v="0"/>
    <x v="0"/>
    <x v="0"/>
  </r>
  <r>
    <n v="2560"/>
    <s v="C1298"/>
    <x v="63"/>
    <s v="22 days"/>
    <x v="317"/>
    <x v="231"/>
    <s v="3 days"/>
    <x v="2"/>
    <s v="New"/>
    <s v="Standard"/>
    <n v="22"/>
    <n v="3"/>
    <n v="3343"/>
    <n v="10029"/>
    <n v="0"/>
    <x v="1"/>
    <x v="1"/>
    <x v="1"/>
    <x v="1"/>
  </r>
  <r>
    <n v="2561"/>
    <s v="C1440"/>
    <x v="347"/>
    <s v="4 days"/>
    <x v="119"/>
    <x v="322"/>
    <s v="1 days"/>
    <x v="1"/>
    <s v="Returning"/>
    <s v="Suite"/>
    <n v="4"/>
    <n v="1"/>
    <n v="4024"/>
    <n v="4024"/>
    <n v="4024"/>
    <x v="1"/>
    <x v="0"/>
    <x v="0"/>
    <x v="0"/>
  </r>
  <r>
    <n v="2562"/>
    <s v="C1063"/>
    <x v="166"/>
    <s v="13 days"/>
    <x v="125"/>
    <x v="139"/>
    <s v="4 days"/>
    <x v="4"/>
    <s v="New"/>
    <s v="Deluxe"/>
    <n v="13"/>
    <n v="4"/>
    <n v="3103"/>
    <n v="12412"/>
    <n v="0"/>
    <x v="1"/>
    <x v="1"/>
    <x v="1"/>
    <x v="1"/>
  </r>
  <r>
    <n v="2563"/>
    <s v="C0814"/>
    <x v="240"/>
    <s v="45 days"/>
    <x v="15"/>
    <x v="15"/>
    <s v="2 days"/>
    <x v="4"/>
    <s v="New"/>
    <s v="Deluxe"/>
    <n v="45"/>
    <n v="2"/>
    <n v="3081"/>
    <n v="6162"/>
    <n v="0"/>
    <x v="0"/>
    <x v="1"/>
    <x v="1"/>
    <x v="0"/>
  </r>
  <r>
    <n v="2564"/>
    <s v="C0029"/>
    <x v="160"/>
    <s v="42 days"/>
    <x v="150"/>
    <x v="365"/>
    <s v="5 days"/>
    <x v="1"/>
    <s v="New"/>
    <s v="Standard"/>
    <n v="42"/>
    <n v="5"/>
    <n v="8638"/>
    <n v="43190"/>
    <n v="0"/>
    <x v="1"/>
    <x v="1"/>
    <x v="1"/>
    <x v="1"/>
  </r>
  <r>
    <n v="2565"/>
    <s v="C0958"/>
    <x v="153"/>
    <s v="50 days"/>
    <x v="338"/>
    <x v="212"/>
    <s v="1 days"/>
    <x v="0"/>
    <s v="Returning"/>
    <s v="Suite"/>
    <n v="50"/>
    <n v="1"/>
    <n v="4439"/>
    <n v="4439"/>
    <n v="0"/>
    <x v="0"/>
    <x v="1"/>
    <x v="1"/>
    <x v="0"/>
  </r>
  <r>
    <n v="2566"/>
    <s v="C0477"/>
    <x v="197"/>
    <s v="49 days"/>
    <x v="355"/>
    <x v="351"/>
    <s v="2 days"/>
    <x v="2"/>
    <s v="Returning"/>
    <s v="Standard"/>
    <n v="49"/>
    <n v="2"/>
    <n v="2632"/>
    <n v="5264"/>
    <n v="0"/>
    <x v="0"/>
    <x v="1"/>
    <x v="1"/>
    <x v="0"/>
  </r>
  <r>
    <n v="2567"/>
    <s v="C0318"/>
    <x v="199"/>
    <s v="20 days"/>
    <x v="369"/>
    <x v="72"/>
    <s v="1 days"/>
    <x v="2"/>
    <s v="New"/>
    <s v="Standard"/>
    <n v="20"/>
    <n v="1"/>
    <n v="5338"/>
    <n v="5338"/>
    <n v="5338"/>
    <x v="1"/>
    <x v="0"/>
    <x v="0"/>
    <x v="1"/>
  </r>
  <r>
    <n v="2568"/>
    <s v="C0245"/>
    <x v="306"/>
    <s v="52 days"/>
    <x v="116"/>
    <x v="127"/>
    <s v="5 days"/>
    <x v="4"/>
    <s v="Returning"/>
    <s v="Deluxe"/>
    <n v="52"/>
    <n v="5"/>
    <n v="5885"/>
    <n v="29425"/>
    <n v="0"/>
    <x v="1"/>
    <x v="1"/>
    <x v="1"/>
    <x v="0"/>
  </r>
  <r>
    <n v="2569"/>
    <s v="C0748"/>
    <x v="7"/>
    <s v="13 days"/>
    <x v="326"/>
    <x v="5"/>
    <s v="2 days"/>
    <x v="0"/>
    <s v="Returning"/>
    <s v="Deluxe"/>
    <n v="13"/>
    <n v="2"/>
    <n v="6270"/>
    <n v="12540"/>
    <n v="12540"/>
    <x v="0"/>
    <x v="0"/>
    <x v="0"/>
    <x v="1"/>
  </r>
  <r>
    <n v="2570"/>
    <s v="C0697"/>
    <x v="214"/>
    <s v="17 days"/>
    <x v="221"/>
    <x v="196"/>
    <s v="5 days"/>
    <x v="0"/>
    <s v="New"/>
    <s v="Deluxe"/>
    <n v="17"/>
    <n v="5"/>
    <n v="4768"/>
    <n v="23840"/>
    <n v="0"/>
    <x v="0"/>
    <x v="1"/>
    <x v="1"/>
    <x v="0"/>
  </r>
  <r>
    <n v="2571"/>
    <s v="C0272"/>
    <x v="7"/>
    <s v="54 days"/>
    <x v="50"/>
    <x v="50"/>
    <s v="3 days"/>
    <x v="0"/>
    <s v="New"/>
    <s v="Deluxe"/>
    <n v="54"/>
    <n v="3"/>
    <n v="3475"/>
    <n v="10425"/>
    <n v="0"/>
    <x v="0"/>
    <x v="1"/>
    <x v="1"/>
    <x v="1"/>
  </r>
  <r>
    <n v="2572"/>
    <s v="C1464"/>
    <x v="112"/>
    <s v="36 days"/>
    <x v="376"/>
    <x v="310"/>
    <s v="5 days"/>
    <x v="2"/>
    <s v="New"/>
    <s v="Deluxe"/>
    <n v="36"/>
    <n v="5"/>
    <n v="4313"/>
    <n v="21565"/>
    <n v="0"/>
    <x v="1"/>
    <x v="1"/>
    <x v="1"/>
    <x v="0"/>
  </r>
  <r>
    <n v="2573"/>
    <s v="C1263"/>
    <x v="99"/>
    <s v="33 days"/>
    <x v="6"/>
    <x v="276"/>
    <s v="3 days"/>
    <x v="0"/>
    <s v="New"/>
    <s v="Suite"/>
    <n v="33"/>
    <n v="3"/>
    <n v="5763"/>
    <n v="17289"/>
    <n v="0"/>
    <x v="1"/>
    <x v="1"/>
    <x v="1"/>
    <x v="0"/>
  </r>
  <r>
    <n v="2574"/>
    <s v="C0377"/>
    <x v="78"/>
    <s v="1 days"/>
    <x v="307"/>
    <x v="398"/>
    <s v="2 days"/>
    <x v="1"/>
    <s v="Returning"/>
    <s v="Standard"/>
    <n v="1"/>
    <n v="2"/>
    <n v="4043"/>
    <n v="8086"/>
    <n v="0"/>
    <x v="0"/>
    <x v="1"/>
    <x v="1"/>
    <x v="0"/>
  </r>
  <r>
    <n v="2575"/>
    <s v="C0266"/>
    <x v="348"/>
    <s v="15 days"/>
    <x v="244"/>
    <x v="242"/>
    <s v="3 days"/>
    <x v="3"/>
    <s v="Returning"/>
    <s v="Suite"/>
    <n v="15"/>
    <n v="3"/>
    <n v="5335"/>
    <n v="16005"/>
    <n v="16005"/>
    <x v="0"/>
    <x v="0"/>
    <x v="0"/>
    <x v="1"/>
  </r>
  <r>
    <n v="2576"/>
    <s v="C0926"/>
    <x v="88"/>
    <s v="13 days"/>
    <x v="17"/>
    <x v="226"/>
    <s v="2 days"/>
    <x v="0"/>
    <s v="Returning"/>
    <s v="Standard"/>
    <n v="13"/>
    <n v="2"/>
    <n v="5238"/>
    <n v="10476"/>
    <n v="10476"/>
    <x v="0"/>
    <x v="0"/>
    <x v="0"/>
    <x v="1"/>
  </r>
  <r>
    <n v="2577"/>
    <s v="C0921"/>
    <x v="230"/>
    <s v="17 days"/>
    <x v="293"/>
    <x v="231"/>
    <s v="2 days"/>
    <x v="3"/>
    <s v="Returning"/>
    <s v="Deluxe"/>
    <n v="17"/>
    <n v="2"/>
    <n v="3857"/>
    <n v="7714"/>
    <n v="7714"/>
    <x v="1"/>
    <x v="0"/>
    <x v="0"/>
    <x v="1"/>
  </r>
  <r>
    <n v="2578"/>
    <s v="C1383"/>
    <x v="297"/>
    <s v="24 days"/>
    <x v="376"/>
    <x v="325"/>
    <s v="4 days"/>
    <x v="2"/>
    <s v="Returning"/>
    <s v="Suite"/>
    <n v="24"/>
    <n v="4"/>
    <n v="6634"/>
    <n v="26536"/>
    <n v="0"/>
    <x v="1"/>
    <x v="1"/>
    <x v="1"/>
    <x v="1"/>
  </r>
  <r>
    <n v="2579"/>
    <s v="C0340"/>
    <x v="126"/>
    <s v="58 days"/>
    <x v="95"/>
    <x v="193"/>
    <s v="2 days"/>
    <x v="0"/>
    <s v="Returning"/>
    <s v="Standard"/>
    <n v="58"/>
    <n v="2"/>
    <n v="3816"/>
    <n v="7632"/>
    <n v="7632"/>
    <x v="0"/>
    <x v="0"/>
    <x v="0"/>
    <x v="1"/>
  </r>
  <r>
    <n v="2580"/>
    <s v="C0389"/>
    <x v="168"/>
    <s v="8 days"/>
    <x v="47"/>
    <x v="46"/>
    <s v="3 days"/>
    <x v="4"/>
    <s v="New"/>
    <s v="Deluxe"/>
    <n v="8"/>
    <n v="3"/>
    <n v="2661"/>
    <n v="7983"/>
    <n v="7983"/>
    <x v="1"/>
    <x v="0"/>
    <x v="0"/>
    <x v="0"/>
  </r>
  <r>
    <n v="2581"/>
    <s v="C0577"/>
    <x v="129"/>
    <s v="50 days"/>
    <x v="247"/>
    <x v="383"/>
    <s v="4 days"/>
    <x v="2"/>
    <s v="Returning"/>
    <s v="Deluxe"/>
    <n v="50"/>
    <n v="4"/>
    <n v="4409"/>
    <n v="17636"/>
    <n v="0"/>
    <x v="0"/>
    <x v="1"/>
    <x v="1"/>
    <x v="0"/>
  </r>
  <r>
    <n v="2582"/>
    <s v="C0003"/>
    <x v="76"/>
    <s v="27 days"/>
    <x v="190"/>
    <x v="286"/>
    <s v="4 days"/>
    <x v="1"/>
    <s v="Returning"/>
    <s v="Suite"/>
    <n v="27"/>
    <n v="4"/>
    <n v="3627"/>
    <n v="14508"/>
    <n v="14508"/>
    <x v="1"/>
    <x v="0"/>
    <x v="0"/>
    <x v="0"/>
  </r>
  <r>
    <n v="2583"/>
    <s v="C1453"/>
    <x v="314"/>
    <s v="45 days"/>
    <x v="262"/>
    <x v="324"/>
    <s v="2 days"/>
    <x v="1"/>
    <s v="Returning"/>
    <s v="Suite"/>
    <n v="45"/>
    <n v="2"/>
    <n v="8804"/>
    <n v="17608"/>
    <n v="0"/>
    <x v="0"/>
    <x v="1"/>
    <x v="1"/>
    <x v="0"/>
  </r>
  <r>
    <n v="2584"/>
    <s v="C1166"/>
    <x v="104"/>
    <s v="23 days"/>
    <x v="25"/>
    <x v="27"/>
    <s v="5 days"/>
    <x v="3"/>
    <s v="New"/>
    <s v="Suite"/>
    <n v="23"/>
    <n v="5"/>
    <n v="6370"/>
    <n v="31850"/>
    <n v="0"/>
    <x v="1"/>
    <x v="1"/>
    <x v="1"/>
    <x v="0"/>
  </r>
  <r>
    <n v="2585"/>
    <s v="C0376"/>
    <x v="110"/>
    <s v="46 days"/>
    <x v="374"/>
    <x v="373"/>
    <s v="5 days"/>
    <x v="3"/>
    <s v="New"/>
    <s v="Deluxe"/>
    <n v="46"/>
    <n v="5"/>
    <n v="4158"/>
    <n v="20790"/>
    <n v="0"/>
    <x v="1"/>
    <x v="1"/>
    <x v="1"/>
    <x v="1"/>
  </r>
  <r>
    <n v="2586"/>
    <s v="C0324"/>
    <x v="230"/>
    <s v="8 days"/>
    <x v="163"/>
    <x v="387"/>
    <s v="4 days"/>
    <x v="4"/>
    <s v="Returning"/>
    <s v="Standard"/>
    <n v="8"/>
    <n v="4"/>
    <n v="5625"/>
    <n v="22500"/>
    <n v="22500"/>
    <x v="1"/>
    <x v="0"/>
    <x v="0"/>
    <x v="0"/>
  </r>
  <r>
    <n v="2587"/>
    <s v="C0146"/>
    <x v="286"/>
    <s v="8 days"/>
    <x v="222"/>
    <x v="380"/>
    <s v="2 days"/>
    <x v="4"/>
    <s v="New"/>
    <s v="Standard"/>
    <n v="8"/>
    <n v="2"/>
    <n v="4463"/>
    <n v="8926"/>
    <n v="8926"/>
    <x v="1"/>
    <x v="0"/>
    <x v="0"/>
    <x v="1"/>
  </r>
  <r>
    <n v="2588"/>
    <s v="C0293"/>
    <x v="334"/>
    <s v="59 days"/>
    <x v="150"/>
    <x v="365"/>
    <s v="5 days"/>
    <x v="1"/>
    <s v="New"/>
    <s v="Suite"/>
    <n v="59"/>
    <n v="5"/>
    <n v="7653"/>
    <n v="38265"/>
    <n v="0"/>
    <x v="1"/>
    <x v="1"/>
    <x v="1"/>
    <x v="0"/>
  </r>
  <r>
    <n v="2589"/>
    <s v="C0432"/>
    <x v="0"/>
    <s v="26 days"/>
    <x v="298"/>
    <x v="19"/>
    <s v="2 days"/>
    <x v="0"/>
    <s v="Returning"/>
    <s v="Standard"/>
    <n v="26"/>
    <n v="2"/>
    <n v="4789"/>
    <n v="9578"/>
    <n v="9578"/>
    <x v="1"/>
    <x v="0"/>
    <x v="0"/>
    <x v="1"/>
  </r>
  <r>
    <n v="2590"/>
    <s v="C0705"/>
    <x v="144"/>
    <s v="47 days"/>
    <x v="54"/>
    <x v="29"/>
    <s v="2 days"/>
    <x v="1"/>
    <s v="Returning"/>
    <s v="Deluxe"/>
    <n v="47"/>
    <n v="2"/>
    <n v="3466"/>
    <n v="6932"/>
    <n v="6932"/>
    <x v="1"/>
    <x v="0"/>
    <x v="0"/>
    <x v="1"/>
  </r>
  <r>
    <n v="2591"/>
    <s v="C0949"/>
    <x v="322"/>
    <s v="59 days"/>
    <x v="167"/>
    <x v="166"/>
    <s v="4 days"/>
    <x v="1"/>
    <s v="Returning"/>
    <s v="Standard"/>
    <n v="59"/>
    <n v="4"/>
    <n v="3389"/>
    <n v="13556"/>
    <n v="13556"/>
    <x v="0"/>
    <x v="0"/>
    <x v="0"/>
    <x v="1"/>
  </r>
  <r>
    <n v="2592"/>
    <s v="C0585"/>
    <x v="91"/>
    <s v="13 days"/>
    <x v="93"/>
    <x v="293"/>
    <s v="4 days"/>
    <x v="4"/>
    <s v="New"/>
    <s v="Deluxe"/>
    <n v="13"/>
    <n v="4"/>
    <n v="8756"/>
    <n v="35024"/>
    <n v="35024"/>
    <x v="0"/>
    <x v="0"/>
    <x v="0"/>
    <x v="0"/>
  </r>
  <r>
    <n v="2593"/>
    <s v="C0399"/>
    <x v="178"/>
    <s v="39 days"/>
    <x v="288"/>
    <x v="303"/>
    <s v="1 days"/>
    <x v="3"/>
    <s v="New"/>
    <s v="Suite"/>
    <n v="39"/>
    <n v="1"/>
    <n v="5561"/>
    <n v="5561"/>
    <n v="5561"/>
    <x v="0"/>
    <x v="0"/>
    <x v="0"/>
    <x v="0"/>
  </r>
  <r>
    <n v="2594"/>
    <s v="C0817"/>
    <x v="133"/>
    <s v="37 days"/>
    <x v="93"/>
    <x v="318"/>
    <s v="5 days"/>
    <x v="4"/>
    <s v="Returning"/>
    <s v="Standard"/>
    <n v="37"/>
    <n v="5"/>
    <n v="8961"/>
    <n v="44805"/>
    <n v="0"/>
    <x v="1"/>
    <x v="1"/>
    <x v="1"/>
    <x v="0"/>
  </r>
  <r>
    <n v="2595"/>
    <s v="C1368"/>
    <x v="254"/>
    <s v="49 days"/>
    <x v="9"/>
    <x v="50"/>
    <s v="5 days"/>
    <x v="4"/>
    <s v="New"/>
    <s v="Deluxe"/>
    <n v="49"/>
    <n v="5"/>
    <n v="8666"/>
    <n v="43330"/>
    <n v="0"/>
    <x v="1"/>
    <x v="1"/>
    <x v="1"/>
    <x v="0"/>
  </r>
  <r>
    <n v="2596"/>
    <s v="C0964"/>
    <x v="90"/>
    <s v="28 days"/>
    <x v="370"/>
    <x v="3"/>
    <s v="5 days"/>
    <x v="4"/>
    <s v="New"/>
    <s v="Suite"/>
    <n v="28"/>
    <n v="5"/>
    <n v="6129"/>
    <n v="30645"/>
    <n v="30645"/>
    <x v="1"/>
    <x v="0"/>
    <x v="0"/>
    <x v="1"/>
  </r>
  <r>
    <n v="2597"/>
    <s v="C1164"/>
    <x v="86"/>
    <s v="25 days"/>
    <x v="301"/>
    <x v="193"/>
    <s v="3 days"/>
    <x v="1"/>
    <s v="New"/>
    <s v="Suite"/>
    <n v="25"/>
    <n v="3"/>
    <n v="5689"/>
    <n v="17067"/>
    <n v="17067"/>
    <x v="0"/>
    <x v="0"/>
    <x v="0"/>
    <x v="1"/>
  </r>
  <r>
    <n v="2598"/>
    <s v="C0187"/>
    <x v="287"/>
    <s v="16 days"/>
    <x v="255"/>
    <x v="259"/>
    <s v="2 days"/>
    <x v="0"/>
    <s v="Returning"/>
    <s v="Suite"/>
    <n v="16"/>
    <n v="2"/>
    <n v="5248"/>
    <n v="10496"/>
    <n v="10496"/>
    <x v="0"/>
    <x v="0"/>
    <x v="0"/>
    <x v="1"/>
  </r>
  <r>
    <n v="2599"/>
    <s v="C0061"/>
    <x v="147"/>
    <s v="55 days"/>
    <x v="10"/>
    <x v="10"/>
    <s v="4 days"/>
    <x v="1"/>
    <s v="Returning"/>
    <s v="Suite"/>
    <n v="55"/>
    <n v="4"/>
    <n v="4166"/>
    <n v="16664"/>
    <n v="0"/>
    <x v="0"/>
    <x v="1"/>
    <x v="1"/>
    <x v="1"/>
  </r>
  <r>
    <n v="2600"/>
    <s v="C0939"/>
    <x v="270"/>
    <s v="2 days"/>
    <x v="339"/>
    <x v="116"/>
    <s v="5 days"/>
    <x v="2"/>
    <s v="Returning"/>
    <s v="Standard"/>
    <n v="2"/>
    <n v="5"/>
    <n v="5566"/>
    <n v="27830"/>
    <n v="0"/>
    <x v="0"/>
    <x v="1"/>
    <x v="1"/>
    <x v="0"/>
  </r>
  <r>
    <n v="2601"/>
    <s v="C1404"/>
    <x v="67"/>
    <s v="54 days"/>
    <x v="93"/>
    <x v="104"/>
    <s v="1 days"/>
    <x v="4"/>
    <s v="Returning"/>
    <s v="Deluxe"/>
    <n v="54"/>
    <n v="1"/>
    <n v="3941"/>
    <n v="3941"/>
    <n v="0"/>
    <x v="0"/>
    <x v="1"/>
    <x v="1"/>
    <x v="1"/>
  </r>
  <r>
    <n v="2602"/>
    <s v="C0710"/>
    <x v="185"/>
    <s v="18 days"/>
    <x v="108"/>
    <x v="138"/>
    <s v="5 days"/>
    <x v="4"/>
    <s v="Returning"/>
    <s v="Standard"/>
    <n v="18"/>
    <n v="5"/>
    <n v="3567"/>
    <n v="17835"/>
    <n v="17835"/>
    <x v="0"/>
    <x v="0"/>
    <x v="0"/>
    <x v="0"/>
  </r>
  <r>
    <n v="2603"/>
    <s v="C0807"/>
    <x v="279"/>
    <s v="17 days"/>
    <x v="113"/>
    <x v="366"/>
    <s v="2 days"/>
    <x v="2"/>
    <s v="New"/>
    <s v="Deluxe"/>
    <n v="17"/>
    <n v="2"/>
    <n v="6723"/>
    <n v="13446"/>
    <n v="0"/>
    <x v="1"/>
    <x v="1"/>
    <x v="1"/>
    <x v="1"/>
  </r>
  <r>
    <n v="2604"/>
    <s v="C1464"/>
    <x v="150"/>
    <s v="30 days"/>
    <x v="388"/>
    <x v="51"/>
    <s v="2 days"/>
    <x v="4"/>
    <s v="New"/>
    <s v="Suite"/>
    <n v="30"/>
    <n v="2"/>
    <n v="5423"/>
    <n v="10846"/>
    <n v="0"/>
    <x v="0"/>
    <x v="1"/>
    <x v="1"/>
    <x v="1"/>
  </r>
  <r>
    <n v="2605"/>
    <s v="C1343"/>
    <x v="39"/>
    <s v="39 days"/>
    <x v="41"/>
    <x v="343"/>
    <s v="4 days"/>
    <x v="4"/>
    <s v="New"/>
    <s v="Standard"/>
    <n v="39"/>
    <n v="4"/>
    <n v="6753"/>
    <n v="27012"/>
    <n v="0"/>
    <x v="1"/>
    <x v="1"/>
    <x v="1"/>
    <x v="1"/>
  </r>
  <r>
    <n v="2606"/>
    <s v="C1326"/>
    <x v="298"/>
    <s v="13 days"/>
    <x v="244"/>
    <x v="242"/>
    <s v="3 days"/>
    <x v="4"/>
    <s v="New"/>
    <s v="Suite"/>
    <n v="13"/>
    <n v="3"/>
    <n v="6356"/>
    <n v="19068"/>
    <n v="0"/>
    <x v="0"/>
    <x v="1"/>
    <x v="1"/>
    <x v="0"/>
  </r>
  <r>
    <n v="2607"/>
    <s v="C1368"/>
    <x v="276"/>
    <s v="32 days"/>
    <x v="104"/>
    <x v="136"/>
    <s v="4 days"/>
    <x v="2"/>
    <s v="New"/>
    <s v="Deluxe"/>
    <n v="32"/>
    <n v="4"/>
    <n v="3326"/>
    <n v="13304"/>
    <n v="13304"/>
    <x v="0"/>
    <x v="0"/>
    <x v="0"/>
    <x v="0"/>
  </r>
  <r>
    <n v="2608"/>
    <s v="C0011"/>
    <x v="123"/>
    <s v="50 days"/>
    <x v="239"/>
    <x v="161"/>
    <s v="5 days"/>
    <x v="1"/>
    <s v="New"/>
    <s v="Suite"/>
    <n v="50"/>
    <n v="5"/>
    <n v="8486"/>
    <n v="42430"/>
    <n v="0"/>
    <x v="1"/>
    <x v="1"/>
    <x v="1"/>
    <x v="1"/>
  </r>
  <r>
    <n v="2609"/>
    <s v="C1086"/>
    <x v="242"/>
    <s v="29 days"/>
    <x v="232"/>
    <x v="108"/>
    <s v="1 days"/>
    <x v="4"/>
    <s v="Returning"/>
    <s v="Standard"/>
    <n v="29"/>
    <n v="1"/>
    <n v="7107"/>
    <n v="7107"/>
    <n v="7107"/>
    <x v="1"/>
    <x v="0"/>
    <x v="0"/>
    <x v="1"/>
  </r>
  <r>
    <n v="2610"/>
    <s v="C0226"/>
    <x v="304"/>
    <s v="46 days"/>
    <x v="383"/>
    <x v="357"/>
    <s v="4 days"/>
    <x v="0"/>
    <s v="Returning"/>
    <s v="Standard"/>
    <n v="46"/>
    <n v="4"/>
    <n v="6485"/>
    <n v="25940"/>
    <n v="0"/>
    <x v="1"/>
    <x v="1"/>
    <x v="1"/>
    <x v="1"/>
  </r>
  <r>
    <n v="2611"/>
    <s v="C1177"/>
    <x v="304"/>
    <s v="30 days"/>
    <x v="390"/>
    <x v="77"/>
    <s v="3 days"/>
    <x v="2"/>
    <s v="New"/>
    <s v="Deluxe"/>
    <n v="30"/>
    <n v="3"/>
    <n v="4592"/>
    <n v="13776"/>
    <n v="13776"/>
    <x v="0"/>
    <x v="0"/>
    <x v="0"/>
    <x v="0"/>
  </r>
  <r>
    <n v="2612"/>
    <s v="C0564"/>
    <x v="15"/>
    <s v="18 days"/>
    <x v="223"/>
    <x v="188"/>
    <s v="4 days"/>
    <x v="3"/>
    <s v="Returning"/>
    <s v="Deluxe"/>
    <n v="18"/>
    <n v="4"/>
    <n v="5679"/>
    <n v="22716"/>
    <n v="0"/>
    <x v="0"/>
    <x v="1"/>
    <x v="1"/>
    <x v="0"/>
  </r>
  <r>
    <n v="2613"/>
    <s v="C0772"/>
    <x v="110"/>
    <s v="13 days"/>
    <x v="22"/>
    <x v="22"/>
    <s v="2 days"/>
    <x v="2"/>
    <s v="New"/>
    <s v="Standard"/>
    <n v="13"/>
    <n v="2"/>
    <n v="8862"/>
    <n v="17724"/>
    <n v="17724"/>
    <x v="1"/>
    <x v="0"/>
    <x v="0"/>
    <x v="0"/>
  </r>
  <r>
    <n v="2614"/>
    <s v="C1334"/>
    <x v="123"/>
    <s v="43 days"/>
    <x v="323"/>
    <x v="184"/>
    <s v="5 days"/>
    <x v="1"/>
    <s v="New"/>
    <s v="Standard"/>
    <n v="43"/>
    <n v="5"/>
    <n v="7038"/>
    <n v="35190"/>
    <n v="35190"/>
    <x v="0"/>
    <x v="0"/>
    <x v="0"/>
    <x v="1"/>
  </r>
  <r>
    <n v="2615"/>
    <s v="C0885"/>
    <x v="126"/>
    <s v="21 days"/>
    <x v="107"/>
    <x v="186"/>
    <s v="5 days"/>
    <x v="2"/>
    <s v="Returning"/>
    <s v="Standard"/>
    <n v="21"/>
    <n v="5"/>
    <n v="6401"/>
    <n v="32005"/>
    <n v="0"/>
    <x v="1"/>
    <x v="1"/>
    <x v="1"/>
    <x v="0"/>
  </r>
  <r>
    <n v="2616"/>
    <s v="C1267"/>
    <x v="134"/>
    <s v="30 days"/>
    <x v="135"/>
    <x v="131"/>
    <s v="5 days"/>
    <x v="3"/>
    <s v="Returning"/>
    <s v="Standard"/>
    <n v="30"/>
    <n v="5"/>
    <n v="4862"/>
    <n v="24310"/>
    <n v="24310"/>
    <x v="0"/>
    <x v="0"/>
    <x v="0"/>
    <x v="1"/>
  </r>
  <r>
    <n v="2617"/>
    <s v="C1390"/>
    <x v="101"/>
    <s v="21 days"/>
    <x v="16"/>
    <x v="71"/>
    <s v="5 days"/>
    <x v="0"/>
    <s v="New"/>
    <s v="Deluxe"/>
    <n v="21"/>
    <n v="5"/>
    <n v="4724"/>
    <n v="23620"/>
    <n v="23620"/>
    <x v="0"/>
    <x v="0"/>
    <x v="0"/>
    <x v="0"/>
  </r>
  <r>
    <n v="2618"/>
    <s v="C1354"/>
    <x v="223"/>
    <s v="48 days"/>
    <x v="323"/>
    <x v="184"/>
    <s v="5 days"/>
    <x v="3"/>
    <s v="Returning"/>
    <s v="Standard"/>
    <n v="48"/>
    <n v="5"/>
    <n v="8871"/>
    <n v="44355"/>
    <n v="0"/>
    <x v="0"/>
    <x v="1"/>
    <x v="1"/>
    <x v="1"/>
  </r>
  <r>
    <n v="2619"/>
    <s v="C1131"/>
    <x v="27"/>
    <s v="55 days"/>
    <x v="132"/>
    <x v="250"/>
    <s v="5 days"/>
    <x v="2"/>
    <s v="New"/>
    <s v="Deluxe"/>
    <n v="55"/>
    <n v="5"/>
    <n v="4226"/>
    <n v="21130"/>
    <n v="0"/>
    <x v="1"/>
    <x v="1"/>
    <x v="1"/>
    <x v="1"/>
  </r>
  <r>
    <n v="2620"/>
    <s v="C0226"/>
    <x v="289"/>
    <s v="17 days"/>
    <x v="23"/>
    <x v="12"/>
    <s v="1 days"/>
    <x v="3"/>
    <s v="New"/>
    <s v="Standard"/>
    <n v="17"/>
    <n v="1"/>
    <n v="4506"/>
    <n v="4506"/>
    <n v="4506"/>
    <x v="0"/>
    <x v="0"/>
    <x v="0"/>
    <x v="0"/>
  </r>
  <r>
    <n v="2621"/>
    <s v="C0825"/>
    <x v="319"/>
    <s v="40 days"/>
    <x v="93"/>
    <x v="315"/>
    <s v="3 days"/>
    <x v="2"/>
    <s v="New"/>
    <s v="Standard"/>
    <n v="40"/>
    <n v="3"/>
    <n v="8291"/>
    <n v="24873"/>
    <n v="24873"/>
    <x v="1"/>
    <x v="0"/>
    <x v="0"/>
    <x v="1"/>
  </r>
  <r>
    <n v="2622"/>
    <s v="C0218"/>
    <x v="45"/>
    <s v="19 days"/>
    <x v="65"/>
    <x v="53"/>
    <s v="5 days"/>
    <x v="0"/>
    <s v="New"/>
    <s v="Suite"/>
    <n v="19"/>
    <n v="5"/>
    <n v="2766"/>
    <n v="13830"/>
    <n v="0"/>
    <x v="1"/>
    <x v="1"/>
    <x v="1"/>
    <x v="1"/>
  </r>
  <r>
    <n v="2623"/>
    <s v="C0937"/>
    <x v="205"/>
    <s v="52 days"/>
    <x v="250"/>
    <x v="249"/>
    <s v="3 days"/>
    <x v="0"/>
    <s v="New"/>
    <s v="Suite"/>
    <n v="52"/>
    <n v="3"/>
    <n v="3337"/>
    <n v="10011"/>
    <n v="0"/>
    <x v="1"/>
    <x v="1"/>
    <x v="1"/>
    <x v="1"/>
  </r>
  <r>
    <n v="2624"/>
    <s v="C0753"/>
    <x v="118"/>
    <s v="15 days"/>
    <x v="209"/>
    <x v="139"/>
    <s v="5 days"/>
    <x v="1"/>
    <s v="Returning"/>
    <s v="Standard"/>
    <n v="15"/>
    <n v="5"/>
    <n v="7084"/>
    <n v="35420"/>
    <n v="35420"/>
    <x v="1"/>
    <x v="0"/>
    <x v="0"/>
    <x v="0"/>
  </r>
  <r>
    <n v="2625"/>
    <s v="C0506"/>
    <x v="316"/>
    <s v="9 days"/>
    <x v="364"/>
    <x v="23"/>
    <s v="4 days"/>
    <x v="0"/>
    <s v="New"/>
    <s v="Deluxe"/>
    <n v="9"/>
    <n v="4"/>
    <n v="7297"/>
    <n v="29188"/>
    <n v="29188"/>
    <x v="1"/>
    <x v="0"/>
    <x v="0"/>
    <x v="1"/>
  </r>
  <r>
    <n v="2626"/>
    <s v="C0259"/>
    <x v="272"/>
    <s v="52 days"/>
    <x v="103"/>
    <x v="336"/>
    <s v="5 days"/>
    <x v="4"/>
    <s v="Returning"/>
    <s v="Standard"/>
    <n v="52"/>
    <n v="5"/>
    <n v="3186"/>
    <n v="15930"/>
    <n v="0"/>
    <x v="1"/>
    <x v="1"/>
    <x v="1"/>
    <x v="0"/>
  </r>
  <r>
    <n v="2627"/>
    <s v="C0054"/>
    <x v="200"/>
    <s v="10 days"/>
    <x v="225"/>
    <x v="220"/>
    <s v="2 days"/>
    <x v="3"/>
    <s v="New"/>
    <s v="Suite"/>
    <n v="10"/>
    <n v="2"/>
    <n v="5861"/>
    <n v="11722"/>
    <n v="11722"/>
    <x v="1"/>
    <x v="0"/>
    <x v="0"/>
    <x v="0"/>
  </r>
  <r>
    <n v="2628"/>
    <s v="C1071"/>
    <x v="60"/>
    <s v="44 days"/>
    <x v="69"/>
    <x v="287"/>
    <s v="1 days"/>
    <x v="3"/>
    <s v="Returning"/>
    <s v="Standard"/>
    <n v="44"/>
    <n v="1"/>
    <n v="7591"/>
    <n v="7591"/>
    <n v="7591"/>
    <x v="1"/>
    <x v="0"/>
    <x v="0"/>
    <x v="1"/>
  </r>
  <r>
    <n v="2629"/>
    <s v="C0727"/>
    <x v="223"/>
    <s v="31 days"/>
    <x v="247"/>
    <x v="383"/>
    <s v="4 days"/>
    <x v="2"/>
    <s v="New"/>
    <s v="Suite"/>
    <n v="31"/>
    <n v="4"/>
    <n v="2856"/>
    <n v="11424"/>
    <n v="0"/>
    <x v="1"/>
    <x v="1"/>
    <x v="1"/>
    <x v="0"/>
  </r>
  <r>
    <n v="2630"/>
    <s v="C0689"/>
    <x v="321"/>
    <s v="53 days"/>
    <x v="283"/>
    <x v="48"/>
    <s v="4 days"/>
    <x v="0"/>
    <s v="Returning"/>
    <s v="Standard"/>
    <n v="53"/>
    <n v="4"/>
    <n v="6315"/>
    <n v="25260"/>
    <n v="0"/>
    <x v="0"/>
    <x v="1"/>
    <x v="1"/>
    <x v="1"/>
  </r>
  <r>
    <n v="2631"/>
    <s v="C1123"/>
    <x v="22"/>
    <s v="23 days"/>
    <x v="43"/>
    <x v="105"/>
    <s v="2 days"/>
    <x v="1"/>
    <s v="New"/>
    <s v="Standard"/>
    <n v="23"/>
    <n v="2"/>
    <n v="3371"/>
    <n v="6742"/>
    <n v="6742"/>
    <x v="1"/>
    <x v="0"/>
    <x v="0"/>
    <x v="0"/>
  </r>
  <r>
    <n v="2632"/>
    <s v="C1044"/>
    <x v="222"/>
    <s v="52 days"/>
    <x v="186"/>
    <x v="97"/>
    <s v="5 days"/>
    <x v="1"/>
    <s v="New"/>
    <s v="Deluxe"/>
    <n v="52"/>
    <n v="5"/>
    <n v="4473"/>
    <n v="22365"/>
    <n v="22365"/>
    <x v="0"/>
    <x v="0"/>
    <x v="0"/>
    <x v="1"/>
  </r>
  <r>
    <n v="2633"/>
    <s v="C0419"/>
    <x v="93"/>
    <s v="30 days"/>
    <x v="33"/>
    <x v="98"/>
    <s v="1 days"/>
    <x v="1"/>
    <s v="Returning"/>
    <s v="Suite"/>
    <n v="30"/>
    <n v="1"/>
    <n v="8847"/>
    <n v="8847"/>
    <n v="0"/>
    <x v="1"/>
    <x v="1"/>
    <x v="1"/>
    <x v="0"/>
  </r>
  <r>
    <n v="2634"/>
    <s v="C0690"/>
    <x v="180"/>
    <s v="33 days"/>
    <x v="53"/>
    <x v="365"/>
    <s v="4 days"/>
    <x v="4"/>
    <s v="Returning"/>
    <s v="Suite"/>
    <n v="33"/>
    <n v="4"/>
    <n v="7147"/>
    <n v="28588"/>
    <n v="0"/>
    <x v="0"/>
    <x v="1"/>
    <x v="1"/>
    <x v="1"/>
  </r>
  <r>
    <n v="2635"/>
    <s v="C0850"/>
    <x v="68"/>
    <s v="57 days"/>
    <x v="265"/>
    <x v="138"/>
    <s v="1 days"/>
    <x v="0"/>
    <s v="Returning"/>
    <s v="Suite"/>
    <n v="57"/>
    <n v="1"/>
    <n v="4310"/>
    <n v="4310"/>
    <n v="0"/>
    <x v="0"/>
    <x v="1"/>
    <x v="1"/>
    <x v="1"/>
  </r>
  <r>
    <n v="2636"/>
    <s v="C0062"/>
    <x v="353"/>
    <s v="52 days"/>
    <x v="331"/>
    <x v="257"/>
    <s v="4 days"/>
    <x v="1"/>
    <s v="Returning"/>
    <s v="Deluxe"/>
    <n v="52"/>
    <n v="4"/>
    <n v="6918"/>
    <n v="27672"/>
    <n v="0"/>
    <x v="0"/>
    <x v="1"/>
    <x v="1"/>
    <x v="1"/>
  </r>
  <r>
    <n v="2637"/>
    <s v="C1169"/>
    <x v="136"/>
    <s v="9 days"/>
    <x v="193"/>
    <x v="78"/>
    <s v="5 days"/>
    <x v="4"/>
    <s v="Returning"/>
    <s v="Standard"/>
    <n v="9"/>
    <n v="5"/>
    <n v="5141"/>
    <n v="25705"/>
    <n v="25705"/>
    <x v="0"/>
    <x v="0"/>
    <x v="0"/>
    <x v="1"/>
  </r>
  <r>
    <n v="2638"/>
    <s v="C0216"/>
    <x v="204"/>
    <s v="54 days"/>
    <x v="144"/>
    <x v="140"/>
    <s v="4 days"/>
    <x v="3"/>
    <s v="Returning"/>
    <s v="Deluxe"/>
    <n v="54"/>
    <n v="4"/>
    <n v="4728"/>
    <n v="18912"/>
    <n v="0"/>
    <x v="0"/>
    <x v="1"/>
    <x v="1"/>
    <x v="0"/>
  </r>
  <r>
    <n v="2639"/>
    <s v="C0003"/>
    <x v="81"/>
    <s v="47 days"/>
    <x v="26"/>
    <x v="1"/>
    <s v="4 days"/>
    <x v="2"/>
    <s v="New"/>
    <s v="Standard"/>
    <n v="47"/>
    <n v="4"/>
    <n v="5891"/>
    <n v="23564"/>
    <n v="0"/>
    <x v="0"/>
    <x v="1"/>
    <x v="1"/>
    <x v="0"/>
  </r>
  <r>
    <n v="2640"/>
    <s v="C0160"/>
    <x v="99"/>
    <s v="1 days"/>
    <x v="214"/>
    <x v="264"/>
    <s v="3 days"/>
    <x v="0"/>
    <s v="New"/>
    <s v="Deluxe"/>
    <n v="1"/>
    <n v="3"/>
    <n v="6678"/>
    <n v="20034"/>
    <n v="20034"/>
    <x v="1"/>
    <x v="0"/>
    <x v="0"/>
    <x v="1"/>
  </r>
  <r>
    <n v="2641"/>
    <s v="C0781"/>
    <x v="241"/>
    <s v="44 days"/>
    <x v="94"/>
    <x v="171"/>
    <s v="5 days"/>
    <x v="0"/>
    <s v="New"/>
    <s v="Deluxe"/>
    <n v="44"/>
    <n v="5"/>
    <n v="4850"/>
    <n v="24250"/>
    <n v="24250"/>
    <x v="1"/>
    <x v="0"/>
    <x v="0"/>
    <x v="0"/>
  </r>
  <r>
    <n v="2642"/>
    <s v="C1144"/>
    <x v="324"/>
    <s v="35 days"/>
    <x v="382"/>
    <x v="218"/>
    <s v="2 days"/>
    <x v="3"/>
    <s v="Returning"/>
    <s v="Suite"/>
    <n v="35"/>
    <n v="2"/>
    <n v="6857"/>
    <n v="13714"/>
    <n v="13714"/>
    <x v="1"/>
    <x v="0"/>
    <x v="0"/>
    <x v="1"/>
  </r>
  <r>
    <n v="2643"/>
    <s v="C0893"/>
    <x v="312"/>
    <s v="11 days"/>
    <x v="386"/>
    <x v="306"/>
    <s v="2 days"/>
    <x v="0"/>
    <s v="Returning"/>
    <s v="Deluxe"/>
    <n v="11"/>
    <n v="2"/>
    <n v="7379"/>
    <n v="14758"/>
    <n v="14758"/>
    <x v="1"/>
    <x v="0"/>
    <x v="0"/>
    <x v="1"/>
  </r>
  <r>
    <n v="2644"/>
    <s v="C1113"/>
    <x v="44"/>
    <s v="34 days"/>
    <x v="24"/>
    <x v="258"/>
    <s v="5 days"/>
    <x v="0"/>
    <s v="Returning"/>
    <s v="Standard"/>
    <n v="34"/>
    <n v="5"/>
    <n v="7819"/>
    <n v="39095"/>
    <n v="39095"/>
    <x v="1"/>
    <x v="0"/>
    <x v="0"/>
    <x v="0"/>
  </r>
  <r>
    <n v="2645"/>
    <s v="C0329"/>
    <x v="39"/>
    <s v="16 days"/>
    <x v="160"/>
    <x v="177"/>
    <s v="2 days"/>
    <x v="0"/>
    <s v="New"/>
    <s v="Deluxe"/>
    <n v="16"/>
    <n v="2"/>
    <n v="7509"/>
    <n v="15018"/>
    <n v="0"/>
    <x v="1"/>
    <x v="1"/>
    <x v="1"/>
    <x v="0"/>
  </r>
  <r>
    <n v="2646"/>
    <s v="C0580"/>
    <x v="146"/>
    <s v="9 days"/>
    <x v="391"/>
    <x v="372"/>
    <s v="5 days"/>
    <x v="0"/>
    <s v="Returning"/>
    <s v="Deluxe"/>
    <n v="9"/>
    <n v="5"/>
    <n v="5239"/>
    <n v="26195"/>
    <n v="26195"/>
    <x v="0"/>
    <x v="0"/>
    <x v="0"/>
    <x v="1"/>
  </r>
  <r>
    <n v="2647"/>
    <s v="C1381"/>
    <x v="59"/>
    <s v="32 days"/>
    <x v="251"/>
    <x v="252"/>
    <s v="2 days"/>
    <x v="4"/>
    <s v="New"/>
    <s v="Standard"/>
    <n v="32"/>
    <n v="2"/>
    <n v="7539"/>
    <n v="15078"/>
    <n v="15078"/>
    <x v="1"/>
    <x v="0"/>
    <x v="0"/>
    <x v="0"/>
  </r>
  <r>
    <n v="2648"/>
    <s v="C1291"/>
    <x v="17"/>
    <s v="15 days"/>
    <x v="258"/>
    <x v="389"/>
    <s v="3 days"/>
    <x v="4"/>
    <s v="Returning"/>
    <s v="Suite"/>
    <n v="15"/>
    <n v="3"/>
    <n v="5230"/>
    <n v="15690"/>
    <n v="0"/>
    <x v="0"/>
    <x v="1"/>
    <x v="1"/>
    <x v="1"/>
  </r>
  <r>
    <n v="2649"/>
    <s v="C0952"/>
    <x v="295"/>
    <s v="12 days"/>
    <x v="149"/>
    <x v="359"/>
    <s v="2 days"/>
    <x v="2"/>
    <s v="Returning"/>
    <s v="Standard"/>
    <n v="12"/>
    <n v="2"/>
    <n v="3818"/>
    <n v="7636"/>
    <n v="0"/>
    <x v="0"/>
    <x v="1"/>
    <x v="1"/>
    <x v="0"/>
  </r>
  <r>
    <n v="2650"/>
    <s v="C1347"/>
    <x v="337"/>
    <s v="33 days"/>
    <x v="338"/>
    <x v="86"/>
    <s v="4 days"/>
    <x v="0"/>
    <s v="Returning"/>
    <s v="Standard"/>
    <n v="33"/>
    <n v="4"/>
    <n v="4035"/>
    <n v="16140"/>
    <n v="16140"/>
    <x v="0"/>
    <x v="0"/>
    <x v="0"/>
    <x v="0"/>
  </r>
  <r>
    <n v="2651"/>
    <s v="C0635"/>
    <x v="245"/>
    <s v="45 days"/>
    <x v="329"/>
    <x v="160"/>
    <s v="5 days"/>
    <x v="3"/>
    <s v="New"/>
    <s v="Standard"/>
    <n v="45"/>
    <n v="5"/>
    <n v="7284"/>
    <n v="36420"/>
    <n v="36420"/>
    <x v="0"/>
    <x v="0"/>
    <x v="0"/>
    <x v="0"/>
  </r>
  <r>
    <n v="2652"/>
    <s v="C0988"/>
    <x v="313"/>
    <s v="14 days"/>
    <x v="54"/>
    <x v="54"/>
    <s v="1 days"/>
    <x v="1"/>
    <s v="Returning"/>
    <s v="Deluxe"/>
    <n v="14"/>
    <n v="1"/>
    <n v="4943"/>
    <n v="4943"/>
    <n v="0"/>
    <x v="0"/>
    <x v="1"/>
    <x v="1"/>
    <x v="0"/>
  </r>
  <r>
    <n v="2653"/>
    <s v="C1219"/>
    <x v="234"/>
    <s v="57 days"/>
    <x v="286"/>
    <x v="296"/>
    <s v="1 days"/>
    <x v="2"/>
    <s v="New"/>
    <s v="Deluxe"/>
    <n v="57"/>
    <n v="1"/>
    <n v="4272"/>
    <n v="4272"/>
    <n v="4272"/>
    <x v="0"/>
    <x v="0"/>
    <x v="0"/>
    <x v="0"/>
  </r>
  <r>
    <n v="2654"/>
    <s v="C0921"/>
    <x v="156"/>
    <s v="57 days"/>
    <x v="350"/>
    <x v="359"/>
    <s v="5 days"/>
    <x v="1"/>
    <s v="Returning"/>
    <s v="Standard"/>
    <n v="57"/>
    <n v="5"/>
    <n v="5709"/>
    <n v="28545"/>
    <n v="0"/>
    <x v="1"/>
    <x v="1"/>
    <x v="1"/>
    <x v="1"/>
  </r>
  <r>
    <n v="2655"/>
    <s v="C0738"/>
    <x v="177"/>
    <s v="8 days"/>
    <x v="50"/>
    <x v="50"/>
    <s v="3 days"/>
    <x v="1"/>
    <s v="Returning"/>
    <s v="Standard"/>
    <n v="8"/>
    <n v="3"/>
    <n v="7434"/>
    <n v="22302"/>
    <n v="22302"/>
    <x v="0"/>
    <x v="0"/>
    <x v="0"/>
    <x v="0"/>
  </r>
  <r>
    <n v="2656"/>
    <s v="C1356"/>
    <x v="263"/>
    <s v="8 days"/>
    <x v="380"/>
    <x v="23"/>
    <s v="2 days"/>
    <x v="0"/>
    <s v="Returning"/>
    <s v="Suite"/>
    <n v="8"/>
    <n v="2"/>
    <n v="3377"/>
    <n v="6754"/>
    <n v="6754"/>
    <x v="0"/>
    <x v="0"/>
    <x v="0"/>
    <x v="0"/>
  </r>
  <r>
    <n v="2657"/>
    <s v="C0170"/>
    <x v="354"/>
    <s v="27 days"/>
    <x v="75"/>
    <x v="30"/>
    <s v="3 days"/>
    <x v="3"/>
    <s v="Returning"/>
    <s v="Deluxe"/>
    <n v="27"/>
    <n v="3"/>
    <n v="5370"/>
    <n v="16110"/>
    <n v="0"/>
    <x v="1"/>
    <x v="1"/>
    <x v="1"/>
    <x v="1"/>
  </r>
  <r>
    <n v="2658"/>
    <s v="C0521"/>
    <x v="61"/>
    <s v="12 days"/>
    <x v="392"/>
    <x v="399"/>
    <s v="1 days"/>
    <x v="1"/>
    <s v="New"/>
    <s v="Deluxe"/>
    <n v="12"/>
    <n v="1"/>
    <n v="5700"/>
    <n v="5700"/>
    <n v="0"/>
    <x v="1"/>
    <x v="1"/>
    <x v="1"/>
    <x v="1"/>
  </r>
  <r>
    <n v="2659"/>
    <s v="C1487"/>
    <x v="354"/>
    <s v="1 days"/>
    <x v="294"/>
    <x v="248"/>
    <s v="5 days"/>
    <x v="1"/>
    <s v="Returning"/>
    <s v="Deluxe"/>
    <n v="1"/>
    <n v="5"/>
    <n v="6644"/>
    <n v="33220"/>
    <n v="33220"/>
    <x v="1"/>
    <x v="0"/>
    <x v="0"/>
    <x v="1"/>
  </r>
  <r>
    <n v="2660"/>
    <s v="C0040"/>
    <x v="181"/>
    <s v="43 days"/>
    <x v="356"/>
    <x v="175"/>
    <s v="5 days"/>
    <x v="2"/>
    <s v="New"/>
    <s v="Deluxe"/>
    <n v="43"/>
    <n v="5"/>
    <n v="6247"/>
    <n v="31235"/>
    <n v="0"/>
    <x v="1"/>
    <x v="1"/>
    <x v="1"/>
    <x v="0"/>
  </r>
  <r>
    <n v="2661"/>
    <s v="C1285"/>
    <x v="121"/>
    <s v="40 days"/>
    <x v="3"/>
    <x v="3"/>
    <s v="3 days"/>
    <x v="3"/>
    <s v="Returning"/>
    <s v="Standard"/>
    <n v="40"/>
    <n v="3"/>
    <n v="5336"/>
    <n v="16008"/>
    <n v="0"/>
    <x v="1"/>
    <x v="1"/>
    <x v="1"/>
    <x v="0"/>
  </r>
  <r>
    <n v="2662"/>
    <s v="C1419"/>
    <x v="120"/>
    <s v="42 days"/>
    <x v="193"/>
    <x v="177"/>
    <s v="3 days"/>
    <x v="3"/>
    <s v="Returning"/>
    <s v="Standard"/>
    <n v="42"/>
    <n v="3"/>
    <n v="2792"/>
    <n v="8376"/>
    <n v="8376"/>
    <x v="1"/>
    <x v="0"/>
    <x v="0"/>
    <x v="1"/>
  </r>
  <r>
    <n v="2663"/>
    <s v="C0955"/>
    <x v="226"/>
    <s v="51 days"/>
    <x v="308"/>
    <x v="202"/>
    <s v="2 days"/>
    <x v="1"/>
    <s v="Returning"/>
    <s v="Suite"/>
    <n v="51"/>
    <n v="2"/>
    <n v="4151"/>
    <n v="8302"/>
    <n v="8302"/>
    <x v="1"/>
    <x v="0"/>
    <x v="0"/>
    <x v="1"/>
  </r>
  <r>
    <n v="2664"/>
    <s v="C1250"/>
    <x v="268"/>
    <s v="11 days"/>
    <x v="62"/>
    <x v="292"/>
    <s v="4 days"/>
    <x v="3"/>
    <s v="New"/>
    <s v="Deluxe"/>
    <n v="11"/>
    <n v="4"/>
    <n v="7131"/>
    <n v="28524"/>
    <n v="28524"/>
    <x v="0"/>
    <x v="0"/>
    <x v="0"/>
    <x v="1"/>
  </r>
  <r>
    <n v="2665"/>
    <s v="C0984"/>
    <x v="346"/>
    <s v="39 days"/>
    <x v="332"/>
    <x v="284"/>
    <s v="4 days"/>
    <x v="2"/>
    <s v="Returning"/>
    <s v="Deluxe"/>
    <n v="39"/>
    <n v="4"/>
    <n v="6906"/>
    <n v="27624"/>
    <n v="27624"/>
    <x v="1"/>
    <x v="0"/>
    <x v="0"/>
    <x v="1"/>
  </r>
  <r>
    <n v="2666"/>
    <s v="C1148"/>
    <x v="336"/>
    <s v="43 days"/>
    <x v="200"/>
    <x v="107"/>
    <s v="2 days"/>
    <x v="2"/>
    <s v="New"/>
    <s v="Standard"/>
    <n v="43"/>
    <n v="2"/>
    <n v="3036"/>
    <n v="6072"/>
    <n v="0"/>
    <x v="0"/>
    <x v="1"/>
    <x v="1"/>
    <x v="0"/>
  </r>
  <r>
    <n v="2667"/>
    <s v="C0975"/>
    <x v="56"/>
    <s v="31 days"/>
    <x v="34"/>
    <x v="31"/>
    <s v="4 days"/>
    <x v="2"/>
    <s v="New"/>
    <s v="Suite"/>
    <n v="31"/>
    <n v="4"/>
    <n v="8522"/>
    <n v="34088"/>
    <n v="0"/>
    <x v="1"/>
    <x v="1"/>
    <x v="1"/>
    <x v="0"/>
  </r>
  <r>
    <n v="2668"/>
    <s v="C0038"/>
    <x v="42"/>
    <s v="17 days"/>
    <x v="126"/>
    <x v="156"/>
    <s v="1 days"/>
    <x v="0"/>
    <s v="Returning"/>
    <s v="Standard"/>
    <n v="17"/>
    <n v="1"/>
    <n v="5186"/>
    <n v="5186"/>
    <n v="5186"/>
    <x v="1"/>
    <x v="0"/>
    <x v="0"/>
    <x v="0"/>
  </r>
  <r>
    <n v="2669"/>
    <s v="C0328"/>
    <x v="81"/>
    <s v="33 days"/>
    <x v="381"/>
    <x v="185"/>
    <s v="4 days"/>
    <x v="1"/>
    <s v="New"/>
    <s v="Deluxe"/>
    <n v="33"/>
    <n v="4"/>
    <n v="2733"/>
    <n v="10932"/>
    <n v="0"/>
    <x v="0"/>
    <x v="1"/>
    <x v="1"/>
    <x v="0"/>
  </r>
  <r>
    <n v="2670"/>
    <s v="C1275"/>
    <x v="353"/>
    <s v="32 days"/>
    <x v="56"/>
    <x v="68"/>
    <s v="2 days"/>
    <x v="3"/>
    <s v="Returning"/>
    <s v="Deluxe"/>
    <n v="32"/>
    <n v="2"/>
    <n v="7828"/>
    <n v="15656"/>
    <n v="0"/>
    <x v="1"/>
    <x v="1"/>
    <x v="1"/>
    <x v="0"/>
  </r>
  <r>
    <n v="2671"/>
    <s v="C1200"/>
    <x v="283"/>
    <s v="58 days"/>
    <x v="228"/>
    <x v="0"/>
    <s v="4 days"/>
    <x v="2"/>
    <s v="New"/>
    <s v="Suite"/>
    <n v="58"/>
    <n v="4"/>
    <n v="5152"/>
    <n v="20608"/>
    <n v="0"/>
    <x v="1"/>
    <x v="1"/>
    <x v="1"/>
    <x v="1"/>
  </r>
  <r>
    <n v="2672"/>
    <s v="C0914"/>
    <x v="248"/>
    <s v="29 days"/>
    <x v="234"/>
    <x v="166"/>
    <s v="5 days"/>
    <x v="1"/>
    <s v="New"/>
    <s v="Standard"/>
    <n v="29"/>
    <n v="5"/>
    <n v="8737"/>
    <n v="43685"/>
    <n v="0"/>
    <x v="1"/>
    <x v="1"/>
    <x v="1"/>
    <x v="0"/>
  </r>
  <r>
    <n v="2673"/>
    <s v="C0454"/>
    <x v="320"/>
    <s v="21 days"/>
    <x v="266"/>
    <x v="165"/>
    <s v="3 days"/>
    <x v="1"/>
    <s v="New"/>
    <s v="Deluxe"/>
    <n v="21"/>
    <n v="3"/>
    <n v="4874"/>
    <n v="14622"/>
    <n v="14622"/>
    <x v="1"/>
    <x v="0"/>
    <x v="0"/>
    <x v="1"/>
  </r>
  <r>
    <n v="2674"/>
    <s v="C0037"/>
    <x v="163"/>
    <s v="21 days"/>
    <x v="162"/>
    <x v="96"/>
    <s v="1 days"/>
    <x v="0"/>
    <s v="New"/>
    <s v="Deluxe"/>
    <n v="21"/>
    <n v="1"/>
    <n v="4772"/>
    <n v="4772"/>
    <n v="0"/>
    <x v="1"/>
    <x v="1"/>
    <x v="1"/>
    <x v="1"/>
  </r>
  <r>
    <n v="2675"/>
    <s v="C1340"/>
    <x v="114"/>
    <s v="40 days"/>
    <x v="94"/>
    <x v="171"/>
    <s v="5 days"/>
    <x v="3"/>
    <s v="Returning"/>
    <s v="Suite"/>
    <n v="40"/>
    <n v="5"/>
    <n v="3466"/>
    <n v="17330"/>
    <n v="0"/>
    <x v="1"/>
    <x v="1"/>
    <x v="1"/>
    <x v="1"/>
  </r>
  <r>
    <n v="2676"/>
    <s v="C0973"/>
    <x v="279"/>
    <s v="23 days"/>
    <x v="296"/>
    <x v="394"/>
    <s v="5 days"/>
    <x v="3"/>
    <s v="New"/>
    <s v="Deluxe"/>
    <n v="23"/>
    <n v="5"/>
    <n v="3389"/>
    <n v="16945"/>
    <n v="0"/>
    <x v="1"/>
    <x v="1"/>
    <x v="1"/>
    <x v="0"/>
  </r>
  <r>
    <n v="2677"/>
    <s v="C0796"/>
    <x v="111"/>
    <s v="56 days"/>
    <x v="352"/>
    <x v="381"/>
    <s v="2 days"/>
    <x v="2"/>
    <s v="Returning"/>
    <s v="Deluxe"/>
    <n v="56"/>
    <n v="2"/>
    <n v="6363"/>
    <n v="12726"/>
    <n v="0"/>
    <x v="0"/>
    <x v="1"/>
    <x v="1"/>
    <x v="1"/>
  </r>
  <r>
    <n v="2678"/>
    <s v="C0973"/>
    <x v="322"/>
    <s v="6 days"/>
    <x v="267"/>
    <x v="26"/>
    <s v="3 days"/>
    <x v="2"/>
    <s v="New"/>
    <s v="Standard"/>
    <n v="6"/>
    <n v="3"/>
    <n v="8654"/>
    <n v="25962"/>
    <n v="25962"/>
    <x v="1"/>
    <x v="0"/>
    <x v="0"/>
    <x v="0"/>
  </r>
  <r>
    <n v="2679"/>
    <s v="C0593"/>
    <x v="16"/>
    <s v="22 days"/>
    <x v="306"/>
    <x v="356"/>
    <s v="3 days"/>
    <x v="1"/>
    <s v="Returning"/>
    <s v="Suite"/>
    <n v="22"/>
    <n v="3"/>
    <n v="5900"/>
    <n v="17700"/>
    <n v="17700"/>
    <x v="0"/>
    <x v="0"/>
    <x v="0"/>
    <x v="1"/>
  </r>
  <r>
    <n v="2680"/>
    <s v="C1138"/>
    <x v="203"/>
    <s v="50 days"/>
    <x v="350"/>
    <x v="192"/>
    <s v="1 days"/>
    <x v="3"/>
    <s v="Returning"/>
    <s v="Suite"/>
    <n v="50"/>
    <n v="1"/>
    <n v="2534"/>
    <n v="2534"/>
    <n v="2534"/>
    <x v="0"/>
    <x v="0"/>
    <x v="0"/>
    <x v="0"/>
  </r>
  <r>
    <n v="2681"/>
    <s v="C1064"/>
    <x v="236"/>
    <s v="38 days"/>
    <x v="258"/>
    <x v="207"/>
    <s v="2 days"/>
    <x v="3"/>
    <s v="New"/>
    <s v="Suite"/>
    <n v="38"/>
    <n v="2"/>
    <n v="7042"/>
    <n v="14084"/>
    <n v="14084"/>
    <x v="0"/>
    <x v="0"/>
    <x v="0"/>
    <x v="1"/>
  </r>
  <r>
    <n v="2682"/>
    <s v="C1325"/>
    <x v="226"/>
    <s v="37 days"/>
    <x v="227"/>
    <x v="220"/>
    <s v="1 days"/>
    <x v="2"/>
    <s v="New"/>
    <s v="Standard"/>
    <n v="37"/>
    <n v="1"/>
    <n v="6023"/>
    <n v="6023"/>
    <n v="0"/>
    <x v="0"/>
    <x v="1"/>
    <x v="1"/>
    <x v="0"/>
  </r>
  <r>
    <n v="2683"/>
    <s v="C0224"/>
    <x v="197"/>
    <s v="45 days"/>
    <x v="272"/>
    <x v="358"/>
    <s v="4 days"/>
    <x v="4"/>
    <s v="Returning"/>
    <s v="Suite"/>
    <n v="45"/>
    <n v="4"/>
    <n v="4263"/>
    <n v="17052"/>
    <n v="0"/>
    <x v="0"/>
    <x v="1"/>
    <x v="1"/>
    <x v="1"/>
  </r>
  <r>
    <n v="2684"/>
    <s v="C0318"/>
    <x v="114"/>
    <s v="51 days"/>
    <x v="4"/>
    <x v="256"/>
    <s v="5 days"/>
    <x v="1"/>
    <s v="New"/>
    <s v="Deluxe"/>
    <n v="51"/>
    <n v="5"/>
    <n v="5791"/>
    <n v="28955"/>
    <n v="0"/>
    <x v="0"/>
    <x v="1"/>
    <x v="1"/>
    <x v="1"/>
  </r>
  <r>
    <n v="2685"/>
    <s v="C0349"/>
    <x v="355"/>
    <s v="54 days"/>
    <x v="130"/>
    <x v="288"/>
    <s v="1 days"/>
    <x v="3"/>
    <s v="New"/>
    <s v="Suite"/>
    <n v="54"/>
    <n v="1"/>
    <n v="4988"/>
    <n v="4988"/>
    <n v="4988"/>
    <x v="0"/>
    <x v="0"/>
    <x v="0"/>
    <x v="1"/>
  </r>
  <r>
    <n v="2686"/>
    <s v="C0115"/>
    <x v="330"/>
    <s v="8 days"/>
    <x v="341"/>
    <x v="328"/>
    <s v="5 days"/>
    <x v="0"/>
    <s v="New"/>
    <s v="Deluxe"/>
    <n v="8"/>
    <n v="5"/>
    <n v="5200"/>
    <n v="26000"/>
    <n v="26000"/>
    <x v="1"/>
    <x v="0"/>
    <x v="0"/>
    <x v="1"/>
  </r>
  <r>
    <n v="2687"/>
    <s v="C0698"/>
    <x v="274"/>
    <s v="41 days"/>
    <x v="286"/>
    <x v="272"/>
    <s v="2 days"/>
    <x v="0"/>
    <s v="New"/>
    <s v="Suite"/>
    <n v="41"/>
    <n v="2"/>
    <n v="4058"/>
    <n v="8116"/>
    <n v="0"/>
    <x v="1"/>
    <x v="1"/>
    <x v="1"/>
    <x v="0"/>
  </r>
  <r>
    <n v="2688"/>
    <s v="C1347"/>
    <x v="358"/>
    <s v="49 days"/>
    <x v="123"/>
    <x v="227"/>
    <s v="4 days"/>
    <x v="4"/>
    <s v="New"/>
    <s v="Suite"/>
    <n v="49"/>
    <n v="4"/>
    <n v="7190"/>
    <n v="28760"/>
    <n v="0"/>
    <x v="1"/>
    <x v="1"/>
    <x v="1"/>
    <x v="0"/>
  </r>
  <r>
    <n v="2689"/>
    <s v="C1064"/>
    <x v="111"/>
    <s v="35 days"/>
    <x v="51"/>
    <x v="384"/>
    <s v="2 days"/>
    <x v="2"/>
    <s v="New"/>
    <s v="Standard"/>
    <n v="35"/>
    <n v="2"/>
    <n v="8621"/>
    <n v="17242"/>
    <n v="0"/>
    <x v="0"/>
    <x v="1"/>
    <x v="1"/>
    <x v="0"/>
  </r>
  <r>
    <n v="2690"/>
    <s v="C0040"/>
    <x v="344"/>
    <s v="51 days"/>
    <x v="369"/>
    <x v="237"/>
    <s v="4 days"/>
    <x v="2"/>
    <s v="New"/>
    <s v="Suite"/>
    <n v="51"/>
    <n v="4"/>
    <n v="4776"/>
    <n v="19104"/>
    <n v="0"/>
    <x v="1"/>
    <x v="1"/>
    <x v="1"/>
    <x v="1"/>
  </r>
  <r>
    <n v="2691"/>
    <s v="C1313"/>
    <x v="1"/>
    <s v="11 days"/>
    <x v="187"/>
    <x v="312"/>
    <s v="4 days"/>
    <x v="2"/>
    <s v="New"/>
    <s v="Suite"/>
    <n v="11"/>
    <n v="4"/>
    <n v="6506"/>
    <n v="26024"/>
    <n v="0"/>
    <x v="0"/>
    <x v="1"/>
    <x v="1"/>
    <x v="1"/>
  </r>
  <r>
    <n v="2692"/>
    <s v="C1286"/>
    <x v="36"/>
    <s v="24 days"/>
    <x v="145"/>
    <x v="109"/>
    <s v="5 days"/>
    <x v="0"/>
    <s v="New"/>
    <s v="Standard"/>
    <n v="24"/>
    <n v="5"/>
    <n v="6939"/>
    <n v="34695"/>
    <n v="34695"/>
    <x v="0"/>
    <x v="0"/>
    <x v="0"/>
    <x v="1"/>
  </r>
  <r>
    <n v="2693"/>
    <s v="C0216"/>
    <x v="326"/>
    <s v="49 days"/>
    <x v="63"/>
    <x v="200"/>
    <s v="2 days"/>
    <x v="2"/>
    <s v="Returning"/>
    <s v="Deluxe"/>
    <n v="49"/>
    <n v="2"/>
    <n v="3603"/>
    <n v="7206"/>
    <n v="0"/>
    <x v="1"/>
    <x v="1"/>
    <x v="1"/>
    <x v="1"/>
  </r>
  <r>
    <n v="2694"/>
    <s v="C1171"/>
    <x v="106"/>
    <s v="21 days"/>
    <x v="236"/>
    <x v="41"/>
    <s v="2 days"/>
    <x v="0"/>
    <s v="New"/>
    <s v="Suite"/>
    <n v="21"/>
    <n v="2"/>
    <n v="3919"/>
    <n v="7838"/>
    <n v="0"/>
    <x v="0"/>
    <x v="1"/>
    <x v="1"/>
    <x v="1"/>
  </r>
  <r>
    <n v="2695"/>
    <s v="C0336"/>
    <x v="186"/>
    <s v="51 days"/>
    <x v="64"/>
    <x v="273"/>
    <s v="1 days"/>
    <x v="4"/>
    <s v="New"/>
    <s v="Suite"/>
    <n v="51"/>
    <n v="1"/>
    <n v="7909"/>
    <n v="7909"/>
    <n v="0"/>
    <x v="0"/>
    <x v="1"/>
    <x v="1"/>
    <x v="1"/>
  </r>
  <r>
    <n v="2696"/>
    <s v="C1192"/>
    <x v="111"/>
    <s v="2 days"/>
    <x v="338"/>
    <x v="111"/>
    <s v="2 days"/>
    <x v="1"/>
    <s v="New"/>
    <s v="Deluxe"/>
    <n v="2"/>
    <n v="2"/>
    <n v="3978"/>
    <n v="7956"/>
    <n v="7956"/>
    <x v="1"/>
    <x v="0"/>
    <x v="0"/>
    <x v="0"/>
  </r>
  <r>
    <n v="2697"/>
    <s v="C0092"/>
    <x v="226"/>
    <s v="40 days"/>
    <x v="105"/>
    <x v="55"/>
    <s v="1 days"/>
    <x v="3"/>
    <s v="New"/>
    <s v="Standard"/>
    <n v="40"/>
    <n v="1"/>
    <n v="6414"/>
    <n v="6414"/>
    <n v="0"/>
    <x v="0"/>
    <x v="1"/>
    <x v="1"/>
    <x v="0"/>
  </r>
  <r>
    <n v="2698"/>
    <s v="C0353"/>
    <x v="359"/>
    <s v="19 days"/>
    <x v="4"/>
    <x v="167"/>
    <s v="3 days"/>
    <x v="4"/>
    <s v="New"/>
    <s v="Suite"/>
    <n v="19"/>
    <n v="3"/>
    <n v="6242"/>
    <n v="18726"/>
    <n v="0"/>
    <x v="1"/>
    <x v="1"/>
    <x v="1"/>
    <x v="0"/>
  </r>
  <r>
    <n v="2699"/>
    <s v="C0571"/>
    <x v="289"/>
    <s v="39 days"/>
    <x v="86"/>
    <x v="173"/>
    <s v="3 days"/>
    <x v="0"/>
    <s v="Returning"/>
    <s v="Standard"/>
    <n v="39"/>
    <n v="3"/>
    <n v="7747"/>
    <n v="23241"/>
    <n v="0"/>
    <x v="0"/>
    <x v="1"/>
    <x v="1"/>
    <x v="0"/>
  </r>
  <r>
    <n v="2700"/>
    <s v="C0816"/>
    <x v="99"/>
    <s v="28 days"/>
    <x v="182"/>
    <x v="123"/>
    <s v="3 days"/>
    <x v="4"/>
    <s v="Returning"/>
    <s v="Deluxe"/>
    <n v="28"/>
    <n v="3"/>
    <n v="5456"/>
    <n v="16368"/>
    <n v="0"/>
    <x v="0"/>
    <x v="1"/>
    <x v="1"/>
    <x v="0"/>
  </r>
  <r>
    <n v="2701"/>
    <s v="C0781"/>
    <x v="31"/>
    <s v="59 days"/>
    <x v="200"/>
    <x v="107"/>
    <s v="2 days"/>
    <x v="3"/>
    <s v="New"/>
    <s v="Deluxe"/>
    <n v="59"/>
    <n v="2"/>
    <n v="8517"/>
    <n v="17034"/>
    <n v="0"/>
    <x v="1"/>
    <x v="1"/>
    <x v="1"/>
    <x v="0"/>
  </r>
  <r>
    <n v="2702"/>
    <s v="C0363"/>
    <x v="114"/>
    <s v="17 days"/>
    <x v="195"/>
    <x v="158"/>
    <s v="2 days"/>
    <x v="1"/>
    <s v="Returning"/>
    <s v="Standard"/>
    <n v="17"/>
    <n v="2"/>
    <n v="3882"/>
    <n v="7764"/>
    <n v="7764"/>
    <x v="1"/>
    <x v="0"/>
    <x v="0"/>
    <x v="0"/>
  </r>
  <r>
    <n v="2703"/>
    <s v="C0557"/>
    <x v="4"/>
    <s v="6 days"/>
    <x v="72"/>
    <x v="304"/>
    <s v="1 days"/>
    <x v="3"/>
    <s v="New"/>
    <s v="Deluxe"/>
    <n v="6"/>
    <n v="1"/>
    <n v="5074"/>
    <n v="5074"/>
    <n v="0"/>
    <x v="1"/>
    <x v="1"/>
    <x v="1"/>
    <x v="0"/>
  </r>
  <r>
    <n v="2704"/>
    <s v="C1369"/>
    <x v="238"/>
    <s v="19 days"/>
    <x v="327"/>
    <x v="82"/>
    <s v="4 days"/>
    <x v="0"/>
    <s v="New"/>
    <s v="Deluxe"/>
    <n v="19"/>
    <n v="4"/>
    <n v="5884"/>
    <n v="23536"/>
    <n v="23536"/>
    <x v="0"/>
    <x v="0"/>
    <x v="0"/>
    <x v="1"/>
  </r>
  <r>
    <n v="2705"/>
    <s v="C1194"/>
    <x v="71"/>
    <s v="56 days"/>
    <x v="328"/>
    <x v="197"/>
    <s v="1 days"/>
    <x v="3"/>
    <s v="Returning"/>
    <s v="Suite"/>
    <n v="56"/>
    <n v="1"/>
    <n v="8718"/>
    <n v="8718"/>
    <n v="0"/>
    <x v="0"/>
    <x v="1"/>
    <x v="1"/>
    <x v="1"/>
  </r>
  <r>
    <n v="2706"/>
    <s v="C0356"/>
    <x v="244"/>
    <s v="38 days"/>
    <x v="135"/>
    <x v="322"/>
    <s v="3 days"/>
    <x v="4"/>
    <s v="Returning"/>
    <s v="Standard"/>
    <n v="38"/>
    <n v="3"/>
    <n v="4069"/>
    <n v="12207"/>
    <n v="12207"/>
    <x v="1"/>
    <x v="0"/>
    <x v="0"/>
    <x v="1"/>
  </r>
  <r>
    <n v="2707"/>
    <s v="C0191"/>
    <x v="184"/>
    <s v="28 days"/>
    <x v="171"/>
    <x v="80"/>
    <s v="1 days"/>
    <x v="2"/>
    <s v="Returning"/>
    <s v="Suite"/>
    <n v="28"/>
    <n v="1"/>
    <n v="4394"/>
    <n v="4394"/>
    <n v="4394"/>
    <x v="1"/>
    <x v="0"/>
    <x v="0"/>
    <x v="1"/>
  </r>
  <r>
    <n v="2708"/>
    <s v="C0422"/>
    <x v="48"/>
    <s v="2 days"/>
    <x v="346"/>
    <x v="234"/>
    <s v="4 days"/>
    <x v="4"/>
    <s v="Returning"/>
    <s v="Standard"/>
    <n v="2"/>
    <n v="4"/>
    <n v="4743"/>
    <n v="18972"/>
    <n v="0"/>
    <x v="1"/>
    <x v="1"/>
    <x v="1"/>
    <x v="1"/>
  </r>
  <r>
    <n v="2709"/>
    <s v="C0700"/>
    <x v="167"/>
    <s v="38 days"/>
    <x v="326"/>
    <x v="5"/>
    <s v="2 days"/>
    <x v="0"/>
    <s v="Returning"/>
    <s v="Suite"/>
    <n v="38"/>
    <n v="2"/>
    <n v="4366"/>
    <n v="8732"/>
    <n v="0"/>
    <x v="0"/>
    <x v="1"/>
    <x v="1"/>
    <x v="1"/>
  </r>
  <r>
    <n v="2710"/>
    <s v="C0007"/>
    <x v="32"/>
    <s v="55 days"/>
    <x v="162"/>
    <x v="96"/>
    <s v="1 days"/>
    <x v="1"/>
    <s v="New"/>
    <s v="Deluxe"/>
    <n v="55"/>
    <n v="1"/>
    <n v="2528"/>
    <n v="2528"/>
    <n v="0"/>
    <x v="0"/>
    <x v="1"/>
    <x v="1"/>
    <x v="1"/>
  </r>
  <r>
    <n v="2711"/>
    <s v="C0133"/>
    <x v="128"/>
    <s v="37 days"/>
    <x v="188"/>
    <x v="262"/>
    <s v="3 days"/>
    <x v="3"/>
    <s v="New"/>
    <s v="Standard"/>
    <n v="37"/>
    <n v="3"/>
    <n v="3205"/>
    <n v="9615"/>
    <n v="0"/>
    <x v="1"/>
    <x v="1"/>
    <x v="1"/>
    <x v="0"/>
  </r>
  <r>
    <n v="2712"/>
    <s v="C0557"/>
    <x v="4"/>
    <s v="51 days"/>
    <x v="106"/>
    <x v="106"/>
    <s v="3 days"/>
    <x v="1"/>
    <s v="New"/>
    <s v="Standard"/>
    <n v="51"/>
    <n v="3"/>
    <n v="3520"/>
    <n v="10560"/>
    <n v="0"/>
    <x v="1"/>
    <x v="1"/>
    <x v="1"/>
    <x v="0"/>
  </r>
  <r>
    <n v="2713"/>
    <s v="C0826"/>
    <x v="251"/>
    <s v="52 days"/>
    <x v="99"/>
    <x v="179"/>
    <s v="2 days"/>
    <x v="0"/>
    <s v="Returning"/>
    <s v="Standard"/>
    <n v="52"/>
    <n v="2"/>
    <n v="4563"/>
    <n v="9126"/>
    <n v="0"/>
    <x v="1"/>
    <x v="1"/>
    <x v="1"/>
    <x v="1"/>
  </r>
  <r>
    <n v="2714"/>
    <s v="C0761"/>
    <x v="294"/>
    <s v="4 days"/>
    <x v="208"/>
    <x v="82"/>
    <s v="1 days"/>
    <x v="3"/>
    <s v="New"/>
    <s v="Standard"/>
    <n v="4"/>
    <n v="1"/>
    <n v="3946"/>
    <n v="3946"/>
    <n v="3946"/>
    <x v="0"/>
    <x v="0"/>
    <x v="0"/>
    <x v="0"/>
  </r>
  <r>
    <n v="2715"/>
    <s v="C1055"/>
    <x v="188"/>
    <s v="22 days"/>
    <x v="302"/>
    <x v="93"/>
    <s v="4 days"/>
    <x v="4"/>
    <s v="Returning"/>
    <s v="Deluxe"/>
    <n v="22"/>
    <n v="4"/>
    <n v="6164"/>
    <n v="24656"/>
    <n v="24656"/>
    <x v="1"/>
    <x v="0"/>
    <x v="0"/>
    <x v="0"/>
  </r>
  <r>
    <n v="2716"/>
    <s v="C0535"/>
    <x v="139"/>
    <s v="26 days"/>
    <x v="148"/>
    <x v="59"/>
    <s v="2 days"/>
    <x v="4"/>
    <s v="New"/>
    <s v="Deluxe"/>
    <n v="26"/>
    <n v="2"/>
    <n v="5487"/>
    <n v="10974"/>
    <n v="10974"/>
    <x v="1"/>
    <x v="0"/>
    <x v="0"/>
    <x v="0"/>
  </r>
  <r>
    <n v="2717"/>
    <s v="C0426"/>
    <x v="14"/>
    <s v="49 days"/>
    <x v="194"/>
    <x v="237"/>
    <s v="1 days"/>
    <x v="0"/>
    <s v="Returning"/>
    <s v="Deluxe"/>
    <n v="49"/>
    <n v="1"/>
    <n v="8255"/>
    <n v="8255"/>
    <n v="0"/>
    <x v="1"/>
    <x v="1"/>
    <x v="1"/>
    <x v="0"/>
  </r>
  <r>
    <n v="2718"/>
    <s v="C1418"/>
    <x v="128"/>
    <s v="43 days"/>
    <x v="359"/>
    <x v="362"/>
    <s v="5 days"/>
    <x v="3"/>
    <s v="Returning"/>
    <s v="Suite"/>
    <n v="43"/>
    <n v="5"/>
    <n v="6102"/>
    <n v="30510"/>
    <n v="0"/>
    <x v="0"/>
    <x v="1"/>
    <x v="1"/>
    <x v="0"/>
  </r>
  <r>
    <n v="2719"/>
    <s v="C0672"/>
    <x v="182"/>
    <s v="36 days"/>
    <x v="226"/>
    <x v="365"/>
    <s v="3 days"/>
    <x v="4"/>
    <s v="New"/>
    <s v="Deluxe"/>
    <n v="36"/>
    <n v="3"/>
    <n v="7562"/>
    <n v="22686"/>
    <n v="22686"/>
    <x v="0"/>
    <x v="0"/>
    <x v="0"/>
    <x v="1"/>
  </r>
  <r>
    <n v="2720"/>
    <s v="C0363"/>
    <x v="62"/>
    <s v="58 days"/>
    <x v="323"/>
    <x v="179"/>
    <s v="4 days"/>
    <x v="0"/>
    <s v="New"/>
    <s v="Suite"/>
    <n v="58"/>
    <n v="4"/>
    <n v="6185"/>
    <n v="24740"/>
    <n v="0"/>
    <x v="1"/>
    <x v="1"/>
    <x v="1"/>
    <x v="0"/>
  </r>
  <r>
    <n v="2721"/>
    <s v="C1461"/>
    <x v="176"/>
    <s v="13 days"/>
    <x v="313"/>
    <x v="252"/>
    <s v="4 days"/>
    <x v="0"/>
    <s v="New"/>
    <s v="Suite"/>
    <n v="13"/>
    <n v="4"/>
    <n v="8872"/>
    <n v="35488"/>
    <n v="0"/>
    <x v="0"/>
    <x v="1"/>
    <x v="1"/>
    <x v="1"/>
  </r>
  <r>
    <n v="2722"/>
    <s v="C0082"/>
    <x v="200"/>
    <s v="52 days"/>
    <x v="11"/>
    <x v="11"/>
    <s v="4 days"/>
    <x v="1"/>
    <s v="New"/>
    <s v="Deluxe"/>
    <n v="52"/>
    <n v="4"/>
    <n v="5868"/>
    <n v="23472"/>
    <n v="23472"/>
    <x v="1"/>
    <x v="0"/>
    <x v="0"/>
    <x v="1"/>
  </r>
  <r>
    <n v="2723"/>
    <s v="C0356"/>
    <x v="271"/>
    <s v="58 days"/>
    <x v="202"/>
    <x v="241"/>
    <s v="3 days"/>
    <x v="4"/>
    <s v="Returning"/>
    <s v="Deluxe"/>
    <n v="58"/>
    <n v="3"/>
    <n v="6081"/>
    <n v="18243"/>
    <n v="0"/>
    <x v="1"/>
    <x v="1"/>
    <x v="1"/>
    <x v="1"/>
  </r>
  <r>
    <n v="2724"/>
    <s v="C1282"/>
    <x v="304"/>
    <s v="32 days"/>
    <x v="156"/>
    <x v="77"/>
    <s v="1 days"/>
    <x v="3"/>
    <s v="New"/>
    <s v="Deluxe"/>
    <n v="32"/>
    <n v="1"/>
    <n v="5262"/>
    <n v="5262"/>
    <n v="5262"/>
    <x v="1"/>
    <x v="0"/>
    <x v="0"/>
    <x v="0"/>
  </r>
  <r>
    <n v="2725"/>
    <s v="C0589"/>
    <x v="286"/>
    <s v="17 days"/>
    <x v="335"/>
    <x v="154"/>
    <s v="2 days"/>
    <x v="4"/>
    <s v="Returning"/>
    <s v="Suite"/>
    <n v="17"/>
    <n v="2"/>
    <n v="6537"/>
    <n v="13074"/>
    <n v="13074"/>
    <x v="1"/>
    <x v="0"/>
    <x v="0"/>
    <x v="1"/>
  </r>
  <r>
    <n v="2726"/>
    <s v="C0295"/>
    <x v="320"/>
    <s v="41 days"/>
    <x v="75"/>
    <x v="347"/>
    <s v="1 days"/>
    <x v="4"/>
    <s v="New"/>
    <s v="Standard"/>
    <n v="41"/>
    <n v="1"/>
    <n v="3072"/>
    <n v="3072"/>
    <n v="0"/>
    <x v="0"/>
    <x v="1"/>
    <x v="1"/>
    <x v="1"/>
  </r>
  <r>
    <n v="2727"/>
    <s v="C1248"/>
    <x v="311"/>
    <s v="36 days"/>
    <x v="381"/>
    <x v="13"/>
    <s v="2 days"/>
    <x v="4"/>
    <s v="New"/>
    <s v="Deluxe"/>
    <n v="36"/>
    <n v="2"/>
    <n v="8202"/>
    <n v="16404"/>
    <n v="16404"/>
    <x v="1"/>
    <x v="0"/>
    <x v="0"/>
    <x v="1"/>
  </r>
  <r>
    <n v="2728"/>
    <s v="C1070"/>
    <x v="192"/>
    <s v="55 days"/>
    <x v="209"/>
    <x v="69"/>
    <s v="4 days"/>
    <x v="0"/>
    <s v="New"/>
    <s v="Suite"/>
    <n v="55"/>
    <n v="4"/>
    <n v="6588"/>
    <n v="26352"/>
    <n v="0"/>
    <x v="1"/>
    <x v="1"/>
    <x v="1"/>
    <x v="1"/>
  </r>
  <r>
    <n v="2729"/>
    <s v="C1137"/>
    <x v="46"/>
    <s v="46 days"/>
    <x v="245"/>
    <x v="169"/>
    <s v="1 days"/>
    <x v="2"/>
    <s v="New"/>
    <s v="Suite"/>
    <n v="46"/>
    <n v="1"/>
    <n v="3114"/>
    <n v="3114"/>
    <n v="0"/>
    <x v="0"/>
    <x v="1"/>
    <x v="1"/>
    <x v="0"/>
  </r>
  <r>
    <n v="2730"/>
    <s v="C1257"/>
    <x v="321"/>
    <s v="19 days"/>
    <x v="122"/>
    <x v="120"/>
    <s v="4 days"/>
    <x v="2"/>
    <s v="New"/>
    <s v="Deluxe"/>
    <n v="19"/>
    <n v="4"/>
    <n v="6550"/>
    <n v="26200"/>
    <n v="0"/>
    <x v="1"/>
    <x v="1"/>
    <x v="1"/>
    <x v="1"/>
  </r>
  <r>
    <n v="2731"/>
    <s v="C0017"/>
    <x v="183"/>
    <s v="58 days"/>
    <x v="121"/>
    <x v="118"/>
    <s v="5 days"/>
    <x v="1"/>
    <s v="Returning"/>
    <s v="Suite"/>
    <n v="58"/>
    <n v="5"/>
    <n v="2825"/>
    <n v="14125"/>
    <n v="0"/>
    <x v="0"/>
    <x v="1"/>
    <x v="1"/>
    <x v="1"/>
  </r>
  <r>
    <n v="2732"/>
    <s v="C0360"/>
    <x v="301"/>
    <s v="35 days"/>
    <x v="242"/>
    <x v="397"/>
    <s v="4 days"/>
    <x v="4"/>
    <s v="New"/>
    <s v="Deluxe"/>
    <n v="35"/>
    <n v="4"/>
    <n v="6240"/>
    <n v="24960"/>
    <n v="0"/>
    <x v="1"/>
    <x v="1"/>
    <x v="1"/>
    <x v="1"/>
  </r>
  <r>
    <n v="2733"/>
    <s v="C1247"/>
    <x v="216"/>
    <s v="46 days"/>
    <x v="144"/>
    <x v="140"/>
    <s v="4 days"/>
    <x v="2"/>
    <s v="Returning"/>
    <s v="Suite"/>
    <n v="46"/>
    <n v="4"/>
    <n v="2858"/>
    <n v="11432"/>
    <n v="0"/>
    <x v="1"/>
    <x v="1"/>
    <x v="1"/>
    <x v="1"/>
  </r>
  <r>
    <n v="2734"/>
    <s v="C0866"/>
    <x v="23"/>
    <s v="40 days"/>
    <x v="117"/>
    <x v="80"/>
    <s v="2 days"/>
    <x v="1"/>
    <s v="New"/>
    <s v="Standard"/>
    <n v="40"/>
    <n v="2"/>
    <n v="6277"/>
    <n v="12554"/>
    <n v="12554"/>
    <x v="1"/>
    <x v="0"/>
    <x v="0"/>
    <x v="0"/>
  </r>
  <r>
    <n v="2735"/>
    <s v="C0700"/>
    <x v="100"/>
    <s v="56 days"/>
    <x v="327"/>
    <x v="337"/>
    <s v="5 days"/>
    <x v="0"/>
    <s v="Returning"/>
    <s v="Suite"/>
    <n v="56"/>
    <n v="5"/>
    <n v="8406"/>
    <n v="42030"/>
    <n v="0"/>
    <x v="1"/>
    <x v="1"/>
    <x v="1"/>
    <x v="1"/>
  </r>
  <r>
    <n v="2736"/>
    <s v="C0448"/>
    <x v="128"/>
    <s v="59 days"/>
    <x v="142"/>
    <x v="338"/>
    <s v="4 days"/>
    <x v="4"/>
    <s v="New"/>
    <s v="Deluxe"/>
    <n v="59"/>
    <n v="4"/>
    <n v="4871"/>
    <n v="19484"/>
    <n v="0"/>
    <x v="0"/>
    <x v="1"/>
    <x v="1"/>
    <x v="1"/>
  </r>
  <r>
    <n v="2737"/>
    <s v="C0856"/>
    <x v="2"/>
    <s v="28 days"/>
    <x v="90"/>
    <x v="22"/>
    <s v="4 days"/>
    <x v="3"/>
    <s v="New"/>
    <s v="Standard"/>
    <n v="28"/>
    <n v="4"/>
    <n v="4221"/>
    <n v="16884"/>
    <n v="0"/>
    <x v="1"/>
    <x v="1"/>
    <x v="1"/>
    <x v="1"/>
  </r>
  <r>
    <n v="2738"/>
    <s v="C0365"/>
    <x v="316"/>
    <s v="1 days"/>
    <x v="259"/>
    <x v="17"/>
    <s v="5 days"/>
    <x v="0"/>
    <s v="New"/>
    <s v="Deluxe"/>
    <n v="1"/>
    <n v="5"/>
    <n v="3849"/>
    <n v="19245"/>
    <n v="19245"/>
    <x v="0"/>
    <x v="0"/>
    <x v="0"/>
    <x v="1"/>
  </r>
  <r>
    <n v="2739"/>
    <s v="C0675"/>
    <x v="245"/>
    <s v="42 days"/>
    <x v="80"/>
    <x v="120"/>
    <s v="5 days"/>
    <x v="1"/>
    <s v="Returning"/>
    <s v="Suite"/>
    <n v="42"/>
    <n v="5"/>
    <n v="6196"/>
    <n v="30980"/>
    <n v="0"/>
    <x v="0"/>
    <x v="1"/>
    <x v="1"/>
    <x v="1"/>
  </r>
  <r>
    <n v="2740"/>
    <s v="C1008"/>
    <x v="283"/>
    <s v="18 days"/>
    <x v="206"/>
    <x v="140"/>
    <s v="1 days"/>
    <x v="0"/>
    <s v="Returning"/>
    <s v="Standard"/>
    <n v="18"/>
    <n v="1"/>
    <n v="6396"/>
    <n v="6396"/>
    <n v="0"/>
    <x v="0"/>
    <x v="1"/>
    <x v="1"/>
    <x v="1"/>
  </r>
  <r>
    <n v="2741"/>
    <s v="C1350"/>
    <x v="279"/>
    <s v="48 days"/>
    <x v="362"/>
    <x v="64"/>
    <s v="2 days"/>
    <x v="3"/>
    <s v="New"/>
    <s v="Standard"/>
    <n v="48"/>
    <n v="2"/>
    <n v="6760"/>
    <n v="13520"/>
    <n v="13520"/>
    <x v="1"/>
    <x v="0"/>
    <x v="0"/>
    <x v="0"/>
  </r>
  <r>
    <n v="2742"/>
    <s v="C0467"/>
    <x v="333"/>
    <s v="40 days"/>
    <x v="170"/>
    <x v="257"/>
    <s v="5 days"/>
    <x v="0"/>
    <s v="New"/>
    <s v="Suite"/>
    <n v="40"/>
    <n v="5"/>
    <n v="4096"/>
    <n v="20480"/>
    <n v="20480"/>
    <x v="0"/>
    <x v="0"/>
    <x v="0"/>
    <x v="1"/>
  </r>
  <r>
    <n v="2743"/>
    <s v="C0414"/>
    <x v="84"/>
    <s v="33 days"/>
    <x v="382"/>
    <x v="221"/>
    <s v="5 days"/>
    <x v="1"/>
    <s v="New"/>
    <s v="Standard"/>
    <n v="33"/>
    <n v="5"/>
    <n v="4127"/>
    <n v="20635"/>
    <n v="0"/>
    <x v="0"/>
    <x v="1"/>
    <x v="1"/>
    <x v="0"/>
  </r>
  <r>
    <n v="2744"/>
    <s v="C1479"/>
    <x v="59"/>
    <s v="12 days"/>
    <x v="7"/>
    <x v="366"/>
    <s v="3 days"/>
    <x v="3"/>
    <s v="Returning"/>
    <s v="Standard"/>
    <n v="12"/>
    <n v="3"/>
    <n v="5002"/>
    <n v="15006"/>
    <n v="0"/>
    <x v="0"/>
    <x v="1"/>
    <x v="1"/>
    <x v="0"/>
  </r>
  <r>
    <n v="2745"/>
    <s v="C0586"/>
    <x v="88"/>
    <s v="8 days"/>
    <x v="393"/>
    <x v="400"/>
    <s v="5 days"/>
    <x v="3"/>
    <s v="New"/>
    <s v="Standard"/>
    <n v="8"/>
    <n v="5"/>
    <n v="7772"/>
    <n v="38860"/>
    <n v="38860"/>
    <x v="1"/>
    <x v="0"/>
    <x v="0"/>
    <x v="1"/>
  </r>
  <r>
    <n v="2746"/>
    <s v="C1257"/>
    <x v="80"/>
    <s v="24 days"/>
    <x v="32"/>
    <x v="129"/>
    <s v="2 days"/>
    <x v="0"/>
    <s v="Returning"/>
    <s v="Deluxe"/>
    <n v="24"/>
    <n v="2"/>
    <n v="6308"/>
    <n v="12616"/>
    <n v="12616"/>
    <x v="1"/>
    <x v="0"/>
    <x v="0"/>
    <x v="0"/>
  </r>
  <r>
    <n v="2747"/>
    <s v="C1248"/>
    <x v="114"/>
    <s v="16 days"/>
    <x v="65"/>
    <x v="64"/>
    <s v="4 days"/>
    <x v="3"/>
    <s v="New"/>
    <s v="Deluxe"/>
    <n v="16"/>
    <n v="4"/>
    <n v="7746"/>
    <n v="30984"/>
    <n v="0"/>
    <x v="0"/>
    <x v="1"/>
    <x v="1"/>
    <x v="1"/>
  </r>
  <r>
    <n v="2748"/>
    <s v="C0994"/>
    <x v="290"/>
    <s v="50 days"/>
    <x v="243"/>
    <x v="132"/>
    <s v="4 days"/>
    <x v="0"/>
    <s v="Returning"/>
    <s v="Standard"/>
    <n v="50"/>
    <n v="4"/>
    <n v="2692"/>
    <n v="10768"/>
    <n v="0"/>
    <x v="0"/>
    <x v="1"/>
    <x v="1"/>
    <x v="0"/>
  </r>
  <r>
    <n v="2749"/>
    <s v="C1436"/>
    <x v="250"/>
    <s v="4 days"/>
    <x v="39"/>
    <x v="19"/>
    <s v="4 days"/>
    <x v="4"/>
    <s v="Returning"/>
    <s v="Suite"/>
    <n v="4"/>
    <n v="4"/>
    <n v="5174"/>
    <n v="20696"/>
    <n v="20696"/>
    <x v="1"/>
    <x v="0"/>
    <x v="0"/>
    <x v="1"/>
  </r>
  <r>
    <n v="2750"/>
    <s v="C0572"/>
    <x v="240"/>
    <s v="38 days"/>
    <x v="394"/>
    <x v="401"/>
    <s v="4 days"/>
    <x v="3"/>
    <s v="Returning"/>
    <s v="Suite"/>
    <n v="38"/>
    <n v="4"/>
    <n v="6345"/>
    <n v="25380"/>
    <n v="0"/>
    <x v="0"/>
    <x v="1"/>
    <x v="1"/>
    <x v="0"/>
  </r>
  <r>
    <n v="2751"/>
    <s v="C0335"/>
    <x v="336"/>
    <s v="44 days"/>
    <x v="110"/>
    <x v="109"/>
    <s v="3 days"/>
    <x v="0"/>
    <s v="New"/>
    <s v="Deluxe"/>
    <n v="44"/>
    <n v="3"/>
    <n v="5077"/>
    <n v="15231"/>
    <n v="0"/>
    <x v="0"/>
    <x v="1"/>
    <x v="1"/>
    <x v="0"/>
  </r>
  <r>
    <n v="2752"/>
    <s v="C1246"/>
    <x v="322"/>
    <s v="27 days"/>
    <x v="231"/>
    <x v="309"/>
    <s v="5 days"/>
    <x v="4"/>
    <s v="Returning"/>
    <s v="Suite"/>
    <n v="27"/>
    <n v="5"/>
    <n v="2591"/>
    <n v="12955"/>
    <n v="12955"/>
    <x v="0"/>
    <x v="0"/>
    <x v="0"/>
    <x v="1"/>
  </r>
  <r>
    <n v="2753"/>
    <s v="C0037"/>
    <x v="55"/>
    <s v="9 days"/>
    <x v="97"/>
    <x v="135"/>
    <s v="4 days"/>
    <x v="3"/>
    <s v="New"/>
    <s v="Standard"/>
    <n v="9"/>
    <n v="4"/>
    <n v="6734"/>
    <n v="26936"/>
    <n v="26936"/>
    <x v="1"/>
    <x v="0"/>
    <x v="0"/>
    <x v="0"/>
  </r>
  <r>
    <n v="2754"/>
    <s v="C0989"/>
    <x v="68"/>
    <s v="47 days"/>
    <x v="19"/>
    <x v="62"/>
    <s v="1 days"/>
    <x v="4"/>
    <s v="Returning"/>
    <s v="Suite"/>
    <n v="47"/>
    <n v="1"/>
    <n v="2980"/>
    <n v="2980"/>
    <n v="0"/>
    <x v="0"/>
    <x v="1"/>
    <x v="1"/>
    <x v="0"/>
  </r>
  <r>
    <n v="2755"/>
    <s v="C0278"/>
    <x v="206"/>
    <s v="16 days"/>
    <x v="353"/>
    <x v="334"/>
    <s v="4 days"/>
    <x v="3"/>
    <s v="New"/>
    <s v="Deluxe"/>
    <n v="16"/>
    <n v="4"/>
    <n v="7952"/>
    <n v="31808"/>
    <n v="31808"/>
    <x v="0"/>
    <x v="0"/>
    <x v="0"/>
    <x v="0"/>
  </r>
  <r>
    <n v="2756"/>
    <s v="C1220"/>
    <x v="267"/>
    <s v="56 days"/>
    <x v="190"/>
    <x v="206"/>
    <s v="5 days"/>
    <x v="1"/>
    <s v="Returning"/>
    <s v="Deluxe"/>
    <n v="56"/>
    <n v="5"/>
    <n v="5416"/>
    <n v="27080"/>
    <n v="0"/>
    <x v="1"/>
    <x v="1"/>
    <x v="1"/>
    <x v="0"/>
  </r>
  <r>
    <n v="2757"/>
    <s v="C0916"/>
    <x v="194"/>
    <s v="12 days"/>
    <x v="303"/>
    <x v="41"/>
    <s v="4 days"/>
    <x v="1"/>
    <s v="Returning"/>
    <s v="Standard"/>
    <n v="12"/>
    <n v="4"/>
    <n v="6935"/>
    <n v="27740"/>
    <n v="27740"/>
    <x v="0"/>
    <x v="0"/>
    <x v="0"/>
    <x v="0"/>
  </r>
  <r>
    <n v="2758"/>
    <s v="C0484"/>
    <x v="272"/>
    <s v="31 days"/>
    <x v="132"/>
    <x v="161"/>
    <s v="3 days"/>
    <x v="0"/>
    <s v="New"/>
    <s v="Deluxe"/>
    <n v="31"/>
    <n v="3"/>
    <n v="3575"/>
    <n v="10725"/>
    <n v="0"/>
    <x v="1"/>
    <x v="1"/>
    <x v="1"/>
    <x v="1"/>
  </r>
  <r>
    <n v="2759"/>
    <s v="C1266"/>
    <x v="168"/>
    <s v="24 days"/>
    <x v="193"/>
    <x v="191"/>
    <s v="2 days"/>
    <x v="2"/>
    <s v="New"/>
    <s v="Deluxe"/>
    <n v="24"/>
    <n v="2"/>
    <n v="5013"/>
    <n v="10026"/>
    <n v="10026"/>
    <x v="1"/>
    <x v="0"/>
    <x v="0"/>
    <x v="0"/>
  </r>
  <r>
    <n v="2760"/>
    <s v="C1348"/>
    <x v="357"/>
    <s v="55 days"/>
    <x v="68"/>
    <x v="162"/>
    <s v="2 days"/>
    <x v="1"/>
    <s v="Returning"/>
    <s v="Deluxe"/>
    <n v="55"/>
    <n v="2"/>
    <n v="3298"/>
    <n v="6596"/>
    <n v="6596"/>
    <x v="1"/>
    <x v="0"/>
    <x v="0"/>
    <x v="0"/>
  </r>
  <r>
    <n v="2761"/>
    <s v="C0731"/>
    <x v="269"/>
    <s v="14 days"/>
    <x v="121"/>
    <x v="118"/>
    <s v="5 days"/>
    <x v="2"/>
    <s v="Returning"/>
    <s v="Suite"/>
    <n v="14"/>
    <n v="5"/>
    <n v="7070"/>
    <n v="35350"/>
    <n v="35350"/>
    <x v="0"/>
    <x v="0"/>
    <x v="0"/>
    <x v="1"/>
  </r>
  <r>
    <n v="2762"/>
    <s v="C0192"/>
    <x v="200"/>
    <s v="45 days"/>
    <x v="326"/>
    <x v="5"/>
    <s v="2 days"/>
    <x v="4"/>
    <s v="New"/>
    <s v="Deluxe"/>
    <n v="45"/>
    <n v="2"/>
    <n v="8058"/>
    <n v="16116"/>
    <n v="16116"/>
    <x v="0"/>
    <x v="0"/>
    <x v="0"/>
    <x v="1"/>
  </r>
  <r>
    <n v="2763"/>
    <s v="C1041"/>
    <x v="101"/>
    <s v="25 days"/>
    <x v="320"/>
    <x v="148"/>
    <s v="2 days"/>
    <x v="4"/>
    <s v="Returning"/>
    <s v="Suite"/>
    <n v="25"/>
    <n v="2"/>
    <n v="6449"/>
    <n v="12898"/>
    <n v="12898"/>
    <x v="0"/>
    <x v="0"/>
    <x v="0"/>
    <x v="1"/>
  </r>
  <r>
    <n v="2764"/>
    <s v="C0524"/>
    <x v="239"/>
    <s v="34 days"/>
    <x v="223"/>
    <x v="284"/>
    <s v="1 days"/>
    <x v="2"/>
    <s v="Returning"/>
    <s v="Deluxe"/>
    <n v="34"/>
    <n v="1"/>
    <n v="3104"/>
    <n v="3104"/>
    <n v="0"/>
    <x v="0"/>
    <x v="1"/>
    <x v="1"/>
    <x v="0"/>
  </r>
  <r>
    <n v="2765"/>
    <s v="C0918"/>
    <x v="173"/>
    <s v="3 days"/>
    <x v="106"/>
    <x v="402"/>
    <s v="5 days"/>
    <x v="0"/>
    <s v="New"/>
    <s v="Deluxe"/>
    <n v="3"/>
    <n v="5"/>
    <n v="5479"/>
    <n v="27395"/>
    <n v="27395"/>
    <x v="0"/>
    <x v="0"/>
    <x v="0"/>
    <x v="0"/>
  </r>
  <r>
    <n v="2766"/>
    <s v="C0401"/>
    <x v="318"/>
    <s v="58 days"/>
    <x v="29"/>
    <x v="29"/>
    <s v="5 days"/>
    <x v="3"/>
    <s v="New"/>
    <s v="Suite"/>
    <n v="58"/>
    <n v="5"/>
    <n v="7416"/>
    <n v="37080"/>
    <n v="0"/>
    <x v="0"/>
    <x v="1"/>
    <x v="1"/>
    <x v="0"/>
  </r>
  <r>
    <n v="2767"/>
    <s v="C0886"/>
    <x v="95"/>
    <s v="24 days"/>
    <x v="94"/>
    <x v="124"/>
    <s v="2 days"/>
    <x v="2"/>
    <s v="New"/>
    <s v="Suite"/>
    <n v="24"/>
    <n v="2"/>
    <n v="3097"/>
    <n v="6194"/>
    <n v="6194"/>
    <x v="0"/>
    <x v="0"/>
    <x v="0"/>
    <x v="0"/>
  </r>
  <r>
    <n v="2768"/>
    <s v="C0705"/>
    <x v="59"/>
    <s v="54 days"/>
    <x v="363"/>
    <x v="71"/>
    <s v="2 days"/>
    <x v="2"/>
    <s v="Returning"/>
    <s v="Standard"/>
    <n v="54"/>
    <n v="2"/>
    <n v="4032"/>
    <n v="8064"/>
    <n v="0"/>
    <x v="0"/>
    <x v="1"/>
    <x v="1"/>
    <x v="1"/>
  </r>
  <r>
    <n v="2769"/>
    <s v="C0022"/>
    <x v="27"/>
    <s v="42 days"/>
    <x v="390"/>
    <x v="134"/>
    <s v="2 days"/>
    <x v="2"/>
    <s v="Returning"/>
    <s v="Standard"/>
    <n v="42"/>
    <n v="2"/>
    <n v="3013"/>
    <n v="6026"/>
    <n v="6026"/>
    <x v="1"/>
    <x v="0"/>
    <x v="0"/>
    <x v="1"/>
  </r>
  <r>
    <n v="2770"/>
    <s v="C0474"/>
    <x v="222"/>
    <s v="9 days"/>
    <x v="68"/>
    <x v="124"/>
    <s v="3 days"/>
    <x v="2"/>
    <s v="Returning"/>
    <s v="Suite"/>
    <n v="9"/>
    <n v="3"/>
    <n v="8122"/>
    <n v="24366"/>
    <n v="24366"/>
    <x v="0"/>
    <x v="0"/>
    <x v="0"/>
    <x v="0"/>
  </r>
  <r>
    <n v="2771"/>
    <s v="C1144"/>
    <x v="109"/>
    <s v="26 days"/>
    <x v="242"/>
    <x v="397"/>
    <s v="4 days"/>
    <x v="2"/>
    <s v="New"/>
    <s v="Deluxe"/>
    <n v="26"/>
    <n v="4"/>
    <n v="4377"/>
    <n v="17508"/>
    <n v="17508"/>
    <x v="0"/>
    <x v="0"/>
    <x v="0"/>
    <x v="0"/>
  </r>
  <r>
    <n v="2772"/>
    <s v="C0210"/>
    <x v="74"/>
    <s v="20 days"/>
    <x v="328"/>
    <x v="278"/>
    <s v="3 days"/>
    <x v="0"/>
    <s v="Returning"/>
    <s v="Standard"/>
    <n v="20"/>
    <n v="3"/>
    <n v="6472"/>
    <n v="19416"/>
    <n v="19416"/>
    <x v="1"/>
    <x v="0"/>
    <x v="0"/>
    <x v="0"/>
  </r>
  <r>
    <n v="2773"/>
    <s v="C0306"/>
    <x v="302"/>
    <s v="40 days"/>
    <x v="160"/>
    <x v="93"/>
    <s v="5 days"/>
    <x v="1"/>
    <s v="New"/>
    <s v="Suite"/>
    <n v="40"/>
    <n v="5"/>
    <n v="6343"/>
    <n v="31715"/>
    <n v="0"/>
    <x v="0"/>
    <x v="1"/>
    <x v="1"/>
    <x v="0"/>
  </r>
  <r>
    <n v="2774"/>
    <s v="C1294"/>
    <x v="65"/>
    <s v="10 days"/>
    <x v="143"/>
    <x v="8"/>
    <s v="1 days"/>
    <x v="3"/>
    <s v="New"/>
    <s v="Suite"/>
    <n v="10"/>
    <n v="1"/>
    <n v="4199"/>
    <n v="4199"/>
    <n v="0"/>
    <x v="1"/>
    <x v="1"/>
    <x v="1"/>
    <x v="1"/>
  </r>
  <r>
    <n v="2775"/>
    <s v="C0704"/>
    <x v="156"/>
    <s v="19 days"/>
    <x v="1"/>
    <x v="39"/>
    <s v="4 days"/>
    <x v="1"/>
    <s v="Returning"/>
    <s v="Deluxe"/>
    <n v="19"/>
    <n v="4"/>
    <n v="3529"/>
    <n v="14116"/>
    <n v="0"/>
    <x v="0"/>
    <x v="1"/>
    <x v="1"/>
    <x v="1"/>
  </r>
  <r>
    <n v="2776"/>
    <s v="C0687"/>
    <x v="66"/>
    <s v="3 days"/>
    <x v="121"/>
    <x v="48"/>
    <s v="1 days"/>
    <x v="2"/>
    <s v="New"/>
    <s v="Suite"/>
    <n v="3"/>
    <n v="1"/>
    <n v="7095"/>
    <n v="7095"/>
    <n v="7095"/>
    <x v="0"/>
    <x v="0"/>
    <x v="0"/>
    <x v="0"/>
  </r>
  <r>
    <n v="2777"/>
    <s v="C0285"/>
    <x v="126"/>
    <s v="24 days"/>
    <x v="110"/>
    <x v="227"/>
    <s v="5 days"/>
    <x v="1"/>
    <s v="Returning"/>
    <s v="Standard"/>
    <n v="24"/>
    <n v="5"/>
    <n v="8280"/>
    <n v="41400"/>
    <n v="41400"/>
    <x v="1"/>
    <x v="0"/>
    <x v="0"/>
    <x v="1"/>
  </r>
  <r>
    <n v="2778"/>
    <s v="C0716"/>
    <x v="329"/>
    <s v="5 days"/>
    <x v="184"/>
    <x v="32"/>
    <s v="5 days"/>
    <x v="0"/>
    <s v="New"/>
    <s v="Deluxe"/>
    <n v="5"/>
    <n v="5"/>
    <n v="3216"/>
    <n v="16080"/>
    <n v="16080"/>
    <x v="1"/>
    <x v="0"/>
    <x v="0"/>
    <x v="0"/>
  </r>
  <r>
    <n v="2779"/>
    <s v="C0763"/>
    <x v="326"/>
    <s v="3 days"/>
    <x v="281"/>
    <x v="255"/>
    <s v="1 days"/>
    <x v="4"/>
    <s v="New"/>
    <s v="Suite"/>
    <n v="3"/>
    <n v="1"/>
    <n v="7737"/>
    <n v="7737"/>
    <n v="7737"/>
    <x v="0"/>
    <x v="0"/>
    <x v="0"/>
    <x v="0"/>
  </r>
  <r>
    <n v="2780"/>
    <s v="C1251"/>
    <x v="19"/>
    <s v="58 days"/>
    <x v="278"/>
    <x v="245"/>
    <s v="1 days"/>
    <x v="1"/>
    <s v="New"/>
    <s v="Suite"/>
    <n v="58"/>
    <n v="1"/>
    <n v="8104"/>
    <n v="8104"/>
    <n v="0"/>
    <x v="1"/>
    <x v="1"/>
    <x v="1"/>
    <x v="1"/>
  </r>
  <r>
    <n v="2781"/>
    <s v="C0948"/>
    <x v="290"/>
    <s v="27 days"/>
    <x v="22"/>
    <x v="101"/>
    <s v="1 days"/>
    <x v="3"/>
    <s v="Returning"/>
    <s v="Deluxe"/>
    <n v="27"/>
    <n v="1"/>
    <n v="6586"/>
    <n v="6586"/>
    <n v="0"/>
    <x v="0"/>
    <x v="1"/>
    <x v="1"/>
    <x v="0"/>
  </r>
  <r>
    <n v="2782"/>
    <s v="C0381"/>
    <x v="342"/>
    <s v="16 days"/>
    <x v="290"/>
    <x v="263"/>
    <s v="5 days"/>
    <x v="0"/>
    <s v="New"/>
    <s v="Deluxe"/>
    <n v="16"/>
    <n v="5"/>
    <n v="3165"/>
    <n v="15825"/>
    <n v="0"/>
    <x v="0"/>
    <x v="1"/>
    <x v="1"/>
    <x v="1"/>
  </r>
  <r>
    <n v="2783"/>
    <s v="C0460"/>
    <x v="181"/>
    <s v="49 days"/>
    <x v="174"/>
    <x v="88"/>
    <s v="2 days"/>
    <x v="4"/>
    <s v="Returning"/>
    <s v="Deluxe"/>
    <n v="49"/>
    <n v="2"/>
    <n v="4708"/>
    <n v="9416"/>
    <n v="0"/>
    <x v="0"/>
    <x v="1"/>
    <x v="1"/>
    <x v="0"/>
  </r>
  <r>
    <n v="2784"/>
    <s v="C1031"/>
    <x v="274"/>
    <s v="15 days"/>
    <x v="146"/>
    <x v="116"/>
    <s v="1 days"/>
    <x v="0"/>
    <s v="New"/>
    <s v="Standard"/>
    <n v="15"/>
    <n v="1"/>
    <n v="8913"/>
    <n v="8913"/>
    <n v="8913"/>
    <x v="0"/>
    <x v="0"/>
    <x v="0"/>
    <x v="1"/>
  </r>
  <r>
    <n v="2785"/>
    <s v="C0029"/>
    <x v="339"/>
    <s v="35 days"/>
    <x v="182"/>
    <x v="287"/>
    <s v="4 days"/>
    <x v="2"/>
    <s v="New"/>
    <s v="Standard"/>
    <n v="35"/>
    <n v="4"/>
    <n v="3579"/>
    <n v="14316"/>
    <n v="0"/>
    <x v="0"/>
    <x v="1"/>
    <x v="1"/>
    <x v="0"/>
  </r>
  <r>
    <n v="2786"/>
    <s v="C0907"/>
    <x v="82"/>
    <s v="12 days"/>
    <x v="124"/>
    <x v="123"/>
    <s v="5 days"/>
    <x v="4"/>
    <s v="New"/>
    <s v="Suite"/>
    <n v="12"/>
    <n v="5"/>
    <n v="2727"/>
    <n v="13635"/>
    <n v="0"/>
    <x v="0"/>
    <x v="1"/>
    <x v="1"/>
    <x v="1"/>
  </r>
  <r>
    <n v="2787"/>
    <s v="C1057"/>
    <x v="292"/>
    <s v="41 days"/>
    <x v="112"/>
    <x v="368"/>
    <s v="3 days"/>
    <x v="3"/>
    <s v="Returning"/>
    <s v="Suite"/>
    <n v="41"/>
    <n v="3"/>
    <n v="2648"/>
    <n v="7944"/>
    <n v="0"/>
    <x v="1"/>
    <x v="1"/>
    <x v="1"/>
    <x v="0"/>
  </r>
  <r>
    <n v="2788"/>
    <s v="C0879"/>
    <x v="273"/>
    <s v="53 days"/>
    <x v="48"/>
    <x v="137"/>
    <s v="3 days"/>
    <x v="4"/>
    <s v="Returning"/>
    <s v="Deluxe"/>
    <n v="53"/>
    <n v="3"/>
    <n v="3569"/>
    <n v="10707"/>
    <n v="0"/>
    <x v="1"/>
    <x v="1"/>
    <x v="1"/>
    <x v="0"/>
  </r>
  <r>
    <n v="2789"/>
    <s v="C0079"/>
    <x v="86"/>
    <s v="44 days"/>
    <x v="349"/>
    <x v="354"/>
    <s v="4 days"/>
    <x v="3"/>
    <s v="Returning"/>
    <s v="Suite"/>
    <n v="44"/>
    <n v="4"/>
    <n v="7763"/>
    <n v="31052"/>
    <n v="31052"/>
    <x v="1"/>
    <x v="0"/>
    <x v="0"/>
    <x v="1"/>
  </r>
  <r>
    <n v="2790"/>
    <s v="C0947"/>
    <x v="6"/>
    <s v="26 days"/>
    <x v="182"/>
    <x v="61"/>
    <s v="2 days"/>
    <x v="2"/>
    <s v="Returning"/>
    <s v="Suite"/>
    <n v="26"/>
    <n v="2"/>
    <n v="7227"/>
    <n v="14454"/>
    <n v="0"/>
    <x v="0"/>
    <x v="1"/>
    <x v="1"/>
    <x v="0"/>
  </r>
  <r>
    <n v="2791"/>
    <s v="C0459"/>
    <x v="117"/>
    <s v="47 days"/>
    <x v="337"/>
    <x v="125"/>
    <s v="1 days"/>
    <x v="3"/>
    <s v="Returning"/>
    <s v="Deluxe"/>
    <n v="47"/>
    <n v="1"/>
    <n v="3863"/>
    <n v="3863"/>
    <n v="0"/>
    <x v="1"/>
    <x v="1"/>
    <x v="1"/>
    <x v="1"/>
  </r>
  <r>
    <n v="2792"/>
    <s v="C0570"/>
    <x v="30"/>
    <s v="34 days"/>
    <x v="395"/>
    <x v="244"/>
    <s v="5 days"/>
    <x v="0"/>
    <s v="New"/>
    <s v="Standard"/>
    <n v="34"/>
    <n v="5"/>
    <n v="7008"/>
    <n v="35040"/>
    <n v="0"/>
    <x v="0"/>
    <x v="1"/>
    <x v="1"/>
    <x v="1"/>
  </r>
  <r>
    <n v="2793"/>
    <s v="C1454"/>
    <x v="94"/>
    <s v="23 days"/>
    <x v="332"/>
    <x v="202"/>
    <s v="1 days"/>
    <x v="1"/>
    <s v="New"/>
    <s v="Standard"/>
    <n v="23"/>
    <n v="1"/>
    <n v="4255"/>
    <n v="4255"/>
    <n v="4255"/>
    <x v="1"/>
    <x v="0"/>
    <x v="0"/>
    <x v="0"/>
  </r>
  <r>
    <n v="2794"/>
    <s v="C0738"/>
    <x v="71"/>
    <s v="31 days"/>
    <x v="61"/>
    <x v="368"/>
    <s v="5 days"/>
    <x v="0"/>
    <s v="Returning"/>
    <s v="Standard"/>
    <n v="31"/>
    <n v="5"/>
    <n v="3019"/>
    <n v="15095"/>
    <n v="0"/>
    <x v="0"/>
    <x v="1"/>
    <x v="1"/>
    <x v="0"/>
  </r>
  <r>
    <n v="2795"/>
    <s v="C1309"/>
    <x v="67"/>
    <s v="50 days"/>
    <x v="227"/>
    <x v="68"/>
    <s v="3 days"/>
    <x v="0"/>
    <s v="Returning"/>
    <s v="Suite"/>
    <n v="50"/>
    <n v="3"/>
    <n v="7963"/>
    <n v="23889"/>
    <n v="0"/>
    <x v="0"/>
    <x v="1"/>
    <x v="1"/>
    <x v="0"/>
  </r>
  <r>
    <n v="2796"/>
    <s v="C0516"/>
    <x v="320"/>
    <s v="20 days"/>
    <x v="292"/>
    <x v="253"/>
    <s v="1 days"/>
    <x v="4"/>
    <s v="Returning"/>
    <s v="Deluxe"/>
    <n v="20"/>
    <n v="1"/>
    <n v="6044"/>
    <n v="6044"/>
    <n v="6044"/>
    <x v="0"/>
    <x v="0"/>
    <x v="0"/>
    <x v="0"/>
  </r>
  <r>
    <n v="2797"/>
    <s v="C1123"/>
    <x v="154"/>
    <s v="12 days"/>
    <x v="227"/>
    <x v="55"/>
    <s v="4 days"/>
    <x v="2"/>
    <s v="Returning"/>
    <s v="Standard"/>
    <n v="12"/>
    <n v="4"/>
    <n v="4822"/>
    <n v="19288"/>
    <n v="19288"/>
    <x v="0"/>
    <x v="0"/>
    <x v="0"/>
    <x v="1"/>
  </r>
  <r>
    <n v="2798"/>
    <s v="C0397"/>
    <x v="315"/>
    <s v="23 days"/>
    <x v="140"/>
    <x v="229"/>
    <s v="2 days"/>
    <x v="1"/>
    <s v="New"/>
    <s v="Suite"/>
    <n v="23"/>
    <n v="2"/>
    <n v="8996"/>
    <n v="17992"/>
    <n v="17992"/>
    <x v="0"/>
    <x v="0"/>
    <x v="0"/>
    <x v="0"/>
  </r>
  <r>
    <n v="2799"/>
    <s v="C0039"/>
    <x v="289"/>
    <s v="4 days"/>
    <x v="396"/>
    <x v="340"/>
    <s v="4 days"/>
    <x v="3"/>
    <s v="Returning"/>
    <s v="Deluxe"/>
    <n v="4"/>
    <n v="4"/>
    <n v="3602"/>
    <n v="14408"/>
    <n v="14408"/>
    <x v="1"/>
    <x v="0"/>
    <x v="0"/>
    <x v="0"/>
  </r>
  <r>
    <n v="2800"/>
    <s v="C1295"/>
    <x v="257"/>
    <s v="23 days"/>
    <x v="286"/>
    <x v="272"/>
    <s v="2 days"/>
    <x v="4"/>
    <s v="Returning"/>
    <s v="Standard"/>
    <n v="23"/>
    <n v="2"/>
    <n v="3097"/>
    <n v="6194"/>
    <n v="0"/>
    <x v="0"/>
    <x v="1"/>
    <x v="1"/>
    <x v="0"/>
  </r>
  <r>
    <n v="2801"/>
    <s v="C0887"/>
    <x v="323"/>
    <s v="48 days"/>
    <x v="80"/>
    <x v="76"/>
    <s v="1 days"/>
    <x v="2"/>
    <s v="Returning"/>
    <s v="Standard"/>
    <n v="48"/>
    <n v="1"/>
    <n v="8255"/>
    <n v="8255"/>
    <n v="0"/>
    <x v="1"/>
    <x v="1"/>
    <x v="1"/>
    <x v="1"/>
  </r>
  <r>
    <n v="2802"/>
    <s v="C0797"/>
    <x v="174"/>
    <s v="55 days"/>
    <x v="367"/>
    <x v="323"/>
    <s v="1 days"/>
    <x v="1"/>
    <s v="Returning"/>
    <s v="Deluxe"/>
    <n v="55"/>
    <n v="1"/>
    <n v="5773"/>
    <n v="5773"/>
    <n v="0"/>
    <x v="0"/>
    <x v="1"/>
    <x v="1"/>
    <x v="0"/>
  </r>
  <r>
    <n v="2803"/>
    <s v="C0157"/>
    <x v="217"/>
    <s v="48 days"/>
    <x v="220"/>
    <x v="215"/>
    <s v="2 days"/>
    <x v="0"/>
    <s v="New"/>
    <s v="Suite"/>
    <n v="48"/>
    <n v="2"/>
    <n v="6549"/>
    <n v="13098"/>
    <n v="0"/>
    <x v="0"/>
    <x v="1"/>
    <x v="1"/>
    <x v="1"/>
  </r>
  <r>
    <n v="2804"/>
    <s v="C1099"/>
    <x v="281"/>
    <s v="1 days"/>
    <x v="172"/>
    <x v="119"/>
    <s v="3 days"/>
    <x v="2"/>
    <s v="New"/>
    <s v="Suite"/>
    <n v="1"/>
    <n v="3"/>
    <n v="8281"/>
    <n v="24843"/>
    <n v="0"/>
    <x v="0"/>
    <x v="1"/>
    <x v="1"/>
    <x v="0"/>
  </r>
  <r>
    <n v="2805"/>
    <s v="C0884"/>
    <x v="176"/>
    <s v="54 days"/>
    <x v="96"/>
    <x v="94"/>
    <s v="5 days"/>
    <x v="2"/>
    <s v="Returning"/>
    <s v="Standard"/>
    <n v="54"/>
    <n v="5"/>
    <n v="5105"/>
    <n v="25525"/>
    <n v="0"/>
    <x v="1"/>
    <x v="1"/>
    <x v="1"/>
    <x v="1"/>
  </r>
  <r>
    <n v="2806"/>
    <s v="C1154"/>
    <x v="360"/>
    <s v="25 days"/>
    <x v="198"/>
    <x v="192"/>
    <s v="4 days"/>
    <x v="2"/>
    <s v="New"/>
    <s v="Deluxe"/>
    <n v="25"/>
    <n v="4"/>
    <n v="8756"/>
    <n v="35024"/>
    <n v="35024"/>
    <x v="0"/>
    <x v="0"/>
    <x v="0"/>
    <x v="0"/>
  </r>
  <r>
    <n v="2807"/>
    <s v="C0974"/>
    <x v="346"/>
    <s v="2 days"/>
    <x v="84"/>
    <x v="193"/>
    <s v="4 days"/>
    <x v="0"/>
    <s v="New"/>
    <s v="Suite"/>
    <n v="2"/>
    <n v="4"/>
    <n v="4688"/>
    <n v="18752"/>
    <n v="0"/>
    <x v="1"/>
    <x v="1"/>
    <x v="1"/>
    <x v="0"/>
  </r>
  <r>
    <n v="2808"/>
    <s v="C1108"/>
    <x v="14"/>
    <s v="30 days"/>
    <x v="237"/>
    <x v="173"/>
    <s v="4 days"/>
    <x v="3"/>
    <s v="Returning"/>
    <s v="Deluxe"/>
    <n v="30"/>
    <n v="4"/>
    <n v="8520"/>
    <n v="34080"/>
    <n v="34080"/>
    <x v="0"/>
    <x v="0"/>
    <x v="0"/>
    <x v="1"/>
  </r>
  <r>
    <n v="2809"/>
    <s v="C1046"/>
    <x v="102"/>
    <s v="3 days"/>
    <x v="175"/>
    <x v="167"/>
    <s v="1 days"/>
    <x v="4"/>
    <s v="Returning"/>
    <s v="Deluxe"/>
    <n v="3"/>
    <n v="1"/>
    <n v="7325"/>
    <n v="7325"/>
    <n v="7325"/>
    <x v="1"/>
    <x v="0"/>
    <x v="0"/>
    <x v="0"/>
  </r>
  <r>
    <n v="2810"/>
    <s v="C1483"/>
    <x v="303"/>
    <s v="58 days"/>
    <x v="159"/>
    <x v="14"/>
    <s v="4 days"/>
    <x v="3"/>
    <s v="New"/>
    <s v="Standard"/>
    <n v="58"/>
    <n v="4"/>
    <n v="3088"/>
    <n v="12352"/>
    <n v="0"/>
    <x v="1"/>
    <x v="1"/>
    <x v="1"/>
    <x v="0"/>
  </r>
  <r>
    <n v="2811"/>
    <s v="C0849"/>
    <x v="306"/>
    <s v="21 days"/>
    <x v="133"/>
    <x v="255"/>
    <s v="5 days"/>
    <x v="1"/>
    <s v="New"/>
    <s v="Deluxe"/>
    <n v="21"/>
    <n v="5"/>
    <n v="6972"/>
    <n v="34860"/>
    <n v="34860"/>
    <x v="1"/>
    <x v="0"/>
    <x v="0"/>
    <x v="0"/>
  </r>
  <r>
    <n v="2812"/>
    <s v="C1406"/>
    <x v="26"/>
    <s v="25 days"/>
    <x v="363"/>
    <x v="105"/>
    <s v="5 days"/>
    <x v="4"/>
    <s v="New"/>
    <s v="Deluxe"/>
    <n v="25"/>
    <n v="5"/>
    <n v="3907"/>
    <n v="19535"/>
    <n v="19535"/>
    <x v="0"/>
    <x v="0"/>
    <x v="0"/>
    <x v="1"/>
  </r>
  <r>
    <n v="2813"/>
    <s v="C0748"/>
    <x v="22"/>
    <s v="20 days"/>
    <x v="363"/>
    <x v="71"/>
    <s v="2 days"/>
    <x v="1"/>
    <s v="New"/>
    <s v="Deluxe"/>
    <n v="20"/>
    <n v="2"/>
    <n v="8465"/>
    <n v="16930"/>
    <n v="16930"/>
    <x v="0"/>
    <x v="0"/>
    <x v="0"/>
    <x v="0"/>
  </r>
  <r>
    <n v="2814"/>
    <s v="C1464"/>
    <x v="257"/>
    <s v="49 days"/>
    <x v="141"/>
    <x v="29"/>
    <s v="1 days"/>
    <x v="0"/>
    <s v="New"/>
    <s v="Suite"/>
    <n v="49"/>
    <n v="1"/>
    <n v="7346"/>
    <n v="7346"/>
    <n v="0"/>
    <x v="1"/>
    <x v="1"/>
    <x v="1"/>
    <x v="1"/>
  </r>
  <r>
    <n v="2815"/>
    <s v="C0989"/>
    <x v="129"/>
    <s v="52 days"/>
    <x v="73"/>
    <x v="212"/>
    <s v="5 days"/>
    <x v="3"/>
    <s v="Returning"/>
    <s v="Standard"/>
    <n v="52"/>
    <n v="5"/>
    <n v="7222"/>
    <n v="36110"/>
    <n v="0"/>
    <x v="0"/>
    <x v="1"/>
    <x v="1"/>
    <x v="1"/>
  </r>
  <r>
    <n v="2816"/>
    <s v="C0021"/>
    <x v="282"/>
    <s v="22 days"/>
    <x v="254"/>
    <x v="37"/>
    <s v="3 days"/>
    <x v="2"/>
    <s v="New"/>
    <s v="Standard"/>
    <n v="22"/>
    <n v="3"/>
    <n v="5890"/>
    <n v="17670"/>
    <n v="17670"/>
    <x v="0"/>
    <x v="0"/>
    <x v="0"/>
    <x v="1"/>
  </r>
  <r>
    <n v="2817"/>
    <s v="C0303"/>
    <x v="38"/>
    <s v="21 days"/>
    <x v="287"/>
    <x v="376"/>
    <s v="1 days"/>
    <x v="4"/>
    <s v="New"/>
    <s v="Deluxe"/>
    <n v="21"/>
    <n v="1"/>
    <n v="5940"/>
    <n v="5940"/>
    <n v="5940"/>
    <x v="0"/>
    <x v="0"/>
    <x v="0"/>
    <x v="0"/>
  </r>
  <r>
    <n v="2818"/>
    <s v="C0869"/>
    <x v="28"/>
    <s v="33 days"/>
    <x v="128"/>
    <x v="266"/>
    <s v="1 days"/>
    <x v="2"/>
    <s v="New"/>
    <s v="Deluxe"/>
    <n v="33"/>
    <n v="1"/>
    <n v="4129"/>
    <n v="4129"/>
    <n v="4129"/>
    <x v="1"/>
    <x v="0"/>
    <x v="0"/>
    <x v="1"/>
  </r>
  <r>
    <n v="2819"/>
    <s v="C0084"/>
    <x v="16"/>
    <s v="52 days"/>
    <x v="343"/>
    <x v="349"/>
    <s v="5 days"/>
    <x v="1"/>
    <s v="New"/>
    <s v="Suite"/>
    <n v="52"/>
    <n v="5"/>
    <n v="3494"/>
    <n v="17470"/>
    <n v="0"/>
    <x v="1"/>
    <x v="1"/>
    <x v="1"/>
    <x v="1"/>
  </r>
  <r>
    <n v="2820"/>
    <s v="C1477"/>
    <x v="44"/>
    <s v="38 days"/>
    <x v="4"/>
    <x v="167"/>
    <s v="3 days"/>
    <x v="2"/>
    <s v="New"/>
    <s v="Standard"/>
    <n v="38"/>
    <n v="3"/>
    <n v="8179"/>
    <n v="24537"/>
    <n v="0"/>
    <x v="0"/>
    <x v="1"/>
    <x v="1"/>
    <x v="0"/>
  </r>
  <r>
    <n v="2821"/>
    <s v="C1411"/>
    <x v="189"/>
    <s v="15 days"/>
    <x v="133"/>
    <x v="130"/>
    <s v="2 days"/>
    <x v="2"/>
    <s v="New"/>
    <s v="Suite"/>
    <n v="15"/>
    <n v="2"/>
    <n v="7298"/>
    <n v="14596"/>
    <n v="14596"/>
    <x v="1"/>
    <x v="0"/>
    <x v="0"/>
    <x v="1"/>
  </r>
  <r>
    <n v="2822"/>
    <s v="C1281"/>
    <x v="262"/>
    <s v="58 days"/>
    <x v="91"/>
    <x v="236"/>
    <s v="5 days"/>
    <x v="0"/>
    <s v="New"/>
    <s v="Standard"/>
    <n v="58"/>
    <n v="5"/>
    <n v="4559"/>
    <n v="22795"/>
    <n v="0"/>
    <x v="0"/>
    <x v="1"/>
    <x v="1"/>
    <x v="1"/>
  </r>
  <r>
    <n v="2823"/>
    <s v="C0570"/>
    <x v="293"/>
    <s v="58 days"/>
    <x v="98"/>
    <x v="394"/>
    <s v="3 days"/>
    <x v="0"/>
    <s v="New"/>
    <s v="Suite"/>
    <n v="58"/>
    <n v="3"/>
    <n v="7775"/>
    <n v="23325"/>
    <n v="23325"/>
    <x v="0"/>
    <x v="0"/>
    <x v="0"/>
    <x v="0"/>
  </r>
  <r>
    <n v="2824"/>
    <s v="C0934"/>
    <x v="314"/>
    <s v="46 days"/>
    <x v="252"/>
    <x v="324"/>
    <s v="1 days"/>
    <x v="3"/>
    <s v="Returning"/>
    <s v="Deluxe"/>
    <n v="46"/>
    <n v="1"/>
    <n v="7072"/>
    <n v="7072"/>
    <n v="7072"/>
    <x v="1"/>
    <x v="0"/>
    <x v="0"/>
    <x v="0"/>
  </r>
  <r>
    <n v="2825"/>
    <s v="C1186"/>
    <x v="55"/>
    <s v="52 days"/>
    <x v="340"/>
    <x v="381"/>
    <s v="3 days"/>
    <x v="1"/>
    <s v="Returning"/>
    <s v="Suite"/>
    <n v="52"/>
    <n v="3"/>
    <n v="5486"/>
    <n v="16458"/>
    <n v="0"/>
    <x v="1"/>
    <x v="1"/>
    <x v="1"/>
    <x v="1"/>
  </r>
  <r>
    <n v="2826"/>
    <s v="C1187"/>
    <x v="289"/>
    <s v="15 days"/>
    <x v="391"/>
    <x v="102"/>
    <s v="1 days"/>
    <x v="0"/>
    <s v="New"/>
    <s v="Deluxe"/>
    <n v="15"/>
    <n v="1"/>
    <n v="2900"/>
    <n v="2900"/>
    <n v="2900"/>
    <x v="0"/>
    <x v="0"/>
    <x v="0"/>
    <x v="0"/>
  </r>
  <r>
    <n v="2827"/>
    <s v="C1009"/>
    <x v="343"/>
    <s v="46 days"/>
    <x v="5"/>
    <x v="5"/>
    <s v="5 days"/>
    <x v="0"/>
    <s v="Returning"/>
    <s v="Standard"/>
    <n v="46"/>
    <n v="5"/>
    <n v="5355"/>
    <n v="26775"/>
    <n v="0"/>
    <x v="0"/>
    <x v="1"/>
    <x v="1"/>
    <x v="0"/>
  </r>
  <r>
    <n v="2828"/>
    <s v="C0793"/>
    <x v="40"/>
    <s v="25 days"/>
    <x v="298"/>
    <x v="294"/>
    <s v="5 days"/>
    <x v="3"/>
    <s v="Returning"/>
    <s v="Standard"/>
    <n v="25"/>
    <n v="5"/>
    <n v="4724"/>
    <n v="23620"/>
    <n v="23620"/>
    <x v="0"/>
    <x v="0"/>
    <x v="0"/>
    <x v="0"/>
  </r>
  <r>
    <n v="2829"/>
    <s v="C0792"/>
    <x v="19"/>
    <s v="21 days"/>
    <x v="241"/>
    <x v="296"/>
    <s v="4 days"/>
    <x v="4"/>
    <s v="Returning"/>
    <s v="Deluxe"/>
    <n v="21"/>
    <n v="4"/>
    <n v="5912"/>
    <n v="23648"/>
    <n v="23648"/>
    <x v="1"/>
    <x v="0"/>
    <x v="0"/>
    <x v="1"/>
  </r>
  <r>
    <n v="2830"/>
    <s v="C1295"/>
    <x v="271"/>
    <s v="24 days"/>
    <x v="171"/>
    <x v="115"/>
    <s v="4 days"/>
    <x v="3"/>
    <s v="Returning"/>
    <s v="Standard"/>
    <n v="24"/>
    <n v="4"/>
    <n v="2556"/>
    <n v="10224"/>
    <n v="10224"/>
    <x v="1"/>
    <x v="0"/>
    <x v="0"/>
    <x v="1"/>
  </r>
  <r>
    <n v="2831"/>
    <s v="C0492"/>
    <x v="344"/>
    <s v="57 days"/>
    <x v="122"/>
    <x v="120"/>
    <s v="4 days"/>
    <x v="2"/>
    <s v="Returning"/>
    <s v="Suite"/>
    <n v="57"/>
    <n v="4"/>
    <n v="4375"/>
    <n v="17500"/>
    <n v="0"/>
    <x v="0"/>
    <x v="1"/>
    <x v="1"/>
    <x v="0"/>
  </r>
  <r>
    <n v="2832"/>
    <s v="C0208"/>
    <x v="329"/>
    <s v="58 days"/>
    <x v="64"/>
    <x v="228"/>
    <s v="5 days"/>
    <x v="2"/>
    <s v="Returning"/>
    <s v="Deluxe"/>
    <n v="58"/>
    <n v="5"/>
    <n v="7043"/>
    <n v="35215"/>
    <n v="0"/>
    <x v="0"/>
    <x v="1"/>
    <x v="1"/>
    <x v="1"/>
  </r>
  <r>
    <n v="2833"/>
    <s v="C1084"/>
    <x v="276"/>
    <s v="5 days"/>
    <x v="27"/>
    <x v="27"/>
    <s v="2 days"/>
    <x v="0"/>
    <s v="New"/>
    <s v="Standard"/>
    <n v="5"/>
    <n v="2"/>
    <n v="6798"/>
    <n v="13596"/>
    <n v="0"/>
    <x v="1"/>
    <x v="1"/>
    <x v="1"/>
    <x v="0"/>
  </r>
  <r>
    <n v="2834"/>
    <s v="C0430"/>
    <x v="259"/>
    <s v="6 days"/>
    <x v="123"/>
    <x v="197"/>
    <s v="5 days"/>
    <x v="0"/>
    <s v="New"/>
    <s v="Suite"/>
    <n v="6"/>
    <n v="5"/>
    <n v="6268"/>
    <n v="31340"/>
    <n v="31340"/>
    <x v="0"/>
    <x v="0"/>
    <x v="0"/>
    <x v="0"/>
  </r>
  <r>
    <n v="2835"/>
    <s v="C0985"/>
    <x v="153"/>
    <s v="49 days"/>
    <x v="219"/>
    <x v="111"/>
    <s v="3 days"/>
    <x v="3"/>
    <s v="Returning"/>
    <s v="Suite"/>
    <n v="49"/>
    <n v="3"/>
    <n v="8252"/>
    <n v="24756"/>
    <n v="0"/>
    <x v="1"/>
    <x v="1"/>
    <x v="1"/>
    <x v="0"/>
  </r>
  <r>
    <n v="2836"/>
    <s v="C1333"/>
    <x v="19"/>
    <s v="43 days"/>
    <x v="32"/>
    <x v="225"/>
    <s v="5 days"/>
    <x v="3"/>
    <s v="New"/>
    <s v="Standard"/>
    <n v="43"/>
    <n v="5"/>
    <n v="7333"/>
    <n v="36665"/>
    <n v="0"/>
    <x v="1"/>
    <x v="1"/>
    <x v="1"/>
    <x v="0"/>
  </r>
  <r>
    <n v="2837"/>
    <s v="C0520"/>
    <x v="228"/>
    <s v="48 days"/>
    <x v="365"/>
    <x v="321"/>
    <s v="5 days"/>
    <x v="1"/>
    <s v="Returning"/>
    <s v="Standard"/>
    <n v="48"/>
    <n v="5"/>
    <n v="6797"/>
    <n v="33985"/>
    <n v="0"/>
    <x v="0"/>
    <x v="1"/>
    <x v="1"/>
    <x v="0"/>
  </r>
  <r>
    <n v="2838"/>
    <s v="C0591"/>
    <x v="173"/>
    <s v="44 days"/>
    <x v="384"/>
    <x v="403"/>
    <s v="1 days"/>
    <x v="2"/>
    <s v="New"/>
    <s v="Suite"/>
    <n v="44"/>
    <n v="1"/>
    <n v="3853"/>
    <n v="3853"/>
    <n v="0"/>
    <x v="0"/>
    <x v="1"/>
    <x v="1"/>
    <x v="1"/>
  </r>
  <r>
    <n v="2839"/>
    <s v="C1051"/>
    <x v="197"/>
    <s v="47 days"/>
    <x v="397"/>
    <x v="316"/>
    <s v="1 days"/>
    <x v="3"/>
    <s v="New"/>
    <s v="Deluxe"/>
    <n v="47"/>
    <n v="1"/>
    <n v="4910"/>
    <n v="4910"/>
    <n v="0"/>
    <x v="1"/>
    <x v="1"/>
    <x v="1"/>
    <x v="1"/>
  </r>
  <r>
    <n v="2840"/>
    <s v="C0199"/>
    <x v="11"/>
    <s v="23 days"/>
    <x v="250"/>
    <x v="5"/>
    <s v="1 days"/>
    <x v="4"/>
    <s v="New"/>
    <s v="Standard"/>
    <n v="23"/>
    <n v="1"/>
    <n v="7487"/>
    <n v="7487"/>
    <n v="0"/>
    <x v="0"/>
    <x v="1"/>
    <x v="1"/>
    <x v="1"/>
  </r>
  <r>
    <n v="2841"/>
    <s v="C0387"/>
    <x v="326"/>
    <s v="4 days"/>
    <x v="221"/>
    <x v="196"/>
    <s v="5 days"/>
    <x v="1"/>
    <s v="Returning"/>
    <s v="Standard"/>
    <n v="4"/>
    <n v="5"/>
    <n v="8999"/>
    <n v="44995"/>
    <n v="0"/>
    <x v="1"/>
    <x v="1"/>
    <x v="1"/>
    <x v="1"/>
  </r>
  <r>
    <n v="2842"/>
    <s v="C0349"/>
    <x v="91"/>
    <s v="27 days"/>
    <x v="223"/>
    <x v="300"/>
    <s v="2 days"/>
    <x v="3"/>
    <s v="New"/>
    <s v="Deluxe"/>
    <n v="27"/>
    <n v="2"/>
    <n v="6811"/>
    <n v="13622"/>
    <n v="0"/>
    <x v="1"/>
    <x v="1"/>
    <x v="1"/>
    <x v="0"/>
  </r>
  <r>
    <n v="2843"/>
    <s v="C0960"/>
    <x v="59"/>
    <s v="18 days"/>
    <x v="252"/>
    <x v="270"/>
    <s v="3 days"/>
    <x v="0"/>
    <s v="New"/>
    <s v="Deluxe"/>
    <n v="18"/>
    <n v="3"/>
    <n v="5102"/>
    <n v="15306"/>
    <n v="15306"/>
    <x v="1"/>
    <x v="0"/>
    <x v="0"/>
    <x v="0"/>
  </r>
  <r>
    <n v="2844"/>
    <s v="C0693"/>
    <x v="190"/>
    <s v="21 days"/>
    <x v="295"/>
    <x v="96"/>
    <s v="3 days"/>
    <x v="3"/>
    <s v="Returning"/>
    <s v="Standard"/>
    <n v="21"/>
    <n v="3"/>
    <n v="5434"/>
    <n v="16302"/>
    <n v="16302"/>
    <x v="0"/>
    <x v="0"/>
    <x v="0"/>
    <x v="1"/>
  </r>
  <r>
    <n v="2845"/>
    <s v="C0378"/>
    <x v="177"/>
    <s v="28 days"/>
    <x v="28"/>
    <x v="28"/>
    <s v="2 days"/>
    <x v="0"/>
    <s v="Returning"/>
    <s v="Deluxe"/>
    <n v="28"/>
    <n v="2"/>
    <n v="2522"/>
    <n v="5044"/>
    <n v="0"/>
    <x v="0"/>
    <x v="1"/>
    <x v="1"/>
    <x v="1"/>
  </r>
  <r>
    <n v="2846"/>
    <s v="C0899"/>
    <x v="357"/>
    <s v="35 days"/>
    <x v="150"/>
    <x v="53"/>
    <s v="2 days"/>
    <x v="0"/>
    <s v="New"/>
    <s v="Suite"/>
    <n v="35"/>
    <n v="2"/>
    <n v="4702"/>
    <n v="9404"/>
    <n v="9404"/>
    <x v="0"/>
    <x v="0"/>
    <x v="0"/>
    <x v="0"/>
  </r>
  <r>
    <n v="2847"/>
    <s v="C0916"/>
    <x v="164"/>
    <s v="22 days"/>
    <x v="17"/>
    <x v="17"/>
    <s v="3 days"/>
    <x v="2"/>
    <s v="Returning"/>
    <s v="Suite"/>
    <n v="22"/>
    <n v="3"/>
    <n v="3709"/>
    <n v="11127"/>
    <n v="11127"/>
    <x v="1"/>
    <x v="0"/>
    <x v="0"/>
    <x v="0"/>
  </r>
  <r>
    <n v="2848"/>
    <s v="C0527"/>
    <x v="38"/>
    <s v="40 days"/>
    <x v="381"/>
    <x v="185"/>
    <s v="4 days"/>
    <x v="2"/>
    <s v="New"/>
    <s v="Suite"/>
    <n v="40"/>
    <n v="4"/>
    <n v="4796"/>
    <n v="19184"/>
    <n v="0"/>
    <x v="1"/>
    <x v="1"/>
    <x v="1"/>
    <x v="0"/>
  </r>
  <r>
    <n v="2849"/>
    <s v="C1177"/>
    <x v="35"/>
    <s v="23 days"/>
    <x v="2"/>
    <x v="2"/>
    <s v="1 days"/>
    <x v="3"/>
    <s v="New"/>
    <s v="Standard"/>
    <n v="23"/>
    <n v="1"/>
    <n v="3248"/>
    <n v="3248"/>
    <n v="3248"/>
    <x v="1"/>
    <x v="0"/>
    <x v="0"/>
    <x v="1"/>
  </r>
  <r>
    <n v="2850"/>
    <s v="C0734"/>
    <x v="214"/>
    <s v="3 days"/>
    <x v="49"/>
    <x v="355"/>
    <s v="1 days"/>
    <x v="3"/>
    <s v="Returning"/>
    <s v="Deluxe"/>
    <n v="3"/>
    <n v="1"/>
    <n v="3304"/>
    <n v="3304"/>
    <n v="3304"/>
    <x v="1"/>
    <x v="0"/>
    <x v="0"/>
    <x v="0"/>
  </r>
  <r>
    <n v="2851"/>
    <s v="C0206"/>
    <x v="38"/>
    <s v="40 days"/>
    <x v="381"/>
    <x v="237"/>
    <s v="3 days"/>
    <x v="4"/>
    <s v="Returning"/>
    <s v="Suite"/>
    <n v="40"/>
    <n v="3"/>
    <n v="2633"/>
    <n v="7899"/>
    <n v="0"/>
    <x v="0"/>
    <x v="1"/>
    <x v="1"/>
    <x v="0"/>
  </r>
  <r>
    <n v="2852"/>
    <s v="C0455"/>
    <x v="153"/>
    <s v="50 days"/>
    <x v="338"/>
    <x v="111"/>
    <s v="2 days"/>
    <x v="1"/>
    <s v="New"/>
    <s v="Deluxe"/>
    <n v="50"/>
    <n v="2"/>
    <n v="6916"/>
    <n v="13832"/>
    <n v="0"/>
    <x v="0"/>
    <x v="1"/>
    <x v="1"/>
    <x v="1"/>
  </r>
  <r>
    <n v="2853"/>
    <s v="C1297"/>
    <x v="156"/>
    <s v="10 days"/>
    <x v="329"/>
    <x v="181"/>
    <s v="4 days"/>
    <x v="1"/>
    <s v="Returning"/>
    <s v="Suite"/>
    <n v="10"/>
    <n v="4"/>
    <n v="4937"/>
    <n v="19748"/>
    <n v="19748"/>
    <x v="0"/>
    <x v="0"/>
    <x v="0"/>
    <x v="1"/>
  </r>
  <r>
    <n v="2854"/>
    <s v="C1260"/>
    <x v="328"/>
    <s v="25 days"/>
    <x v="254"/>
    <x v="37"/>
    <s v="3 days"/>
    <x v="3"/>
    <s v="New"/>
    <s v="Deluxe"/>
    <n v="25"/>
    <n v="3"/>
    <n v="2933"/>
    <n v="8799"/>
    <n v="8799"/>
    <x v="1"/>
    <x v="0"/>
    <x v="0"/>
    <x v="1"/>
  </r>
  <r>
    <n v="2855"/>
    <s v="C0521"/>
    <x v="14"/>
    <s v="52 days"/>
    <x v="122"/>
    <x v="328"/>
    <s v="1 days"/>
    <x v="2"/>
    <s v="Returning"/>
    <s v="Suite"/>
    <n v="52"/>
    <n v="1"/>
    <n v="7641"/>
    <n v="7641"/>
    <n v="7641"/>
    <x v="1"/>
    <x v="0"/>
    <x v="0"/>
    <x v="0"/>
  </r>
  <r>
    <n v="2856"/>
    <s v="C1017"/>
    <x v="277"/>
    <s v="49 days"/>
    <x v="72"/>
    <x v="289"/>
    <s v="5 days"/>
    <x v="4"/>
    <s v="Returning"/>
    <s v="Suite"/>
    <n v="49"/>
    <n v="5"/>
    <n v="7468"/>
    <n v="37340"/>
    <n v="0"/>
    <x v="0"/>
    <x v="1"/>
    <x v="1"/>
    <x v="0"/>
  </r>
  <r>
    <n v="2857"/>
    <s v="C0956"/>
    <x v="315"/>
    <s v="8 days"/>
    <x v="223"/>
    <x v="300"/>
    <s v="2 days"/>
    <x v="1"/>
    <s v="Returning"/>
    <s v="Suite"/>
    <n v="8"/>
    <n v="2"/>
    <n v="6171"/>
    <n v="12342"/>
    <n v="12342"/>
    <x v="1"/>
    <x v="0"/>
    <x v="0"/>
    <x v="1"/>
  </r>
  <r>
    <n v="2858"/>
    <s v="C0726"/>
    <x v="293"/>
    <s v="55 days"/>
    <x v="252"/>
    <x v="96"/>
    <s v="5 days"/>
    <x v="3"/>
    <s v="Returning"/>
    <s v="Suite"/>
    <n v="55"/>
    <n v="5"/>
    <n v="6236"/>
    <n v="31180"/>
    <n v="0"/>
    <x v="0"/>
    <x v="1"/>
    <x v="1"/>
    <x v="0"/>
  </r>
  <r>
    <n v="2859"/>
    <s v="C1014"/>
    <x v="289"/>
    <s v="11 days"/>
    <x v="134"/>
    <x v="226"/>
    <s v="3 days"/>
    <x v="2"/>
    <s v="Returning"/>
    <s v="Suite"/>
    <n v="11"/>
    <n v="3"/>
    <n v="6539"/>
    <n v="19617"/>
    <n v="19617"/>
    <x v="1"/>
    <x v="0"/>
    <x v="0"/>
    <x v="0"/>
  </r>
  <r>
    <n v="2860"/>
    <s v="C0501"/>
    <x v="62"/>
    <s v="5 days"/>
    <x v="363"/>
    <x v="236"/>
    <s v="1 days"/>
    <x v="2"/>
    <s v="New"/>
    <s v="Suite"/>
    <n v="5"/>
    <n v="1"/>
    <n v="4598"/>
    <n v="4598"/>
    <n v="4598"/>
    <x v="1"/>
    <x v="0"/>
    <x v="0"/>
    <x v="0"/>
  </r>
  <r>
    <n v="2861"/>
    <s v="C0117"/>
    <x v="206"/>
    <s v="58 days"/>
    <x v="283"/>
    <x v="48"/>
    <s v="4 days"/>
    <x v="2"/>
    <s v="New"/>
    <s v="Suite"/>
    <n v="58"/>
    <n v="4"/>
    <n v="8819"/>
    <n v="35276"/>
    <n v="0"/>
    <x v="1"/>
    <x v="1"/>
    <x v="1"/>
    <x v="1"/>
  </r>
  <r>
    <n v="2862"/>
    <s v="C0386"/>
    <x v="48"/>
    <s v="45 days"/>
    <x v="66"/>
    <x v="84"/>
    <s v="5 days"/>
    <x v="0"/>
    <s v="New"/>
    <s v="Suite"/>
    <n v="45"/>
    <n v="5"/>
    <n v="5417"/>
    <n v="27085"/>
    <n v="27085"/>
    <x v="1"/>
    <x v="0"/>
    <x v="0"/>
    <x v="1"/>
  </r>
  <r>
    <n v="2863"/>
    <s v="C1368"/>
    <x v="321"/>
    <s v="53 days"/>
    <x v="283"/>
    <x v="48"/>
    <s v="4 days"/>
    <x v="2"/>
    <s v="Returning"/>
    <s v="Suite"/>
    <n v="53"/>
    <n v="4"/>
    <n v="2752"/>
    <n v="11008"/>
    <n v="0"/>
    <x v="1"/>
    <x v="1"/>
    <x v="1"/>
    <x v="0"/>
  </r>
  <r>
    <n v="2864"/>
    <s v="C0584"/>
    <x v="218"/>
    <s v="55 days"/>
    <x v="131"/>
    <x v="114"/>
    <s v="1 days"/>
    <x v="3"/>
    <s v="New"/>
    <s v="Deluxe"/>
    <n v="55"/>
    <n v="1"/>
    <n v="7561"/>
    <n v="7561"/>
    <n v="7561"/>
    <x v="0"/>
    <x v="0"/>
    <x v="0"/>
    <x v="0"/>
  </r>
  <r>
    <n v="2865"/>
    <s v="C0395"/>
    <x v="128"/>
    <s v="37 days"/>
    <x v="188"/>
    <x v="364"/>
    <s v="5 days"/>
    <x v="4"/>
    <s v="New"/>
    <s v="Deluxe"/>
    <n v="37"/>
    <n v="5"/>
    <n v="7334"/>
    <n v="36670"/>
    <n v="0"/>
    <x v="0"/>
    <x v="1"/>
    <x v="1"/>
    <x v="0"/>
  </r>
  <r>
    <n v="2866"/>
    <s v="C1088"/>
    <x v="72"/>
    <s v="56 days"/>
    <x v="20"/>
    <x v="126"/>
    <s v="4 days"/>
    <x v="3"/>
    <s v="Returning"/>
    <s v="Standard"/>
    <n v="56"/>
    <n v="4"/>
    <n v="3629"/>
    <n v="14516"/>
    <n v="0"/>
    <x v="0"/>
    <x v="1"/>
    <x v="1"/>
    <x v="0"/>
  </r>
  <r>
    <n v="2867"/>
    <s v="C0721"/>
    <x v="44"/>
    <s v="59 days"/>
    <x v="118"/>
    <x v="101"/>
    <s v="4 days"/>
    <x v="2"/>
    <s v="Returning"/>
    <s v="Suite"/>
    <n v="59"/>
    <n v="4"/>
    <n v="5764"/>
    <n v="23056"/>
    <n v="0"/>
    <x v="1"/>
    <x v="1"/>
    <x v="1"/>
    <x v="1"/>
  </r>
  <r>
    <n v="2868"/>
    <s v="C0072"/>
    <x v="128"/>
    <s v="45 days"/>
    <x v="146"/>
    <x v="274"/>
    <s v="5 days"/>
    <x v="4"/>
    <s v="Returning"/>
    <s v="Deluxe"/>
    <n v="45"/>
    <n v="5"/>
    <n v="7935"/>
    <n v="39675"/>
    <n v="0"/>
    <x v="0"/>
    <x v="1"/>
    <x v="1"/>
    <x v="1"/>
  </r>
  <r>
    <n v="2869"/>
    <s v="C0274"/>
    <x v="192"/>
    <s v="38 days"/>
    <x v="142"/>
    <x v="295"/>
    <s v="1 days"/>
    <x v="1"/>
    <s v="New"/>
    <s v="Deluxe"/>
    <n v="38"/>
    <n v="1"/>
    <n v="2801"/>
    <n v="2801"/>
    <n v="0"/>
    <x v="0"/>
    <x v="1"/>
    <x v="1"/>
    <x v="0"/>
  </r>
  <r>
    <n v="2870"/>
    <s v="C1344"/>
    <x v="348"/>
    <s v="29 days"/>
    <x v="329"/>
    <x v="181"/>
    <s v="4 days"/>
    <x v="1"/>
    <s v="New"/>
    <s v="Deluxe"/>
    <n v="29"/>
    <n v="4"/>
    <n v="4477"/>
    <n v="17908"/>
    <n v="0"/>
    <x v="1"/>
    <x v="1"/>
    <x v="1"/>
    <x v="0"/>
  </r>
  <r>
    <n v="2871"/>
    <s v="C0338"/>
    <x v="289"/>
    <s v="5 days"/>
    <x v="373"/>
    <x v="340"/>
    <s v="3 days"/>
    <x v="3"/>
    <s v="Returning"/>
    <s v="Deluxe"/>
    <n v="5"/>
    <n v="3"/>
    <n v="5263"/>
    <n v="15789"/>
    <n v="15789"/>
    <x v="1"/>
    <x v="0"/>
    <x v="0"/>
    <x v="1"/>
  </r>
  <r>
    <n v="2872"/>
    <s v="C1390"/>
    <x v="69"/>
    <s v="9 days"/>
    <x v="205"/>
    <x v="278"/>
    <s v="5 days"/>
    <x v="4"/>
    <s v="New"/>
    <s v="Deluxe"/>
    <n v="9"/>
    <n v="5"/>
    <n v="6505"/>
    <n v="32525"/>
    <n v="32525"/>
    <x v="0"/>
    <x v="0"/>
    <x v="0"/>
    <x v="0"/>
  </r>
  <r>
    <n v="2873"/>
    <s v="C0607"/>
    <x v="144"/>
    <s v="59 days"/>
    <x v="133"/>
    <x v="130"/>
    <s v="2 days"/>
    <x v="3"/>
    <s v="New"/>
    <s v="Deluxe"/>
    <n v="59"/>
    <n v="2"/>
    <n v="8911"/>
    <n v="17822"/>
    <n v="0"/>
    <x v="0"/>
    <x v="1"/>
    <x v="1"/>
    <x v="1"/>
  </r>
  <r>
    <n v="2874"/>
    <s v="C0166"/>
    <x v="225"/>
    <s v="48 days"/>
    <x v="263"/>
    <x v="57"/>
    <s v="2 days"/>
    <x v="4"/>
    <s v="Returning"/>
    <s v="Standard"/>
    <n v="48"/>
    <n v="2"/>
    <n v="5741"/>
    <n v="11482"/>
    <n v="0"/>
    <x v="0"/>
    <x v="1"/>
    <x v="1"/>
    <x v="0"/>
  </r>
  <r>
    <n v="2875"/>
    <s v="C0011"/>
    <x v="221"/>
    <s v="2 days"/>
    <x v="250"/>
    <x v="5"/>
    <s v="1 days"/>
    <x v="4"/>
    <s v="New"/>
    <s v="Deluxe"/>
    <n v="2"/>
    <n v="1"/>
    <n v="5557"/>
    <n v="5557"/>
    <n v="5557"/>
    <x v="0"/>
    <x v="0"/>
    <x v="0"/>
    <x v="1"/>
  </r>
  <r>
    <n v="2876"/>
    <s v="C1325"/>
    <x v="304"/>
    <s v="1 days"/>
    <x v="35"/>
    <x v="208"/>
    <s v="3 days"/>
    <x v="3"/>
    <s v="Returning"/>
    <s v="Standard"/>
    <n v="1"/>
    <n v="3"/>
    <n v="3050"/>
    <n v="9150"/>
    <n v="9150"/>
    <x v="0"/>
    <x v="0"/>
    <x v="0"/>
    <x v="0"/>
  </r>
  <r>
    <n v="2877"/>
    <s v="C0729"/>
    <x v="328"/>
    <s v="40 days"/>
    <x v="299"/>
    <x v="305"/>
    <s v="4 days"/>
    <x v="4"/>
    <s v="New"/>
    <s v="Standard"/>
    <n v="40"/>
    <n v="4"/>
    <n v="8074"/>
    <n v="32296"/>
    <n v="0"/>
    <x v="1"/>
    <x v="1"/>
    <x v="1"/>
    <x v="0"/>
  </r>
  <r>
    <n v="2878"/>
    <s v="C0801"/>
    <x v="218"/>
    <s v="51 days"/>
    <x v="289"/>
    <x v="90"/>
    <s v="2 days"/>
    <x v="2"/>
    <s v="Returning"/>
    <s v="Suite"/>
    <n v="51"/>
    <n v="2"/>
    <n v="7911"/>
    <n v="15822"/>
    <n v="0"/>
    <x v="0"/>
    <x v="1"/>
    <x v="1"/>
    <x v="1"/>
  </r>
  <r>
    <n v="2879"/>
    <s v="C0102"/>
    <x v="39"/>
    <s v="30 days"/>
    <x v="131"/>
    <x v="114"/>
    <s v="1 days"/>
    <x v="4"/>
    <s v="New"/>
    <s v="Suite"/>
    <n v="30"/>
    <n v="1"/>
    <n v="4087"/>
    <n v="4087"/>
    <n v="4087"/>
    <x v="0"/>
    <x v="0"/>
    <x v="0"/>
    <x v="1"/>
  </r>
  <r>
    <n v="2880"/>
    <s v="C1449"/>
    <x v="31"/>
    <s v="11 days"/>
    <x v="350"/>
    <x v="296"/>
    <s v="3 days"/>
    <x v="4"/>
    <s v="New"/>
    <s v="Suite"/>
    <n v="11"/>
    <n v="3"/>
    <n v="4322"/>
    <n v="12966"/>
    <n v="12966"/>
    <x v="0"/>
    <x v="0"/>
    <x v="0"/>
    <x v="0"/>
  </r>
  <r>
    <n v="2881"/>
    <s v="C1416"/>
    <x v="144"/>
    <s v="28 days"/>
    <x v="125"/>
    <x v="69"/>
    <s v="3 days"/>
    <x v="3"/>
    <s v="Returning"/>
    <s v="Deluxe"/>
    <n v="28"/>
    <n v="3"/>
    <n v="8420"/>
    <n v="25260"/>
    <n v="0"/>
    <x v="0"/>
    <x v="1"/>
    <x v="1"/>
    <x v="0"/>
  </r>
  <r>
    <n v="2882"/>
    <s v="C0779"/>
    <x v="297"/>
    <s v="44 days"/>
    <x v="244"/>
    <x v="213"/>
    <s v="1 days"/>
    <x v="1"/>
    <s v="Returning"/>
    <s v="Suite"/>
    <n v="44"/>
    <n v="1"/>
    <n v="7760"/>
    <n v="7760"/>
    <n v="0"/>
    <x v="0"/>
    <x v="1"/>
    <x v="1"/>
    <x v="1"/>
  </r>
  <r>
    <n v="2883"/>
    <s v="C0214"/>
    <x v="9"/>
    <s v="12 days"/>
    <x v="305"/>
    <x v="7"/>
    <s v="1 days"/>
    <x v="0"/>
    <s v="Returning"/>
    <s v="Deluxe"/>
    <n v="12"/>
    <n v="1"/>
    <n v="5717"/>
    <n v="5717"/>
    <n v="5717"/>
    <x v="0"/>
    <x v="0"/>
    <x v="0"/>
    <x v="1"/>
  </r>
  <r>
    <n v="2884"/>
    <s v="C1112"/>
    <x v="332"/>
    <s v="39 days"/>
    <x v="348"/>
    <x v="217"/>
    <s v="4 days"/>
    <x v="4"/>
    <s v="Returning"/>
    <s v="Deluxe"/>
    <n v="39"/>
    <n v="4"/>
    <n v="5996"/>
    <n v="23984"/>
    <n v="23984"/>
    <x v="1"/>
    <x v="0"/>
    <x v="0"/>
    <x v="0"/>
  </r>
  <r>
    <n v="2885"/>
    <s v="C0401"/>
    <x v="323"/>
    <s v="26 days"/>
    <x v="177"/>
    <x v="279"/>
    <s v="1 days"/>
    <x v="0"/>
    <s v="New"/>
    <s v="Suite"/>
    <n v="26"/>
    <n v="1"/>
    <n v="6909"/>
    <n v="6909"/>
    <n v="6909"/>
    <x v="1"/>
    <x v="0"/>
    <x v="0"/>
    <x v="0"/>
  </r>
  <r>
    <n v="2886"/>
    <s v="C0588"/>
    <x v="299"/>
    <s v="13 days"/>
    <x v="398"/>
    <x v="310"/>
    <s v="4 days"/>
    <x v="4"/>
    <s v="Returning"/>
    <s v="Suite"/>
    <n v="13"/>
    <n v="4"/>
    <n v="6779"/>
    <n v="27116"/>
    <n v="0"/>
    <x v="1"/>
    <x v="1"/>
    <x v="1"/>
    <x v="1"/>
  </r>
  <r>
    <n v="2887"/>
    <s v="C0889"/>
    <x v="60"/>
    <s v="59 days"/>
    <x v="312"/>
    <x v="318"/>
    <s v="4 days"/>
    <x v="3"/>
    <s v="Returning"/>
    <s v="Standard"/>
    <n v="59"/>
    <n v="4"/>
    <n v="8283"/>
    <n v="33132"/>
    <n v="0"/>
    <x v="0"/>
    <x v="1"/>
    <x v="1"/>
    <x v="1"/>
  </r>
  <r>
    <n v="2888"/>
    <s v="C1070"/>
    <x v="0"/>
    <s v="8 days"/>
    <x v="87"/>
    <x v="202"/>
    <s v="5 days"/>
    <x v="3"/>
    <s v="Returning"/>
    <s v="Standard"/>
    <n v="8"/>
    <n v="5"/>
    <n v="3212"/>
    <n v="16060"/>
    <n v="16060"/>
    <x v="0"/>
    <x v="0"/>
    <x v="0"/>
    <x v="1"/>
  </r>
  <r>
    <n v="2889"/>
    <s v="C1487"/>
    <x v="226"/>
    <s v="54 days"/>
    <x v="288"/>
    <x v="300"/>
    <s v="3 days"/>
    <x v="4"/>
    <s v="Returning"/>
    <s v="Deluxe"/>
    <n v="54"/>
    <n v="3"/>
    <n v="4675"/>
    <n v="14025"/>
    <n v="0"/>
    <x v="1"/>
    <x v="1"/>
    <x v="1"/>
    <x v="1"/>
  </r>
  <r>
    <n v="2890"/>
    <s v="C0592"/>
    <x v="361"/>
    <s v="28 days"/>
    <x v="347"/>
    <x v="97"/>
    <s v="3 days"/>
    <x v="3"/>
    <s v="Returning"/>
    <s v="Deluxe"/>
    <n v="28"/>
    <n v="3"/>
    <n v="7906"/>
    <n v="23718"/>
    <n v="0"/>
    <x v="0"/>
    <x v="1"/>
    <x v="1"/>
    <x v="1"/>
  </r>
  <r>
    <n v="2891"/>
    <s v="C1334"/>
    <x v="232"/>
    <s v="58 days"/>
    <x v="34"/>
    <x v="34"/>
    <s v="3 days"/>
    <x v="3"/>
    <s v="New"/>
    <s v="Suite"/>
    <n v="58"/>
    <n v="3"/>
    <n v="6572"/>
    <n v="19716"/>
    <n v="0"/>
    <x v="0"/>
    <x v="1"/>
    <x v="1"/>
    <x v="0"/>
  </r>
  <r>
    <n v="2892"/>
    <s v="C1110"/>
    <x v="251"/>
    <s v="30 days"/>
    <x v="336"/>
    <x v="178"/>
    <s v="5 days"/>
    <x v="4"/>
    <s v="Returning"/>
    <s v="Suite"/>
    <n v="30"/>
    <n v="5"/>
    <n v="6349"/>
    <n v="31745"/>
    <n v="0"/>
    <x v="0"/>
    <x v="1"/>
    <x v="1"/>
    <x v="0"/>
  </r>
  <r>
    <n v="2893"/>
    <s v="C0092"/>
    <x v="102"/>
    <s v="9 days"/>
    <x v="2"/>
    <x v="307"/>
    <s v="4 days"/>
    <x v="1"/>
    <s v="Returning"/>
    <s v="Standard"/>
    <n v="9"/>
    <n v="4"/>
    <n v="4933"/>
    <n v="19732"/>
    <n v="0"/>
    <x v="1"/>
    <x v="1"/>
    <x v="1"/>
    <x v="1"/>
  </r>
  <r>
    <n v="2894"/>
    <s v="C0673"/>
    <x v="80"/>
    <s v="39 days"/>
    <x v="278"/>
    <x v="321"/>
    <s v="4 days"/>
    <x v="4"/>
    <s v="Returning"/>
    <s v="Suite"/>
    <n v="39"/>
    <n v="4"/>
    <n v="5801"/>
    <n v="23204"/>
    <n v="0"/>
    <x v="1"/>
    <x v="1"/>
    <x v="1"/>
    <x v="0"/>
  </r>
  <r>
    <n v="2895"/>
    <s v="C0714"/>
    <x v="74"/>
    <s v="31 days"/>
    <x v="178"/>
    <x v="264"/>
    <s v="1 days"/>
    <x v="1"/>
    <s v="New"/>
    <s v="Deluxe"/>
    <n v="31"/>
    <n v="1"/>
    <n v="2770"/>
    <n v="2770"/>
    <n v="0"/>
    <x v="1"/>
    <x v="1"/>
    <x v="1"/>
    <x v="0"/>
  </r>
  <r>
    <n v="2896"/>
    <s v="C0936"/>
    <x v="252"/>
    <s v="58 days"/>
    <x v="94"/>
    <x v="171"/>
    <s v="5 days"/>
    <x v="3"/>
    <s v="New"/>
    <s v="Suite"/>
    <n v="58"/>
    <n v="5"/>
    <n v="4294"/>
    <n v="21470"/>
    <n v="0"/>
    <x v="0"/>
    <x v="1"/>
    <x v="1"/>
    <x v="1"/>
  </r>
  <r>
    <n v="2897"/>
    <s v="C0242"/>
    <x v="67"/>
    <s v="21 days"/>
    <x v="322"/>
    <x v="127"/>
    <s v="1 days"/>
    <x v="1"/>
    <s v="New"/>
    <s v="Standard"/>
    <n v="21"/>
    <n v="1"/>
    <n v="7406"/>
    <n v="7406"/>
    <n v="0"/>
    <x v="1"/>
    <x v="1"/>
    <x v="1"/>
    <x v="0"/>
  </r>
  <r>
    <n v="2898"/>
    <s v="C0002"/>
    <x v="248"/>
    <s v="56 days"/>
    <x v="311"/>
    <x v="46"/>
    <s v="5 days"/>
    <x v="3"/>
    <s v="Returning"/>
    <s v="Deluxe"/>
    <n v="56"/>
    <n v="5"/>
    <n v="4962"/>
    <n v="24810"/>
    <n v="0"/>
    <x v="1"/>
    <x v="1"/>
    <x v="1"/>
    <x v="0"/>
  </r>
  <r>
    <n v="2899"/>
    <s v="C0225"/>
    <x v="270"/>
    <s v="47 days"/>
    <x v="62"/>
    <x v="206"/>
    <s v="1 days"/>
    <x v="1"/>
    <s v="Returning"/>
    <s v="Standard"/>
    <n v="47"/>
    <n v="1"/>
    <n v="6793"/>
    <n v="6793"/>
    <n v="0"/>
    <x v="1"/>
    <x v="1"/>
    <x v="1"/>
    <x v="0"/>
  </r>
  <r>
    <n v="2900"/>
    <s v="C0801"/>
    <x v="6"/>
    <s v="34 days"/>
    <x v="397"/>
    <x v="358"/>
    <s v="2 days"/>
    <x v="1"/>
    <s v="New"/>
    <s v="Standard"/>
    <n v="34"/>
    <n v="2"/>
    <n v="5894"/>
    <n v="11788"/>
    <n v="11788"/>
    <x v="0"/>
    <x v="0"/>
    <x v="0"/>
    <x v="1"/>
  </r>
  <r>
    <n v="2901"/>
    <s v="C0589"/>
    <x v="317"/>
    <s v="55 days"/>
    <x v="35"/>
    <x v="208"/>
    <s v="3 days"/>
    <x v="4"/>
    <s v="New"/>
    <s v="Deluxe"/>
    <n v="55"/>
    <n v="3"/>
    <n v="3579"/>
    <n v="10737"/>
    <n v="10737"/>
    <x v="1"/>
    <x v="0"/>
    <x v="0"/>
    <x v="1"/>
  </r>
  <r>
    <n v="2902"/>
    <s v="C0116"/>
    <x v="89"/>
    <s v="31 days"/>
    <x v="182"/>
    <x v="123"/>
    <s v="3 days"/>
    <x v="1"/>
    <s v="Returning"/>
    <s v="Standard"/>
    <n v="31"/>
    <n v="3"/>
    <n v="5378"/>
    <n v="16134"/>
    <n v="0"/>
    <x v="1"/>
    <x v="1"/>
    <x v="1"/>
    <x v="0"/>
  </r>
  <r>
    <n v="2903"/>
    <s v="C0918"/>
    <x v="202"/>
    <s v="52 days"/>
    <x v="355"/>
    <x v="220"/>
    <s v="4 days"/>
    <x v="3"/>
    <s v="Returning"/>
    <s v="Suite"/>
    <n v="52"/>
    <n v="4"/>
    <n v="7822"/>
    <n v="31288"/>
    <n v="0"/>
    <x v="0"/>
    <x v="1"/>
    <x v="1"/>
    <x v="0"/>
  </r>
  <r>
    <n v="2904"/>
    <s v="C1127"/>
    <x v="362"/>
    <s v="25 days"/>
    <x v="182"/>
    <x v="61"/>
    <s v="2 days"/>
    <x v="4"/>
    <s v="Returning"/>
    <s v="Suite"/>
    <n v="25"/>
    <n v="2"/>
    <n v="8240"/>
    <n v="16480"/>
    <n v="16480"/>
    <x v="1"/>
    <x v="0"/>
    <x v="0"/>
    <x v="0"/>
  </r>
  <r>
    <n v="2905"/>
    <s v="C0194"/>
    <x v="67"/>
    <s v="12 days"/>
    <x v="178"/>
    <x v="199"/>
    <s v="3 days"/>
    <x v="1"/>
    <s v="New"/>
    <s v="Standard"/>
    <n v="12"/>
    <n v="3"/>
    <n v="7223"/>
    <n v="21669"/>
    <n v="21669"/>
    <x v="0"/>
    <x v="0"/>
    <x v="0"/>
    <x v="0"/>
  </r>
  <r>
    <n v="2906"/>
    <s v="C1190"/>
    <x v="312"/>
    <s v="1 days"/>
    <x v="349"/>
    <x v="354"/>
    <s v="4 days"/>
    <x v="4"/>
    <s v="Returning"/>
    <s v="Suite"/>
    <n v="1"/>
    <n v="4"/>
    <n v="3103"/>
    <n v="12412"/>
    <n v="0"/>
    <x v="0"/>
    <x v="1"/>
    <x v="1"/>
    <x v="0"/>
  </r>
  <r>
    <n v="2907"/>
    <s v="C0871"/>
    <x v="294"/>
    <s v="55 days"/>
    <x v="34"/>
    <x v="327"/>
    <s v="2 days"/>
    <x v="0"/>
    <s v="Returning"/>
    <s v="Standard"/>
    <n v="55"/>
    <n v="2"/>
    <n v="7757"/>
    <n v="15514"/>
    <n v="15514"/>
    <x v="1"/>
    <x v="0"/>
    <x v="0"/>
    <x v="0"/>
  </r>
  <r>
    <n v="2908"/>
    <s v="C0090"/>
    <x v="326"/>
    <s v="22 days"/>
    <x v="356"/>
    <x v="397"/>
    <s v="3 days"/>
    <x v="4"/>
    <s v="New"/>
    <s v="Suite"/>
    <n v="22"/>
    <n v="3"/>
    <n v="8041"/>
    <n v="24123"/>
    <n v="0"/>
    <x v="1"/>
    <x v="1"/>
    <x v="1"/>
    <x v="1"/>
  </r>
  <r>
    <n v="2909"/>
    <s v="C0122"/>
    <x v="260"/>
    <s v="40 days"/>
    <x v="205"/>
    <x v="122"/>
    <s v="1 days"/>
    <x v="0"/>
    <s v="New"/>
    <s v="Standard"/>
    <n v="40"/>
    <n v="1"/>
    <n v="7676"/>
    <n v="7676"/>
    <n v="7676"/>
    <x v="1"/>
    <x v="0"/>
    <x v="0"/>
    <x v="0"/>
  </r>
  <r>
    <n v="2910"/>
    <s v="C0143"/>
    <x v="158"/>
    <s v="37 days"/>
    <x v="265"/>
    <x v="125"/>
    <s v="5 days"/>
    <x v="0"/>
    <s v="New"/>
    <s v="Suite"/>
    <n v="37"/>
    <n v="5"/>
    <n v="4085"/>
    <n v="20425"/>
    <n v="20425"/>
    <x v="0"/>
    <x v="0"/>
    <x v="0"/>
    <x v="0"/>
  </r>
  <r>
    <n v="2911"/>
    <s v="C0994"/>
    <x v="169"/>
    <s v="47 days"/>
    <x v="335"/>
    <x v="154"/>
    <s v="2 days"/>
    <x v="4"/>
    <s v="Returning"/>
    <s v="Deluxe"/>
    <n v="47"/>
    <n v="2"/>
    <n v="5557"/>
    <n v="11114"/>
    <n v="11114"/>
    <x v="1"/>
    <x v="0"/>
    <x v="0"/>
    <x v="1"/>
  </r>
  <r>
    <n v="2912"/>
    <s v="C0106"/>
    <x v="363"/>
    <s v="1 days"/>
    <x v="379"/>
    <x v="332"/>
    <s v="4 days"/>
    <x v="3"/>
    <s v="New"/>
    <s v="Deluxe"/>
    <n v="1"/>
    <n v="4"/>
    <n v="8714"/>
    <n v="34856"/>
    <n v="34856"/>
    <x v="1"/>
    <x v="0"/>
    <x v="0"/>
    <x v="0"/>
  </r>
  <r>
    <n v="2913"/>
    <s v="C0887"/>
    <x v="244"/>
    <s v="1 days"/>
    <x v="245"/>
    <x v="38"/>
    <s v="2 days"/>
    <x v="3"/>
    <s v="New"/>
    <s v="Suite"/>
    <n v="1"/>
    <n v="2"/>
    <n v="7506"/>
    <n v="15012"/>
    <n v="15012"/>
    <x v="1"/>
    <x v="0"/>
    <x v="0"/>
    <x v="0"/>
  </r>
  <r>
    <n v="2914"/>
    <s v="C0428"/>
    <x v="261"/>
    <s v="57 days"/>
    <x v="75"/>
    <x v="72"/>
    <s v="4 days"/>
    <x v="3"/>
    <s v="Returning"/>
    <s v="Standard"/>
    <n v="57"/>
    <n v="4"/>
    <n v="6485"/>
    <n v="25940"/>
    <n v="0"/>
    <x v="0"/>
    <x v="1"/>
    <x v="1"/>
    <x v="0"/>
  </r>
  <r>
    <n v="2915"/>
    <s v="C1329"/>
    <x v="258"/>
    <s v="42 days"/>
    <x v="162"/>
    <x v="394"/>
    <s v="2 days"/>
    <x v="2"/>
    <s v="Returning"/>
    <s v="Suite"/>
    <n v="42"/>
    <n v="2"/>
    <n v="7189"/>
    <n v="14378"/>
    <n v="0"/>
    <x v="0"/>
    <x v="1"/>
    <x v="1"/>
    <x v="0"/>
  </r>
  <r>
    <n v="2916"/>
    <s v="C0317"/>
    <x v="62"/>
    <s v="54 days"/>
    <x v="390"/>
    <x v="378"/>
    <s v="4 days"/>
    <x v="0"/>
    <s v="New"/>
    <s v="Standard"/>
    <n v="54"/>
    <n v="4"/>
    <n v="3895"/>
    <n v="15580"/>
    <n v="0"/>
    <x v="0"/>
    <x v="1"/>
    <x v="1"/>
    <x v="1"/>
  </r>
  <r>
    <n v="2917"/>
    <s v="C0635"/>
    <x v="93"/>
    <s v="42 days"/>
    <x v="107"/>
    <x v="196"/>
    <s v="3 days"/>
    <x v="4"/>
    <s v="Returning"/>
    <s v="Suite"/>
    <n v="42"/>
    <n v="3"/>
    <n v="6188"/>
    <n v="18564"/>
    <n v="0"/>
    <x v="1"/>
    <x v="1"/>
    <x v="1"/>
    <x v="0"/>
  </r>
  <r>
    <n v="2918"/>
    <s v="C0009"/>
    <x v="88"/>
    <s v="21 days"/>
    <x v="380"/>
    <x v="275"/>
    <s v="1 days"/>
    <x v="3"/>
    <s v="New"/>
    <s v="Suite"/>
    <n v="21"/>
    <n v="1"/>
    <n v="3099"/>
    <n v="3099"/>
    <n v="3099"/>
    <x v="1"/>
    <x v="0"/>
    <x v="0"/>
    <x v="1"/>
  </r>
  <r>
    <n v="2919"/>
    <s v="C0774"/>
    <x v="344"/>
    <s v="15 days"/>
    <x v="364"/>
    <x v="275"/>
    <s v="3 days"/>
    <x v="3"/>
    <s v="Returning"/>
    <s v="Deluxe"/>
    <n v="15"/>
    <n v="3"/>
    <n v="3013"/>
    <n v="9039"/>
    <n v="0"/>
    <x v="0"/>
    <x v="1"/>
    <x v="1"/>
    <x v="0"/>
  </r>
  <r>
    <n v="2920"/>
    <s v="C1097"/>
    <x v="205"/>
    <s v="17 days"/>
    <x v="227"/>
    <x v="220"/>
    <s v="1 days"/>
    <x v="4"/>
    <s v="Returning"/>
    <s v="Standard"/>
    <n v="17"/>
    <n v="1"/>
    <n v="8491"/>
    <n v="8491"/>
    <n v="0"/>
    <x v="1"/>
    <x v="1"/>
    <x v="1"/>
    <x v="0"/>
  </r>
  <r>
    <n v="2921"/>
    <s v="C1383"/>
    <x v="172"/>
    <s v="22 days"/>
    <x v="353"/>
    <x v="72"/>
    <s v="3 days"/>
    <x v="0"/>
    <s v="New"/>
    <s v="Standard"/>
    <n v="22"/>
    <n v="3"/>
    <n v="8727"/>
    <n v="26181"/>
    <n v="26181"/>
    <x v="1"/>
    <x v="0"/>
    <x v="0"/>
    <x v="1"/>
  </r>
  <r>
    <n v="2922"/>
    <s v="C0223"/>
    <x v="313"/>
    <s v="38 days"/>
    <x v="197"/>
    <x v="227"/>
    <s v="3 days"/>
    <x v="4"/>
    <s v="New"/>
    <s v="Standard"/>
    <n v="38"/>
    <n v="3"/>
    <n v="3566"/>
    <n v="10698"/>
    <n v="10698"/>
    <x v="0"/>
    <x v="0"/>
    <x v="0"/>
    <x v="0"/>
  </r>
  <r>
    <n v="2923"/>
    <s v="C1440"/>
    <x v="0"/>
    <s v="35 days"/>
    <x v="229"/>
    <x v="301"/>
    <s v="2 days"/>
    <x v="2"/>
    <s v="New"/>
    <s v="Standard"/>
    <n v="35"/>
    <n v="2"/>
    <n v="5386"/>
    <n v="10772"/>
    <n v="0"/>
    <x v="0"/>
    <x v="1"/>
    <x v="1"/>
    <x v="1"/>
  </r>
  <r>
    <n v="2924"/>
    <s v="C0553"/>
    <x v="31"/>
    <s v="45 days"/>
    <x v="33"/>
    <x v="36"/>
    <s v="5 days"/>
    <x v="2"/>
    <s v="Returning"/>
    <s v="Standard"/>
    <n v="45"/>
    <n v="5"/>
    <n v="8553"/>
    <n v="42765"/>
    <n v="0"/>
    <x v="0"/>
    <x v="1"/>
    <x v="1"/>
    <x v="1"/>
  </r>
  <r>
    <n v="2925"/>
    <s v="C1394"/>
    <x v="342"/>
    <s v="16 days"/>
    <x v="290"/>
    <x v="382"/>
    <s v="4 days"/>
    <x v="4"/>
    <s v="New"/>
    <s v="Deluxe"/>
    <n v="16"/>
    <n v="4"/>
    <n v="5153"/>
    <n v="20612"/>
    <n v="0"/>
    <x v="1"/>
    <x v="1"/>
    <x v="1"/>
    <x v="1"/>
  </r>
  <r>
    <n v="2926"/>
    <s v="C0716"/>
    <x v="216"/>
    <s v="8 days"/>
    <x v="107"/>
    <x v="107"/>
    <s v="4 days"/>
    <x v="0"/>
    <s v="Returning"/>
    <s v="Suite"/>
    <n v="8"/>
    <n v="4"/>
    <n v="7405"/>
    <n v="29620"/>
    <n v="29620"/>
    <x v="1"/>
    <x v="0"/>
    <x v="0"/>
    <x v="0"/>
  </r>
  <r>
    <n v="2927"/>
    <s v="C1288"/>
    <x v="151"/>
    <s v="47 days"/>
    <x v="239"/>
    <x v="147"/>
    <s v="4 days"/>
    <x v="3"/>
    <s v="Returning"/>
    <s v="Standard"/>
    <n v="47"/>
    <n v="4"/>
    <n v="8776"/>
    <n v="35104"/>
    <n v="0"/>
    <x v="1"/>
    <x v="1"/>
    <x v="1"/>
    <x v="0"/>
  </r>
  <r>
    <n v="2928"/>
    <s v="C1342"/>
    <x v="59"/>
    <s v="17 days"/>
    <x v="262"/>
    <x v="299"/>
    <s v="1 days"/>
    <x v="2"/>
    <s v="New"/>
    <s v="Standard"/>
    <n v="17"/>
    <n v="1"/>
    <n v="3588"/>
    <n v="3588"/>
    <n v="3588"/>
    <x v="0"/>
    <x v="0"/>
    <x v="0"/>
    <x v="0"/>
  </r>
  <r>
    <n v="2929"/>
    <s v="C1108"/>
    <x v="15"/>
    <s v="17 days"/>
    <x v="288"/>
    <x v="174"/>
    <s v="4 days"/>
    <x v="2"/>
    <s v="Returning"/>
    <s v="Suite"/>
    <n v="17"/>
    <n v="4"/>
    <n v="6885"/>
    <n v="27540"/>
    <n v="0"/>
    <x v="0"/>
    <x v="1"/>
    <x v="1"/>
    <x v="0"/>
  </r>
  <r>
    <n v="2930"/>
    <s v="C1342"/>
    <x v="94"/>
    <s v="54 days"/>
    <x v="399"/>
    <x v="3"/>
    <s v="4 days"/>
    <x v="0"/>
    <s v="Returning"/>
    <s v="Deluxe"/>
    <n v="54"/>
    <n v="4"/>
    <n v="7364"/>
    <n v="29456"/>
    <n v="0"/>
    <x v="1"/>
    <x v="1"/>
    <x v="1"/>
    <x v="1"/>
  </r>
  <r>
    <n v="2931"/>
    <s v="C0111"/>
    <x v="355"/>
    <s v="26 days"/>
    <x v="273"/>
    <x v="76"/>
    <s v="2 days"/>
    <x v="2"/>
    <s v="New"/>
    <s v="Deluxe"/>
    <n v="26"/>
    <n v="2"/>
    <n v="5014"/>
    <n v="10028"/>
    <n v="10028"/>
    <x v="0"/>
    <x v="0"/>
    <x v="0"/>
    <x v="0"/>
  </r>
  <r>
    <n v="2932"/>
    <s v="C0251"/>
    <x v="200"/>
    <s v="13 days"/>
    <x v="70"/>
    <x v="104"/>
    <s v="3 days"/>
    <x v="2"/>
    <s v="Returning"/>
    <s v="Deluxe"/>
    <n v="13"/>
    <n v="3"/>
    <n v="6469"/>
    <n v="19407"/>
    <n v="0"/>
    <x v="0"/>
    <x v="1"/>
    <x v="1"/>
    <x v="0"/>
  </r>
  <r>
    <n v="2933"/>
    <s v="C0383"/>
    <x v="84"/>
    <s v="17 days"/>
    <x v="204"/>
    <x v="160"/>
    <s v="4 days"/>
    <x v="0"/>
    <s v="Returning"/>
    <s v="Suite"/>
    <n v="17"/>
    <n v="4"/>
    <n v="5784"/>
    <n v="23136"/>
    <n v="23136"/>
    <x v="1"/>
    <x v="0"/>
    <x v="0"/>
    <x v="1"/>
  </r>
  <r>
    <n v="2934"/>
    <s v="C0007"/>
    <x v="145"/>
    <s v="38 days"/>
    <x v="200"/>
    <x v="122"/>
    <s v="5 days"/>
    <x v="4"/>
    <s v="New"/>
    <s v="Suite"/>
    <n v="38"/>
    <n v="5"/>
    <n v="7066"/>
    <n v="35330"/>
    <n v="0"/>
    <x v="0"/>
    <x v="1"/>
    <x v="1"/>
    <x v="1"/>
  </r>
  <r>
    <n v="2935"/>
    <s v="C0459"/>
    <x v="248"/>
    <s v="17 days"/>
    <x v="241"/>
    <x v="296"/>
    <s v="4 days"/>
    <x v="3"/>
    <s v="New"/>
    <s v="Deluxe"/>
    <n v="17"/>
    <n v="4"/>
    <n v="4696"/>
    <n v="18784"/>
    <n v="18784"/>
    <x v="1"/>
    <x v="0"/>
    <x v="0"/>
    <x v="0"/>
  </r>
  <r>
    <n v="2936"/>
    <s v="C1108"/>
    <x v="47"/>
    <s v="48 days"/>
    <x v="223"/>
    <x v="284"/>
    <s v="1 days"/>
    <x v="3"/>
    <s v="Returning"/>
    <s v="Deluxe"/>
    <n v="48"/>
    <n v="1"/>
    <n v="6683"/>
    <n v="6683"/>
    <n v="0"/>
    <x v="0"/>
    <x v="1"/>
    <x v="1"/>
    <x v="1"/>
  </r>
  <r>
    <n v="2937"/>
    <s v="C0208"/>
    <x v="109"/>
    <s v="14 days"/>
    <x v="110"/>
    <x v="107"/>
    <s v="1 days"/>
    <x v="2"/>
    <s v="Returning"/>
    <s v="Suite"/>
    <n v="14"/>
    <n v="1"/>
    <n v="3289"/>
    <n v="3289"/>
    <n v="0"/>
    <x v="1"/>
    <x v="1"/>
    <x v="1"/>
    <x v="1"/>
  </r>
  <r>
    <n v="2938"/>
    <s v="C0900"/>
    <x v="143"/>
    <s v="45 days"/>
    <x v="32"/>
    <x v="329"/>
    <s v="1 days"/>
    <x v="3"/>
    <s v="Returning"/>
    <s v="Deluxe"/>
    <n v="45"/>
    <n v="1"/>
    <n v="5975"/>
    <n v="5975"/>
    <n v="0"/>
    <x v="0"/>
    <x v="1"/>
    <x v="1"/>
    <x v="1"/>
  </r>
  <r>
    <n v="2939"/>
    <s v="C1414"/>
    <x v="213"/>
    <s v="6 days"/>
    <x v="300"/>
    <x v="333"/>
    <s v="4 days"/>
    <x v="4"/>
    <s v="Returning"/>
    <s v="Standard"/>
    <n v="6"/>
    <n v="4"/>
    <n v="5653"/>
    <n v="22612"/>
    <n v="22612"/>
    <x v="1"/>
    <x v="0"/>
    <x v="0"/>
    <x v="1"/>
  </r>
  <r>
    <n v="2940"/>
    <s v="C1338"/>
    <x v="333"/>
    <s v="35 days"/>
    <x v="332"/>
    <x v="239"/>
    <s v="2 days"/>
    <x v="2"/>
    <s v="New"/>
    <s v="Suite"/>
    <n v="35"/>
    <n v="2"/>
    <n v="4164"/>
    <n v="8328"/>
    <n v="8328"/>
    <x v="0"/>
    <x v="0"/>
    <x v="0"/>
    <x v="1"/>
  </r>
  <r>
    <n v="2941"/>
    <s v="C0022"/>
    <x v="267"/>
    <s v="46 days"/>
    <x v="149"/>
    <x v="144"/>
    <s v="5 days"/>
    <x v="3"/>
    <s v="Returning"/>
    <s v="Deluxe"/>
    <n v="46"/>
    <n v="5"/>
    <n v="3809"/>
    <n v="19045"/>
    <n v="19045"/>
    <x v="0"/>
    <x v="0"/>
    <x v="0"/>
    <x v="0"/>
  </r>
  <r>
    <n v="2942"/>
    <s v="C0410"/>
    <x v="175"/>
    <s v="14 days"/>
    <x v="314"/>
    <x v="320"/>
    <s v="4 days"/>
    <x v="1"/>
    <s v="Returning"/>
    <s v="Standard"/>
    <n v="14"/>
    <n v="4"/>
    <n v="3364"/>
    <n v="13456"/>
    <n v="13456"/>
    <x v="0"/>
    <x v="0"/>
    <x v="0"/>
    <x v="0"/>
  </r>
  <r>
    <n v="2943"/>
    <s v="C0895"/>
    <x v="117"/>
    <s v="47 days"/>
    <x v="337"/>
    <x v="83"/>
    <s v="2 days"/>
    <x v="1"/>
    <s v="Returning"/>
    <s v="Suite"/>
    <n v="47"/>
    <n v="2"/>
    <n v="6363"/>
    <n v="12726"/>
    <n v="0"/>
    <x v="0"/>
    <x v="1"/>
    <x v="1"/>
    <x v="0"/>
  </r>
  <r>
    <n v="2944"/>
    <s v="C0515"/>
    <x v="325"/>
    <s v="8 days"/>
    <x v="400"/>
    <x v="399"/>
    <s v="2 days"/>
    <x v="1"/>
    <s v="Returning"/>
    <s v="Suite"/>
    <n v="8"/>
    <n v="2"/>
    <n v="7889"/>
    <n v="15778"/>
    <n v="0"/>
    <x v="0"/>
    <x v="1"/>
    <x v="1"/>
    <x v="0"/>
  </r>
  <r>
    <n v="2945"/>
    <s v="C1151"/>
    <x v="131"/>
    <s v="15 days"/>
    <x v="401"/>
    <x v="58"/>
    <s v="4 days"/>
    <x v="1"/>
    <s v="New"/>
    <s v="Standard"/>
    <n v="15"/>
    <n v="4"/>
    <n v="5863"/>
    <n v="23452"/>
    <n v="0"/>
    <x v="1"/>
    <x v="1"/>
    <x v="1"/>
    <x v="0"/>
  </r>
  <r>
    <n v="2946"/>
    <s v="C0809"/>
    <x v="248"/>
    <s v="54 days"/>
    <x v="278"/>
    <x v="321"/>
    <s v="4 days"/>
    <x v="1"/>
    <s v="Returning"/>
    <s v="Suite"/>
    <n v="54"/>
    <n v="4"/>
    <n v="6024"/>
    <n v="24096"/>
    <n v="0"/>
    <x v="1"/>
    <x v="1"/>
    <x v="1"/>
    <x v="0"/>
  </r>
  <r>
    <n v="2947"/>
    <s v="C0874"/>
    <x v="80"/>
    <s v="27 days"/>
    <x v="29"/>
    <x v="225"/>
    <s v="2 days"/>
    <x v="2"/>
    <s v="New"/>
    <s v="Deluxe"/>
    <n v="27"/>
    <n v="2"/>
    <n v="6286"/>
    <n v="12572"/>
    <n v="0"/>
    <x v="1"/>
    <x v="1"/>
    <x v="1"/>
    <x v="0"/>
  </r>
  <r>
    <n v="2948"/>
    <s v="C0014"/>
    <x v="57"/>
    <s v="13 days"/>
    <x v="29"/>
    <x v="225"/>
    <s v="2 days"/>
    <x v="0"/>
    <s v="New"/>
    <s v="Suite"/>
    <n v="13"/>
    <n v="2"/>
    <n v="2523"/>
    <n v="5046"/>
    <n v="0"/>
    <x v="0"/>
    <x v="1"/>
    <x v="1"/>
    <x v="1"/>
  </r>
  <r>
    <n v="2949"/>
    <s v="C0971"/>
    <x v="73"/>
    <s v="49 days"/>
    <x v="104"/>
    <x v="319"/>
    <s v="2 days"/>
    <x v="0"/>
    <s v="New"/>
    <s v="Deluxe"/>
    <n v="49"/>
    <n v="2"/>
    <n v="5503"/>
    <n v="11006"/>
    <n v="0"/>
    <x v="1"/>
    <x v="1"/>
    <x v="1"/>
    <x v="0"/>
  </r>
  <r>
    <n v="2950"/>
    <s v="C0978"/>
    <x v="269"/>
    <s v="31 days"/>
    <x v="224"/>
    <x v="216"/>
    <s v="4 days"/>
    <x v="2"/>
    <s v="New"/>
    <s v="Standard"/>
    <n v="31"/>
    <n v="4"/>
    <n v="8482"/>
    <n v="33928"/>
    <n v="33928"/>
    <x v="0"/>
    <x v="0"/>
    <x v="0"/>
    <x v="0"/>
  </r>
  <r>
    <n v="2951"/>
    <s v="C1014"/>
    <x v="151"/>
    <s v="53 days"/>
    <x v="342"/>
    <x v="348"/>
    <s v="2 days"/>
    <x v="2"/>
    <s v="New"/>
    <s v="Standard"/>
    <n v="53"/>
    <n v="2"/>
    <n v="2810"/>
    <n v="5620"/>
    <n v="5620"/>
    <x v="0"/>
    <x v="0"/>
    <x v="0"/>
    <x v="0"/>
  </r>
  <r>
    <n v="2952"/>
    <s v="C1036"/>
    <x v="155"/>
    <s v="56 days"/>
    <x v="46"/>
    <x v="228"/>
    <s v="1 days"/>
    <x v="4"/>
    <s v="Returning"/>
    <s v="Suite"/>
    <n v="56"/>
    <n v="1"/>
    <n v="8080"/>
    <n v="8080"/>
    <n v="0"/>
    <x v="1"/>
    <x v="1"/>
    <x v="1"/>
    <x v="1"/>
  </r>
  <r>
    <n v="2953"/>
    <s v="C0087"/>
    <x v="227"/>
    <s v="35 days"/>
    <x v="290"/>
    <x v="382"/>
    <s v="4 days"/>
    <x v="0"/>
    <s v="New"/>
    <s v="Standard"/>
    <n v="35"/>
    <n v="4"/>
    <n v="3731"/>
    <n v="14924"/>
    <n v="14924"/>
    <x v="1"/>
    <x v="0"/>
    <x v="0"/>
    <x v="0"/>
  </r>
  <r>
    <n v="2954"/>
    <s v="C0909"/>
    <x v="38"/>
    <s v="6 days"/>
    <x v="379"/>
    <x v="23"/>
    <s v="1 days"/>
    <x v="1"/>
    <s v="New"/>
    <s v="Standard"/>
    <n v="6"/>
    <n v="1"/>
    <n v="6288"/>
    <n v="6288"/>
    <n v="6288"/>
    <x v="0"/>
    <x v="0"/>
    <x v="0"/>
    <x v="0"/>
  </r>
  <r>
    <n v="2955"/>
    <s v="C1325"/>
    <x v="308"/>
    <s v="5 days"/>
    <x v="296"/>
    <x v="285"/>
    <s v="3 days"/>
    <x v="2"/>
    <s v="New"/>
    <s v="Suite"/>
    <n v="5"/>
    <n v="3"/>
    <n v="5211"/>
    <n v="15633"/>
    <n v="15633"/>
    <x v="0"/>
    <x v="0"/>
    <x v="0"/>
    <x v="1"/>
  </r>
  <r>
    <n v="2956"/>
    <s v="C1267"/>
    <x v="294"/>
    <s v="22 days"/>
    <x v="236"/>
    <x v="294"/>
    <s v="4 days"/>
    <x v="1"/>
    <s v="Returning"/>
    <s v="Deluxe"/>
    <n v="22"/>
    <n v="4"/>
    <n v="7301"/>
    <n v="29204"/>
    <n v="0"/>
    <x v="1"/>
    <x v="1"/>
    <x v="1"/>
    <x v="0"/>
  </r>
  <r>
    <n v="2957"/>
    <s v="C0122"/>
    <x v="297"/>
    <s v="58 days"/>
    <x v="329"/>
    <x v="268"/>
    <s v="3 days"/>
    <x v="0"/>
    <s v="New"/>
    <s v="Suite"/>
    <n v="58"/>
    <n v="3"/>
    <n v="7955"/>
    <n v="23865"/>
    <n v="0"/>
    <x v="1"/>
    <x v="1"/>
    <x v="1"/>
    <x v="0"/>
  </r>
  <r>
    <n v="2958"/>
    <s v="C1171"/>
    <x v="84"/>
    <s v="49 days"/>
    <x v="139"/>
    <x v="344"/>
    <s v="2 days"/>
    <x v="3"/>
    <s v="Returning"/>
    <s v="Suite"/>
    <n v="49"/>
    <n v="2"/>
    <n v="2921"/>
    <n v="5842"/>
    <n v="0"/>
    <x v="0"/>
    <x v="1"/>
    <x v="1"/>
    <x v="1"/>
  </r>
  <r>
    <n v="2959"/>
    <s v="C0750"/>
    <x v="131"/>
    <s v="23 days"/>
    <x v="257"/>
    <x v="118"/>
    <s v="2 days"/>
    <x v="3"/>
    <s v="New"/>
    <s v="Deluxe"/>
    <n v="23"/>
    <n v="2"/>
    <n v="4273"/>
    <n v="8546"/>
    <n v="0"/>
    <x v="0"/>
    <x v="1"/>
    <x v="1"/>
    <x v="0"/>
  </r>
  <r>
    <n v="2960"/>
    <s v="C1380"/>
    <x v="157"/>
    <s v="25 days"/>
    <x v="225"/>
    <x v="55"/>
    <s v="5 days"/>
    <x v="2"/>
    <s v="New"/>
    <s v="Deluxe"/>
    <n v="25"/>
    <n v="5"/>
    <n v="8964"/>
    <n v="44820"/>
    <n v="44820"/>
    <x v="1"/>
    <x v="0"/>
    <x v="0"/>
    <x v="1"/>
  </r>
  <r>
    <n v="2961"/>
    <s v="C0685"/>
    <x v="198"/>
    <s v="34 days"/>
    <x v="299"/>
    <x v="386"/>
    <s v="2 days"/>
    <x v="4"/>
    <s v="Returning"/>
    <s v="Deluxe"/>
    <n v="34"/>
    <n v="2"/>
    <n v="6068"/>
    <n v="12136"/>
    <n v="0"/>
    <x v="0"/>
    <x v="1"/>
    <x v="1"/>
    <x v="0"/>
  </r>
  <r>
    <n v="2962"/>
    <s v="C0309"/>
    <x v="119"/>
    <s v="26 days"/>
    <x v="86"/>
    <x v="173"/>
    <s v="3 days"/>
    <x v="1"/>
    <s v="Returning"/>
    <s v="Suite"/>
    <n v="26"/>
    <n v="3"/>
    <n v="3446"/>
    <n v="10338"/>
    <n v="0"/>
    <x v="0"/>
    <x v="1"/>
    <x v="1"/>
    <x v="0"/>
  </r>
  <r>
    <n v="2963"/>
    <s v="C0695"/>
    <x v="263"/>
    <s v="47 days"/>
    <x v="80"/>
    <x v="328"/>
    <s v="2 days"/>
    <x v="2"/>
    <s v="Returning"/>
    <s v="Deluxe"/>
    <n v="47"/>
    <n v="2"/>
    <n v="3686"/>
    <n v="7372"/>
    <n v="0"/>
    <x v="1"/>
    <x v="1"/>
    <x v="1"/>
    <x v="0"/>
  </r>
  <r>
    <n v="2964"/>
    <s v="C0288"/>
    <x v="43"/>
    <s v="5 days"/>
    <x v="65"/>
    <x v="64"/>
    <s v="4 days"/>
    <x v="4"/>
    <s v="New"/>
    <s v="Standard"/>
    <n v="5"/>
    <n v="4"/>
    <n v="4334"/>
    <n v="17336"/>
    <n v="17336"/>
    <x v="1"/>
    <x v="0"/>
    <x v="0"/>
    <x v="1"/>
  </r>
  <r>
    <n v="2965"/>
    <s v="C0307"/>
    <x v="149"/>
    <s v="26 days"/>
    <x v="22"/>
    <x v="22"/>
    <s v="2 days"/>
    <x v="1"/>
    <s v="Returning"/>
    <s v="Deluxe"/>
    <n v="26"/>
    <n v="2"/>
    <n v="4064"/>
    <n v="8128"/>
    <n v="0"/>
    <x v="0"/>
    <x v="1"/>
    <x v="1"/>
    <x v="1"/>
  </r>
  <r>
    <n v="2966"/>
    <s v="C0914"/>
    <x v="160"/>
    <s v="20 days"/>
    <x v="31"/>
    <x v="31"/>
    <s v="5 days"/>
    <x v="0"/>
    <s v="Returning"/>
    <s v="Standard"/>
    <n v="20"/>
    <n v="5"/>
    <n v="7444"/>
    <n v="37220"/>
    <n v="37220"/>
    <x v="0"/>
    <x v="0"/>
    <x v="0"/>
    <x v="1"/>
  </r>
  <r>
    <n v="2967"/>
    <s v="C0662"/>
    <x v="89"/>
    <s v="6 days"/>
    <x v="178"/>
    <x v="175"/>
    <s v="2 days"/>
    <x v="3"/>
    <s v="Returning"/>
    <s v="Deluxe"/>
    <n v="6"/>
    <n v="2"/>
    <n v="8185"/>
    <n v="16370"/>
    <n v="16370"/>
    <x v="1"/>
    <x v="0"/>
    <x v="0"/>
    <x v="0"/>
  </r>
  <r>
    <n v="2968"/>
    <s v="C0549"/>
    <x v="249"/>
    <s v="6 days"/>
    <x v="138"/>
    <x v="134"/>
    <s v="3 days"/>
    <x v="4"/>
    <s v="Returning"/>
    <s v="Standard"/>
    <n v="6"/>
    <n v="3"/>
    <n v="7914"/>
    <n v="23742"/>
    <n v="0"/>
    <x v="0"/>
    <x v="1"/>
    <x v="1"/>
    <x v="0"/>
  </r>
  <r>
    <n v="2969"/>
    <s v="C1376"/>
    <x v="208"/>
    <s v="59 days"/>
    <x v="224"/>
    <x v="144"/>
    <s v="3 days"/>
    <x v="1"/>
    <s v="Returning"/>
    <s v="Standard"/>
    <n v="59"/>
    <n v="3"/>
    <n v="8685"/>
    <n v="26055"/>
    <n v="0"/>
    <x v="1"/>
    <x v="1"/>
    <x v="1"/>
    <x v="1"/>
  </r>
  <r>
    <n v="2970"/>
    <s v="C0312"/>
    <x v="191"/>
    <s v="50 days"/>
    <x v="103"/>
    <x v="373"/>
    <s v="2 days"/>
    <x v="2"/>
    <s v="New"/>
    <s v="Standard"/>
    <n v="50"/>
    <n v="2"/>
    <n v="4447"/>
    <n v="8894"/>
    <n v="0"/>
    <x v="0"/>
    <x v="1"/>
    <x v="1"/>
    <x v="1"/>
  </r>
  <r>
    <n v="2971"/>
    <s v="C0873"/>
    <x v="251"/>
    <s v="18 days"/>
    <x v="169"/>
    <x v="258"/>
    <s v="3 days"/>
    <x v="1"/>
    <s v="Returning"/>
    <s v="Standard"/>
    <n v="18"/>
    <n v="3"/>
    <n v="3808"/>
    <n v="11424"/>
    <n v="11424"/>
    <x v="1"/>
    <x v="0"/>
    <x v="0"/>
    <x v="0"/>
  </r>
  <r>
    <n v="2972"/>
    <s v="C1083"/>
    <x v="206"/>
    <s v="4 days"/>
    <x v="37"/>
    <x v="80"/>
    <s v="3 days"/>
    <x v="2"/>
    <s v="New"/>
    <s v="Standard"/>
    <n v="4"/>
    <n v="3"/>
    <n v="5486"/>
    <n v="16458"/>
    <n v="0"/>
    <x v="0"/>
    <x v="1"/>
    <x v="1"/>
    <x v="0"/>
  </r>
  <r>
    <n v="2973"/>
    <s v="C0924"/>
    <x v="67"/>
    <s v="17 days"/>
    <x v="116"/>
    <x v="127"/>
    <s v="5 days"/>
    <x v="3"/>
    <s v="Returning"/>
    <s v="Deluxe"/>
    <n v="17"/>
    <n v="5"/>
    <n v="2886"/>
    <n v="14430"/>
    <n v="14430"/>
    <x v="0"/>
    <x v="0"/>
    <x v="0"/>
    <x v="0"/>
  </r>
  <r>
    <n v="2974"/>
    <s v="C0755"/>
    <x v="183"/>
    <s v="57 days"/>
    <x v="48"/>
    <x v="295"/>
    <s v="4 days"/>
    <x v="3"/>
    <s v="Returning"/>
    <s v="Suite"/>
    <n v="57"/>
    <n v="4"/>
    <n v="8631"/>
    <n v="34524"/>
    <n v="0"/>
    <x v="0"/>
    <x v="1"/>
    <x v="1"/>
    <x v="0"/>
  </r>
  <r>
    <n v="2975"/>
    <s v="C0035"/>
    <x v="144"/>
    <s v="14 days"/>
    <x v="291"/>
    <x v="283"/>
    <s v="5 days"/>
    <x v="1"/>
    <s v="New"/>
    <s v="Suite"/>
    <n v="14"/>
    <n v="5"/>
    <n v="3661"/>
    <n v="18305"/>
    <n v="18305"/>
    <x v="1"/>
    <x v="0"/>
    <x v="0"/>
    <x v="1"/>
  </r>
  <r>
    <n v="2976"/>
    <s v="C0445"/>
    <x v="91"/>
    <s v="14 days"/>
    <x v="312"/>
    <x v="89"/>
    <s v="1 days"/>
    <x v="1"/>
    <s v="New"/>
    <s v="Suite"/>
    <n v="14"/>
    <n v="1"/>
    <n v="5758"/>
    <n v="5758"/>
    <n v="0"/>
    <x v="1"/>
    <x v="1"/>
    <x v="1"/>
    <x v="0"/>
  </r>
  <r>
    <n v="2977"/>
    <s v="C0093"/>
    <x v="226"/>
    <s v="13 days"/>
    <x v="181"/>
    <x v="343"/>
    <s v="5 days"/>
    <x v="2"/>
    <s v="New"/>
    <s v="Suite"/>
    <n v="13"/>
    <n v="5"/>
    <n v="8621"/>
    <n v="43105"/>
    <n v="0"/>
    <x v="1"/>
    <x v="1"/>
    <x v="1"/>
    <x v="0"/>
  </r>
  <r>
    <n v="2978"/>
    <s v="C1231"/>
    <x v="324"/>
    <s v="7 days"/>
    <x v="75"/>
    <x v="392"/>
    <s v="2 days"/>
    <x v="2"/>
    <s v="New"/>
    <s v="Suite"/>
    <n v="7"/>
    <n v="2"/>
    <n v="7311"/>
    <n v="14622"/>
    <n v="14622"/>
    <x v="0"/>
    <x v="0"/>
    <x v="0"/>
    <x v="0"/>
  </r>
  <r>
    <n v="2979"/>
    <s v="C0353"/>
    <x v="199"/>
    <s v="44 days"/>
    <x v="361"/>
    <x v="364"/>
    <s v="4 days"/>
    <x v="4"/>
    <s v="Returning"/>
    <s v="Standard"/>
    <n v="44"/>
    <n v="4"/>
    <n v="6433"/>
    <n v="25732"/>
    <n v="0"/>
    <x v="0"/>
    <x v="1"/>
    <x v="1"/>
    <x v="0"/>
  </r>
  <r>
    <n v="2980"/>
    <s v="C0903"/>
    <x v="141"/>
    <s v="55 days"/>
    <x v="256"/>
    <x v="287"/>
    <s v="2 days"/>
    <x v="4"/>
    <s v="New"/>
    <s v="Deluxe"/>
    <n v="55"/>
    <n v="2"/>
    <n v="5347"/>
    <n v="10694"/>
    <n v="0"/>
    <x v="1"/>
    <x v="1"/>
    <x v="1"/>
    <x v="0"/>
  </r>
  <r>
    <n v="2981"/>
    <s v="C1356"/>
    <x v="309"/>
    <s v="15 days"/>
    <x v="289"/>
    <x v="199"/>
    <s v="1 days"/>
    <x v="4"/>
    <s v="Returning"/>
    <s v="Standard"/>
    <n v="15"/>
    <n v="1"/>
    <n v="7021"/>
    <n v="7021"/>
    <n v="0"/>
    <x v="1"/>
    <x v="1"/>
    <x v="1"/>
    <x v="0"/>
  </r>
  <r>
    <n v="2982"/>
    <s v="C0862"/>
    <x v="90"/>
    <s v="19 days"/>
    <x v="265"/>
    <x v="301"/>
    <s v="4 days"/>
    <x v="1"/>
    <s v="Returning"/>
    <s v="Deluxe"/>
    <n v="19"/>
    <n v="4"/>
    <n v="3939"/>
    <n v="15756"/>
    <n v="0"/>
    <x v="0"/>
    <x v="1"/>
    <x v="1"/>
    <x v="0"/>
  </r>
  <r>
    <n v="2983"/>
    <s v="C0159"/>
    <x v="17"/>
    <s v="43 days"/>
    <x v="358"/>
    <x v="263"/>
    <s v="3 days"/>
    <x v="4"/>
    <s v="Returning"/>
    <s v="Deluxe"/>
    <n v="43"/>
    <n v="3"/>
    <n v="8669"/>
    <n v="26007"/>
    <n v="0"/>
    <x v="0"/>
    <x v="1"/>
    <x v="1"/>
    <x v="1"/>
  </r>
  <r>
    <n v="2984"/>
    <s v="C0957"/>
    <x v="194"/>
    <s v="47 days"/>
    <x v="34"/>
    <x v="113"/>
    <s v="5 days"/>
    <x v="1"/>
    <s v="New"/>
    <s v="Deluxe"/>
    <n v="47"/>
    <n v="5"/>
    <n v="5942"/>
    <n v="29710"/>
    <n v="29710"/>
    <x v="0"/>
    <x v="0"/>
    <x v="0"/>
    <x v="1"/>
  </r>
  <r>
    <n v="2985"/>
    <s v="C0024"/>
    <x v="112"/>
    <s v="44 days"/>
    <x v="287"/>
    <x v="279"/>
    <s v="2 days"/>
    <x v="3"/>
    <s v="New"/>
    <s v="Deluxe"/>
    <n v="44"/>
    <n v="2"/>
    <n v="6980"/>
    <n v="13960"/>
    <n v="13960"/>
    <x v="0"/>
    <x v="0"/>
    <x v="0"/>
    <x v="1"/>
  </r>
  <r>
    <n v="2986"/>
    <s v="C0404"/>
    <x v="33"/>
    <s v="35 days"/>
    <x v="198"/>
    <x v="246"/>
    <s v="1 days"/>
    <x v="0"/>
    <s v="New"/>
    <s v="Suite"/>
    <n v="35"/>
    <n v="1"/>
    <n v="2555"/>
    <n v="2555"/>
    <n v="0"/>
    <x v="1"/>
    <x v="1"/>
    <x v="1"/>
    <x v="0"/>
  </r>
  <r>
    <n v="2987"/>
    <s v="C0805"/>
    <x v="104"/>
    <s v="17 days"/>
    <x v="358"/>
    <x v="263"/>
    <s v="3 days"/>
    <x v="3"/>
    <s v="Returning"/>
    <s v="Deluxe"/>
    <n v="17"/>
    <n v="3"/>
    <n v="5824"/>
    <n v="17472"/>
    <n v="17472"/>
    <x v="1"/>
    <x v="0"/>
    <x v="0"/>
    <x v="1"/>
  </r>
  <r>
    <n v="2988"/>
    <s v="C0516"/>
    <x v="55"/>
    <s v="35 days"/>
    <x v="299"/>
    <x v="15"/>
    <s v="5 days"/>
    <x v="1"/>
    <s v="New"/>
    <s v="Deluxe"/>
    <n v="35"/>
    <n v="5"/>
    <n v="2605"/>
    <n v="13025"/>
    <n v="13025"/>
    <x v="0"/>
    <x v="0"/>
    <x v="0"/>
    <x v="0"/>
  </r>
  <r>
    <n v="2989"/>
    <s v="C0732"/>
    <x v="250"/>
    <s v="19 days"/>
    <x v="304"/>
    <x v="11"/>
    <s v="3 days"/>
    <x v="1"/>
    <s v="New"/>
    <s v="Suite"/>
    <n v="19"/>
    <n v="3"/>
    <n v="5701"/>
    <n v="17103"/>
    <n v="0"/>
    <x v="0"/>
    <x v="1"/>
    <x v="1"/>
    <x v="0"/>
  </r>
  <r>
    <n v="2990"/>
    <s v="C1388"/>
    <x v="321"/>
    <s v="20 days"/>
    <x v="128"/>
    <x v="181"/>
    <s v="5 days"/>
    <x v="0"/>
    <s v="Returning"/>
    <s v="Standard"/>
    <n v="20"/>
    <n v="5"/>
    <n v="3169"/>
    <n v="15845"/>
    <n v="15845"/>
    <x v="0"/>
    <x v="0"/>
    <x v="0"/>
    <x v="0"/>
  </r>
  <r>
    <n v="2991"/>
    <s v="C1406"/>
    <x v="85"/>
    <s v="36 days"/>
    <x v="218"/>
    <x v="211"/>
    <s v="4 days"/>
    <x v="2"/>
    <s v="New"/>
    <s v="Standard"/>
    <n v="36"/>
    <n v="4"/>
    <n v="6971"/>
    <n v="27884"/>
    <n v="0"/>
    <x v="1"/>
    <x v="1"/>
    <x v="1"/>
    <x v="0"/>
  </r>
  <r>
    <n v="2992"/>
    <s v="C0532"/>
    <x v="213"/>
    <s v="35 days"/>
    <x v="265"/>
    <x v="404"/>
    <s v="3 days"/>
    <x v="2"/>
    <s v="Returning"/>
    <s v="Standard"/>
    <n v="35"/>
    <n v="3"/>
    <n v="3242"/>
    <n v="9726"/>
    <n v="9726"/>
    <x v="1"/>
    <x v="0"/>
    <x v="0"/>
    <x v="1"/>
  </r>
  <r>
    <n v="2993"/>
    <s v="C0956"/>
    <x v="352"/>
    <s v="32 days"/>
    <x v="371"/>
    <x v="376"/>
    <s v="3 days"/>
    <x v="2"/>
    <s v="New"/>
    <s v="Standard"/>
    <n v="32"/>
    <n v="3"/>
    <n v="3466"/>
    <n v="10398"/>
    <n v="0"/>
    <x v="0"/>
    <x v="1"/>
    <x v="1"/>
    <x v="0"/>
  </r>
  <r>
    <n v="2994"/>
    <s v="C0152"/>
    <x v="158"/>
    <s v="58 days"/>
    <x v="252"/>
    <x v="270"/>
    <s v="3 days"/>
    <x v="4"/>
    <s v="New"/>
    <s v="Deluxe"/>
    <n v="58"/>
    <n v="3"/>
    <n v="2807"/>
    <n v="8421"/>
    <n v="0"/>
    <x v="0"/>
    <x v="1"/>
    <x v="1"/>
    <x v="0"/>
  </r>
  <r>
    <n v="2995"/>
    <s v="C0947"/>
    <x v="330"/>
    <s v="48 days"/>
    <x v="48"/>
    <x v="295"/>
    <s v="4 days"/>
    <x v="2"/>
    <s v="New"/>
    <s v="Suite"/>
    <n v="48"/>
    <n v="4"/>
    <n v="4638"/>
    <n v="18552"/>
    <n v="18552"/>
    <x v="0"/>
    <x v="0"/>
    <x v="0"/>
    <x v="1"/>
  </r>
  <r>
    <n v="2996"/>
    <s v="C0608"/>
    <x v="310"/>
    <s v="44 days"/>
    <x v="221"/>
    <x v="345"/>
    <s v="1 days"/>
    <x v="4"/>
    <s v="New"/>
    <s v="Suite"/>
    <n v="44"/>
    <n v="1"/>
    <n v="5964"/>
    <n v="5964"/>
    <n v="0"/>
    <x v="0"/>
    <x v="1"/>
    <x v="1"/>
    <x v="1"/>
  </r>
  <r>
    <n v="2997"/>
    <s v="C0420"/>
    <x v="180"/>
    <s v="40 days"/>
    <x v="152"/>
    <x v="28"/>
    <s v="5 days"/>
    <x v="4"/>
    <s v="New"/>
    <s v="Standard"/>
    <n v="40"/>
    <n v="5"/>
    <n v="7397"/>
    <n v="36985"/>
    <n v="36985"/>
    <x v="0"/>
    <x v="0"/>
    <x v="0"/>
    <x v="1"/>
  </r>
  <r>
    <n v="2998"/>
    <s v="C1274"/>
    <x v="348"/>
    <s v="24 days"/>
    <x v="194"/>
    <x v="76"/>
    <s v="3 days"/>
    <x v="2"/>
    <s v="Returning"/>
    <s v="Suite"/>
    <n v="24"/>
    <n v="3"/>
    <n v="2609"/>
    <n v="7827"/>
    <n v="7827"/>
    <x v="0"/>
    <x v="0"/>
    <x v="0"/>
    <x v="0"/>
  </r>
  <r>
    <n v="2999"/>
    <s v="C1141"/>
    <x v="101"/>
    <s v="17 days"/>
    <x v="226"/>
    <x v="219"/>
    <s v="4 days"/>
    <x v="2"/>
    <s v="New"/>
    <s v="Deluxe"/>
    <n v="17"/>
    <n v="4"/>
    <n v="6132"/>
    <n v="24528"/>
    <n v="0"/>
    <x v="1"/>
    <x v="1"/>
    <x v="1"/>
    <x v="1"/>
  </r>
  <r>
    <n v="3000"/>
    <s v="C0866"/>
    <x v="284"/>
    <s v="7 days"/>
    <x v="341"/>
    <x v="13"/>
    <s v="1 days"/>
    <x v="0"/>
    <s v="New"/>
    <s v="Standard"/>
    <n v="7"/>
    <n v="1"/>
    <n v="8260"/>
    <n v="8260"/>
    <n v="0"/>
    <x v="1"/>
    <x v="1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CEEE83-D686-4A39-8B93-B1DB27C67D9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 colHeaderCaption="Booking Channels">
  <location ref="C5:L20" firstHeaderRow="1" firstDataRow="3" firstDataCol="1"/>
  <pivotFields count="27">
    <pivotField dataField="1" subtotalTop="0" showAll="0"/>
    <pivotField subtotalTop="0" showAll="0"/>
    <pivotField axis="axisRow" numFmtId="14" subtotalTop="0" showAll="0">
      <items count="365">
        <item x="61"/>
        <item x="25"/>
        <item x="164"/>
        <item x="325"/>
        <item x="112"/>
        <item x="261"/>
        <item x="18"/>
        <item x="201"/>
        <item x="46"/>
        <item x="217"/>
        <item x="88"/>
        <item x="289"/>
        <item x="23"/>
        <item x="352"/>
        <item x="344"/>
        <item x="297"/>
        <item x="12"/>
        <item x="146"/>
        <item x="78"/>
        <item x="14"/>
        <item x="316"/>
        <item x="320"/>
        <item x="323"/>
        <item x="263"/>
        <item x="119"/>
        <item x="184"/>
        <item x="38"/>
        <item x="299"/>
        <item x="245"/>
        <item x="271"/>
        <item x="311"/>
        <item x="363"/>
        <item x="291"/>
        <item x="81"/>
        <item x="195"/>
        <item x="354"/>
        <item x="253"/>
        <item x="97"/>
        <item x="13"/>
        <item x="28"/>
        <item x="224"/>
        <item x="172"/>
        <item x="72"/>
        <item x="355"/>
        <item x="348"/>
        <item x="199"/>
        <item x="298"/>
        <item x="206"/>
        <item x="209"/>
        <item x="179"/>
        <item x="183"/>
        <item x="128"/>
        <item x="321"/>
        <item x="244"/>
        <item x="273"/>
        <item x="324"/>
        <item x="235"/>
        <item x="84"/>
        <item x="210"/>
        <item x="330"/>
        <item x="284"/>
        <item x="134"/>
        <item x="63"/>
        <item x="156"/>
        <item x="1"/>
        <item x="234"/>
        <item x="208"/>
        <item x="130"/>
        <item x="230"/>
        <item x="193"/>
        <item x="203"/>
        <item x="135"/>
        <item x="192"/>
        <item x="322"/>
        <item x="122"/>
        <item x="140"/>
        <item x="219"/>
        <item x="267"/>
        <item x="50"/>
        <item x="338"/>
        <item x="147"/>
        <item x="274"/>
        <item x="33"/>
        <item x="165"/>
        <item x="113"/>
        <item x="21"/>
        <item x="318"/>
        <item x="137"/>
        <item x="131"/>
        <item x="347"/>
        <item x="270"/>
        <item x="51"/>
        <item x="360"/>
        <item x="265"/>
        <item x="269"/>
        <item x="278"/>
        <item x="143"/>
        <item x="275"/>
        <item x="19"/>
        <item x="257"/>
        <item x="144"/>
        <item x="280"/>
        <item x="248"/>
        <item x="296"/>
        <item x="187"/>
        <item x="66"/>
        <item x="76"/>
        <item x="228"/>
        <item x="161"/>
        <item x="31"/>
        <item x="292"/>
        <item x="295"/>
        <item x="118"/>
        <item x="247"/>
        <item x="242"/>
        <item x="166"/>
        <item x="48"/>
        <item x="80"/>
        <item x="71"/>
        <item x="65"/>
        <item x="310"/>
        <item x="358"/>
        <item x="175"/>
        <item x="8"/>
        <item x="93"/>
        <item x="336"/>
        <item x="268"/>
        <item x="108"/>
        <item x="34"/>
        <item x="10"/>
        <item x="145"/>
        <item x="57"/>
        <item x="260"/>
        <item x="313"/>
        <item x="120"/>
        <item x="329"/>
        <item x="218"/>
        <item x="302"/>
        <item x="306"/>
        <item x="181"/>
        <item x="127"/>
        <item x="155"/>
        <item x="186"/>
        <item x="36"/>
        <item x="189"/>
        <item x="126"/>
        <item x="301"/>
        <item x="214"/>
        <item x="215"/>
        <item x="103"/>
        <item x="204"/>
        <item x="169"/>
        <item x="168"/>
        <item x="285"/>
        <item x="74"/>
        <item x="109"/>
        <item x="188"/>
        <item x="141"/>
        <item x="216"/>
        <item x="85"/>
        <item x="326"/>
        <item x="39"/>
        <item x="42"/>
        <item x="69"/>
        <item x="259"/>
        <item x="211"/>
        <item x="340"/>
        <item x="136"/>
        <item x="202"/>
        <item x="60"/>
        <item x="196"/>
        <item x="197"/>
        <item x="309"/>
        <item x="67"/>
        <item x="138"/>
        <item x="339"/>
        <item x="100"/>
        <item x="86"/>
        <item x="255"/>
        <item x="89"/>
        <item x="332"/>
        <item x="286"/>
        <item x="99"/>
        <item x="96"/>
        <item x="6"/>
        <item x="362"/>
        <item x="226"/>
        <item x="319"/>
        <item x="256"/>
        <item x="283"/>
        <item x="133"/>
        <item x="115"/>
        <item x="353"/>
        <item x="47"/>
        <item x="231"/>
        <item x="341"/>
        <item x="82"/>
        <item x="157"/>
        <item x="233"/>
        <item x="346"/>
        <item x="212"/>
        <item x="178"/>
        <item x="68"/>
        <item x="333"/>
        <item x="87"/>
        <item x="75"/>
        <item x="205"/>
        <item x="239"/>
        <item x="343"/>
        <item x="303"/>
        <item x="345"/>
        <item x="154"/>
        <item x="200"/>
        <item x="238"/>
        <item x="91"/>
        <item x="94"/>
        <item x="117"/>
        <item x="287"/>
        <item x="132"/>
        <item x="167"/>
        <item x="312"/>
        <item x="98"/>
        <item x="158"/>
        <item x="15"/>
        <item x="213"/>
        <item x="293"/>
        <item x="0"/>
        <item x="40"/>
        <item x="232"/>
        <item x="32"/>
        <item x="121"/>
        <item x="294"/>
        <item x="106"/>
        <item x="315"/>
        <item x="314"/>
        <item x="11"/>
        <item x="266"/>
        <item x="185"/>
        <item x="20"/>
        <item x="194"/>
        <item x="90"/>
        <item x="5"/>
        <item x="258"/>
        <item x="83"/>
        <item x="7"/>
        <item x="300"/>
        <item x="250"/>
        <item x="254"/>
        <item x="334"/>
        <item x="77"/>
        <item x="277"/>
        <item x="264"/>
        <item x="220"/>
        <item x="305"/>
        <item x="262"/>
        <item x="56"/>
        <item x="221"/>
        <item x="236"/>
        <item x="279"/>
        <item x="41"/>
        <item x="3"/>
        <item x="190"/>
        <item x="59"/>
        <item x="163"/>
        <item x="52"/>
        <item x="160"/>
        <item x="9"/>
        <item x="139"/>
        <item x="49"/>
        <item x="171"/>
        <item x="252"/>
        <item x="281"/>
        <item x="357"/>
        <item x="182"/>
        <item x="58"/>
        <item x="180"/>
        <item x="308"/>
        <item x="148"/>
        <item x="225"/>
        <item x="176"/>
        <item x="17"/>
        <item x="317"/>
        <item x="64"/>
        <item x="79"/>
        <item x="241"/>
        <item x="45"/>
        <item x="227"/>
        <item x="125"/>
        <item x="114"/>
        <item x="159"/>
        <item x="177"/>
        <item x="26"/>
        <item x="101"/>
        <item x="4"/>
        <item x="356"/>
        <item x="331"/>
        <item x="22"/>
        <item x="92"/>
        <item x="170"/>
        <item x="43"/>
        <item x="124"/>
        <item x="44"/>
        <item x="129"/>
        <item x="70"/>
        <item x="95"/>
        <item x="342"/>
        <item x="104"/>
        <item x="350"/>
        <item x="153"/>
        <item x="116"/>
        <item x="73"/>
        <item x="62"/>
        <item x="288"/>
        <item x="307"/>
        <item x="30"/>
        <item x="349"/>
        <item x="29"/>
        <item x="327"/>
        <item x="222"/>
        <item x="251"/>
        <item x="359"/>
        <item x="223"/>
        <item x="142"/>
        <item x="27"/>
        <item x="35"/>
        <item x="337"/>
        <item x="123"/>
        <item x="276"/>
        <item x="162"/>
        <item x="151"/>
        <item x="53"/>
        <item x="243"/>
        <item x="24"/>
        <item x="2"/>
        <item x="105"/>
        <item x="304"/>
        <item x="290"/>
        <item x="149"/>
        <item x="102"/>
        <item x="107"/>
        <item x="237"/>
        <item x="173"/>
        <item x="152"/>
        <item x="37"/>
        <item x="361"/>
        <item x="207"/>
        <item x="246"/>
        <item x="272"/>
        <item x="54"/>
        <item x="191"/>
        <item x="110"/>
        <item x="229"/>
        <item x="240"/>
        <item x="16"/>
        <item x="328"/>
        <item x="351"/>
        <item x="111"/>
        <item x="282"/>
        <item x="249"/>
        <item x="55"/>
        <item x="198"/>
        <item x="335"/>
        <item x="174"/>
        <item x="150"/>
        <item t="default"/>
      </items>
    </pivotField>
    <pivotField subtotalTop="0" showAll="0"/>
    <pivotField numFmtId="14" subtotalTop="0" showAll="0">
      <items count="403">
        <item x="330"/>
        <item x="360"/>
        <item x="57"/>
        <item x="78"/>
        <item x="400"/>
        <item x="392"/>
        <item x="324"/>
        <item x="45"/>
        <item x="396"/>
        <item x="373"/>
        <item x="115"/>
        <item x="393"/>
        <item x="307"/>
        <item x="235"/>
        <item x="259"/>
        <item x="134"/>
        <item x="17"/>
        <item x="12"/>
        <item x="203"/>
        <item x="391"/>
        <item x="372"/>
        <item x="23"/>
        <item x="364"/>
        <item x="380"/>
        <item x="379"/>
        <item x="246"/>
        <item x="196"/>
        <item x="271"/>
        <item x="294"/>
        <item x="183"/>
        <item x="111"/>
        <item x="376"/>
        <item x="398"/>
        <item x="292"/>
        <item x="266"/>
        <item x="166"/>
        <item x="274"/>
        <item x="371"/>
        <item x="153"/>
        <item x="287"/>
        <item x="177"/>
        <item x="237"/>
        <item x="86"/>
        <item x="37"/>
        <item x="117"/>
        <item x="171"/>
        <item x="245"/>
        <item x="319"/>
        <item x="207"/>
        <item x="220"/>
        <item x="270"/>
        <item x="244"/>
        <item x="30"/>
        <item x="213"/>
        <item x="75"/>
        <item x="353"/>
        <item x="13"/>
        <item x="369"/>
        <item x="381"/>
        <item x="341"/>
        <item x="194"/>
        <item x="273"/>
        <item x="80"/>
        <item x="122"/>
        <item x="128"/>
        <item x="329"/>
        <item x="204"/>
        <item x="187"/>
        <item x="163"/>
        <item x="279"/>
        <item x="267"/>
        <item x="26"/>
        <item x="67"/>
        <item x="1"/>
        <item x="344"/>
        <item x="317"/>
        <item x="293"/>
        <item x="199"/>
        <item x="202"/>
        <item x="188"/>
        <item x="361"/>
        <item x="382"/>
        <item x="135"/>
        <item x="339"/>
        <item x="119"/>
        <item x="359"/>
        <item x="268"/>
        <item x="146"/>
        <item x="130"/>
        <item x="20"/>
        <item x="82"/>
        <item x="231"/>
        <item x="215"/>
        <item x="176"/>
        <item x="401"/>
        <item x="59"/>
        <item x="283"/>
        <item x="139"/>
        <item x="48"/>
        <item x="121"/>
        <item x="284"/>
        <item x="142"/>
        <item x="257"/>
        <item x="154"/>
        <item x="264"/>
        <item x="291"/>
        <item x="248"/>
        <item x="189"/>
        <item x="198"/>
        <item x="346"/>
        <item x="241"/>
        <item x="350"/>
        <item x="375"/>
        <item x="286"/>
        <item x="149"/>
        <item x="357"/>
        <item x="224"/>
        <item x="8"/>
        <item x="209"/>
        <item x="125"/>
        <item x="143"/>
        <item x="71"/>
        <item x="234"/>
        <item x="167"/>
        <item x="190"/>
        <item x="158"/>
        <item x="10"/>
        <item x="314"/>
        <item x="62"/>
        <item x="321"/>
        <item x="109"/>
        <item x="184"/>
        <item x="32"/>
        <item x="285"/>
        <item x="232"/>
        <item x="29"/>
        <item x="211"/>
        <item x="18"/>
        <item x="54"/>
        <item x="141"/>
        <item x="61"/>
        <item x="49"/>
        <item x="112"/>
        <item x="100"/>
        <item x="79"/>
        <item x="33"/>
        <item x="365"/>
        <item x="278"/>
        <item x="74"/>
        <item x="311"/>
        <item x="133"/>
        <item x="47"/>
        <item x="66"/>
        <item x="102"/>
        <item x="281"/>
        <item x="221"/>
        <item x="269"/>
        <item x="107"/>
        <item x="145"/>
        <item x="200"/>
        <item x="110"/>
        <item x="123"/>
        <item x="197"/>
        <item x="205"/>
        <item x="310"/>
        <item x="328"/>
        <item x="180"/>
        <item x="193"/>
        <item x="160"/>
        <item x="302"/>
        <item x="126"/>
        <item x="38"/>
        <item x="242"/>
        <item x="356"/>
        <item x="214"/>
        <item x="261"/>
        <item x="178"/>
        <item x="92"/>
        <item x="289"/>
        <item x="174"/>
        <item x="222"/>
        <item x="116"/>
        <item x="131"/>
        <item x="316"/>
        <item x="64"/>
        <item x="322"/>
        <item x="218"/>
        <item x="282"/>
        <item x="46"/>
        <item x="335"/>
        <item x="181"/>
        <item x="41"/>
        <item x="84"/>
        <item x="301"/>
        <item x="95"/>
        <item x="144"/>
        <item x="210"/>
        <item x="212"/>
        <item x="206"/>
        <item x="124"/>
        <item x="63"/>
        <item x="182"/>
        <item x="192"/>
        <item x="256"/>
        <item x="69"/>
        <item x="334"/>
        <item x="6"/>
        <item x="272"/>
        <item x="240"/>
        <item x="397"/>
        <item x="348"/>
        <item x="355"/>
        <item x="349"/>
        <item x="225"/>
        <item x="227"/>
        <item x="56"/>
        <item x="70"/>
        <item x="105"/>
        <item x="93"/>
        <item x="312"/>
        <item x="325"/>
        <item x="300"/>
        <item x="386"/>
        <item x="327"/>
        <item x="255"/>
        <item x="87"/>
        <item x="208"/>
        <item x="147"/>
        <item x="308"/>
        <item x="332"/>
        <item x="280"/>
        <item x="288"/>
        <item x="223"/>
        <item x="89"/>
        <item x="170"/>
        <item x="331"/>
        <item x="354"/>
        <item x="85"/>
        <item x="228"/>
        <item x="0"/>
        <item x="19"/>
        <item x="39"/>
        <item x="303"/>
        <item x="298"/>
        <item x="236"/>
        <item x="5"/>
        <item x="108"/>
        <item x="140"/>
        <item x="326"/>
        <item x="250"/>
        <item x="265"/>
        <item x="129"/>
        <item x="229"/>
        <item x="88"/>
        <item x="337"/>
        <item x="11"/>
        <item x="304"/>
        <item x="14"/>
        <item x="159"/>
        <item x="370"/>
        <item x="399"/>
        <item x="3"/>
        <item x="81"/>
        <item x="172"/>
        <item x="216"/>
        <item x="7"/>
        <item x="113"/>
        <item x="55"/>
        <item x="275"/>
        <item x="305"/>
        <item x="262"/>
        <item x="252"/>
        <item x="296"/>
        <item x="295"/>
        <item x="98"/>
        <item x="162"/>
        <item x="31"/>
        <item x="34"/>
        <item x="233"/>
        <item x="155"/>
        <item x="76"/>
        <item x="60"/>
        <item x="101"/>
        <item x="313"/>
        <item x="148"/>
        <item x="251"/>
        <item x="258"/>
        <item x="9"/>
        <item x="191"/>
        <item x="50"/>
        <item x="72"/>
        <item x="318"/>
        <item x="238"/>
        <item x="161"/>
        <item x="164"/>
        <item x="65"/>
        <item x="195"/>
        <item x="362"/>
        <item x="150"/>
        <item x="53"/>
        <item x="226"/>
        <item x="276"/>
        <item x="44"/>
        <item x="91"/>
        <item x="16"/>
        <item x="40"/>
        <item x="152"/>
        <item x="363"/>
        <item x="320"/>
        <item x="28"/>
        <item x="43"/>
        <item x="77"/>
        <item x="290"/>
        <item x="260"/>
        <item x="358"/>
        <item x="58"/>
        <item x="127"/>
        <item x="263"/>
        <item x="68"/>
        <item x="94"/>
        <item x="25"/>
        <item x="297"/>
        <item x="377"/>
        <item x="27"/>
        <item x="96"/>
        <item x="345"/>
        <item x="24"/>
        <item x="35"/>
        <item x="169"/>
        <item x="217"/>
        <item x="4"/>
        <item x="309"/>
        <item x="175"/>
        <item x="179"/>
        <item x="378"/>
        <item x="106"/>
        <item x="366"/>
        <item x="21"/>
        <item x="2"/>
        <item x="395"/>
        <item x="336"/>
        <item x="157"/>
        <item x="333"/>
        <item x="247"/>
        <item x="42"/>
        <item x="73"/>
        <item x="114"/>
        <item x="173"/>
        <item x="219"/>
        <item x="338"/>
        <item x="104"/>
        <item x="118"/>
        <item x="90"/>
        <item x="277"/>
        <item x="22"/>
        <item x="138"/>
        <item x="390"/>
        <item x="83"/>
        <item x="156"/>
        <item x="97"/>
        <item x="323"/>
        <item x="186"/>
        <item x="99"/>
        <item x="347"/>
        <item x="151"/>
        <item x="168"/>
        <item x="306"/>
        <item x="239"/>
        <item x="249"/>
        <item x="132"/>
        <item x="254"/>
        <item x="36"/>
        <item x="383"/>
        <item x="342"/>
        <item x="351"/>
        <item x="137"/>
        <item x="384"/>
        <item x="243"/>
        <item x="185"/>
        <item x="136"/>
        <item x="389"/>
        <item x="394"/>
        <item x="51"/>
        <item x="388"/>
        <item x="299"/>
        <item x="253"/>
        <item x="374"/>
        <item x="15"/>
        <item x="103"/>
        <item x="201"/>
        <item x="52"/>
        <item x="120"/>
        <item x="343"/>
        <item x="165"/>
        <item x="230"/>
        <item x="340"/>
        <item x="352"/>
        <item x="385"/>
        <item x="315"/>
        <item x="367"/>
        <item x="387"/>
        <item x="368"/>
        <item t="default"/>
      </items>
    </pivotField>
    <pivotField axis="axisRow" numFmtId="14" subtotalTop="0" showAll="0">
      <items count="406">
        <item x="341"/>
        <item x="56"/>
        <item x="290"/>
        <item x="74"/>
        <item x="399"/>
        <item x="377"/>
        <item x="44"/>
        <item x="331"/>
        <item x="340"/>
        <item x="361"/>
        <item x="398"/>
        <item x="112"/>
        <item x="400"/>
        <item x="190"/>
        <item x="226"/>
        <item x="17"/>
        <item x="102"/>
        <item x="339"/>
        <item x="12"/>
        <item x="363"/>
        <item x="372"/>
        <item x="275"/>
        <item x="23"/>
        <item x="396"/>
        <item x="332"/>
        <item x="189"/>
        <item x="346"/>
        <item x="110"/>
        <item x="155"/>
        <item x="248"/>
        <item x="253"/>
        <item x="325"/>
        <item x="310"/>
        <item x="165"/>
        <item x="371"/>
        <item x="291"/>
        <item x="376"/>
        <item x="279"/>
        <item x="230"/>
        <item x="149"/>
        <item x="388"/>
        <item x="173"/>
        <item x="80"/>
        <item x="169"/>
        <item x="38"/>
        <item x="115"/>
        <item x="243"/>
        <item x="215"/>
        <item x="213"/>
        <item x="201"/>
        <item x="242"/>
        <item x="347"/>
        <item x="392"/>
        <item x="30"/>
        <item x="72"/>
        <item x="334"/>
        <item x="13"/>
        <item x="237"/>
        <item x="185"/>
        <item x="76"/>
        <item x="328"/>
        <item x="266"/>
        <item x="335"/>
        <item x="120"/>
        <item x="268"/>
        <item x="181"/>
        <item x="160"/>
        <item x="312"/>
        <item x="387"/>
        <item x="379"/>
        <item x="26"/>
        <item x="66"/>
        <item x="1"/>
        <item x="326"/>
        <item x="39"/>
        <item x="231"/>
        <item x="195"/>
        <item x="182"/>
        <item x="241"/>
        <item x="262"/>
        <item x="218"/>
        <item x="364"/>
        <item x="322"/>
        <item x="221"/>
        <item x="131"/>
        <item x="116"/>
        <item x="288"/>
        <item x="362"/>
        <item x="20"/>
        <item x="274"/>
        <item x="126"/>
        <item x="370"/>
        <item x="224"/>
        <item x="309"/>
        <item x="103"/>
        <item x="58"/>
        <item x="344"/>
        <item x="48"/>
        <item x="137"/>
        <item x="295"/>
        <item x="210"/>
        <item x="118"/>
        <item x="338"/>
        <item x="271"/>
        <item x="150"/>
        <item x="269"/>
        <item x="246"/>
        <item x="283"/>
        <item x="183"/>
        <item x="192"/>
        <item x="234"/>
        <item x="296"/>
        <item x="272"/>
        <item x="359"/>
        <item x="240"/>
        <item x="180"/>
        <item x="144"/>
        <item x="216"/>
        <item x="8"/>
        <item x="69"/>
        <item x="139"/>
        <item x="281"/>
        <item x="121"/>
        <item x="152"/>
        <item x="166"/>
        <item x="286"/>
        <item x="206"/>
        <item x="10"/>
        <item x="320"/>
        <item x="292"/>
        <item x="329"/>
        <item x="129"/>
        <item x="108"/>
        <item x="32"/>
        <item x="225"/>
        <item x="18"/>
        <item x="54"/>
        <item x="29"/>
        <item x="265"/>
        <item x="355"/>
        <item x="60"/>
        <item x="49"/>
        <item x="368"/>
        <item x="98"/>
        <item x="33"/>
        <item x="245"/>
        <item x="75"/>
        <item x="36"/>
        <item x="321"/>
        <item x="130"/>
        <item x="65"/>
        <item x="46"/>
        <item x="255"/>
        <item x="345"/>
        <item x="84"/>
        <item x="247"/>
        <item x="141"/>
        <item x="196"/>
        <item x="107"/>
        <item x="186"/>
        <item x="109"/>
        <item x="122"/>
        <item x="227"/>
        <item x="197"/>
        <item x="251"/>
        <item x="278"/>
        <item x="191"/>
        <item x="177"/>
        <item x="156"/>
        <item x="78"/>
        <item x="93"/>
        <item x="235"/>
        <item x="40"/>
        <item x="397"/>
        <item x="264"/>
        <item x="175"/>
        <item x="199"/>
        <item x="90"/>
        <item x="88"/>
        <item x="380"/>
        <item x="114"/>
        <item x="282"/>
        <item x="273"/>
        <item x="127"/>
        <item x="203"/>
        <item x="63"/>
        <item x="228"/>
        <item x="211"/>
        <item x="154"/>
        <item x="45"/>
        <item x="42"/>
        <item x="374"/>
        <item x="343"/>
        <item x="193"/>
        <item x="92"/>
        <item x="308"/>
        <item x="140"/>
        <item x="260"/>
        <item x="204"/>
        <item x="200"/>
        <item x="61"/>
        <item x="123"/>
        <item x="287"/>
        <item x="261"/>
        <item x="67"/>
        <item x="6"/>
        <item x="276"/>
        <item x="316"/>
        <item x="358"/>
        <item x="233"/>
        <item x="351"/>
        <item x="217"/>
        <item x="220"/>
        <item x="354"/>
        <item x="68"/>
        <item x="55"/>
        <item x="104"/>
        <item x="89"/>
        <item x="315"/>
        <item x="293"/>
        <item x="318"/>
        <item x="306"/>
        <item x="333"/>
        <item x="259"/>
        <item x="82"/>
        <item x="337"/>
        <item x="143"/>
        <item x="202"/>
        <item x="239"/>
        <item x="303"/>
        <item x="284"/>
        <item x="300"/>
        <item x="174"/>
        <item x="188"/>
        <item x="194"/>
        <item x="85"/>
        <item x="257"/>
        <item x="79"/>
        <item x="62"/>
        <item x="0"/>
        <item x="298"/>
        <item x="187"/>
        <item x="19"/>
        <item x="41"/>
        <item x="311"/>
        <item x="294"/>
        <item x="229"/>
        <item x="5"/>
        <item x="138"/>
        <item x="249"/>
        <item x="404"/>
        <item x="301"/>
        <item x="125"/>
        <item x="83"/>
        <item x="222"/>
        <item x="209"/>
        <item x="11"/>
        <item x="153"/>
        <item x="353"/>
        <item x="14"/>
        <item x="297"/>
        <item x="3"/>
        <item x="170"/>
        <item x="119"/>
        <item x="232"/>
        <item x="366"/>
        <item x="81"/>
        <item x="7"/>
        <item x="299"/>
        <item x="324"/>
        <item x="254"/>
        <item x="270"/>
        <item x="285"/>
        <item x="96"/>
        <item x="394"/>
        <item x="159"/>
        <item x="327"/>
        <item x="34"/>
        <item x="31"/>
        <item x="113"/>
        <item x="375"/>
        <item x="99"/>
        <item x="277"/>
        <item x="59"/>
        <item x="252"/>
        <item x="207"/>
        <item x="389"/>
        <item x="9"/>
        <item x="304"/>
        <item x="50"/>
        <item x="342"/>
        <item x="350"/>
        <item x="289"/>
        <item x="163"/>
        <item x="168"/>
        <item x="158"/>
        <item x="64"/>
        <item x="53"/>
        <item x="205"/>
        <item x="145"/>
        <item x="365"/>
        <item x="219"/>
        <item x="87"/>
        <item x="280"/>
        <item x="16"/>
        <item x="236"/>
        <item x="71"/>
        <item x="148"/>
        <item x="28"/>
        <item x="105"/>
        <item x="47"/>
        <item x="157"/>
        <item x="73"/>
        <item x="382"/>
        <item x="263"/>
        <item x="57"/>
        <item x="162"/>
        <item x="124"/>
        <item x="91"/>
        <item x="25"/>
        <item x="171"/>
        <item x="27"/>
        <item x="302"/>
        <item x="24"/>
        <item x="214"/>
        <item x="94"/>
        <item x="208"/>
        <item x="258"/>
        <item x="35"/>
        <item x="167"/>
        <item x="4"/>
        <item x="256"/>
        <item x="172"/>
        <item x="176"/>
        <item x="106"/>
        <item x="2"/>
        <item x="402"/>
        <item x="21"/>
        <item x="307"/>
        <item x="151"/>
        <item x="244"/>
        <item x="178"/>
        <item x="43"/>
        <item x="383"/>
        <item x="70"/>
        <item x="142"/>
        <item x="212"/>
        <item x="111"/>
        <item x="319"/>
        <item x="86"/>
        <item x="136"/>
        <item x="101"/>
        <item x="22"/>
        <item x="317"/>
        <item x="134"/>
        <item x="77"/>
        <item x="378"/>
        <item x="360"/>
        <item x="95"/>
        <item x="135"/>
        <item x="179"/>
        <item x="184"/>
        <item x="97"/>
        <item x="146"/>
        <item x="198"/>
        <item x="356"/>
        <item x="128"/>
        <item x="147"/>
        <item x="161"/>
        <item x="37"/>
        <item x="250"/>
        <item x="348"/>
        <item x="357"/>
        <item x="403"/>
        <item x="238"/>
        <item x="385"/>
        <item x="133"/>
        <item x="132"/>
        <item x="267"/>
        <item x="395"/>
        <item x="384"/>
        <item x="401"/>
        <item x="51"/>
        <item x="386"/>
        <item x="390"/>
        <item x="305"/>
        <item x="15"/>
        <item x="373"/>
        <item x="313"/>
        <item x="100"/>
        <item x="336"/>
        <item x="314"/>
        <item x="52"/>
        <item x="117"/>
        <item x="349"/>
        <item x="164"/>
        <item x="330"/>
        <item x="352"/>
        <item x="381"/>
        <item x="223"/>
        <item x="323"/>
        <item x="391"/>
        <item x="393"/>
        <item x="369"/>
        <item x="367"/>
        <item t="default"/>
      </items>
    </pivotField>
    <pivotField subtotalTop="0" showAll="0"/>
    <pivotField axis="axisRow" subtotalTop="0" showAll="0">
      <items count="6">
        <item sd="0" x="0"/>
        <item sd="0" x="3"/>
        <item sd="0" x="4"/>
        <item sd="0" x="1"/>
        <item sd="0" x="2"/>
        <item t="default"/>
      </items>
    </pivotField>
    <pivotField subtotalTop="0" showAll="0"/>
    <pivotField subtotalTop="0" showAll="0"/>
    <pivotField subtotalTop="0" showAll="0"/>
    <pivotField subtotalTop="0" showAll="0"/>
    <pivotField subtotalTop="0" showAll="0"/>
    <pivotField dataField="1" subtotalTop="0" showAll="0"/>
    <pivotField dataField="1" subtotalTop="0" showAll="0"/>
    <pivotField axis="axisCol" subtotalTop="0" showAll="0">
      <items count="3">
        <item x="0"/>
        <item x="1"/>
        <item t="default"/>
      </items>
    </pivotField>
    <pivotField subtotalTop="0" showAll="0"/>
    <pivotField subtotalTop="0" showAll="0"/>
    <pivotField subtotalTop="0" showAll="0"/>
    <pivotField subtotalTop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ubtotalTop="0" showAll="0">
      <items count="7">
        <item x="0"/>
        <item x="1"/>
        <item x="2"/>
        <item x="3"/>
        <item x="4"/>
        <item x="5"/>
        <item t="default"/>
      </items>
    </pivotField>
    <pivotField axis="axisRow" subtotalTop="0" showAll="0">
      <items count="5">
        <item x="0"/>
        <item x="1"/>
        <item x="2"/>
        <item x="3"/>
        <item t="default"/>
      </items>
    </pivotField>
    <pivotField subtotalTop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ubtotalTop="0" showAll="0">
      <items count="7">
        <item x="0"/>
        <item x="1"/>
        <item x="2"/>
        <item x="3"/>
        <item x="4"/>
        <item x="5"/>
        <item t="default"/>
      </items>
    </pivotField>
    <pivotField subtotalTop="0" showAll="0">
      <items count="5">
        <item x="0"/>
        <item x="1"/>
        <item x="2"/>
        <item x="3"/>
        <item t="default"/>
      </items>
    </pivotField>
  </pivotFields>
  <rowFields count="6">
    <field x="20"/>
    <field x="7"/>
    <field x="23"/>
    <field x="21"/>
    <field x="5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-2"/>
    <field x="15"/>
  </colFields>
  <colItems count="9">
    <i>
      <x/>
      <x/>
    </i>
    <i r="1">
      <x v="1"/>
    </i>
    <i i="1">
      <x v="1"/>
      <x/>
    </i>
    <i r="1" i="1">
      <x v="1"/>
    </i>
    <i i="2">
      <x v="2"/>
      <x/>
    </i>
    <i r="1" i="2">
      <x v="1"/>
    </i>
    <i t="grand">
      <x/>
    </i>
    <i t="grand" i="1">
      <x/>
    </i>
    <i t="grand" i="2">
      <x/>
    </i>
  </colItems>
  <dataFields count="3">
    <dataField name="Total Bookings" fld="0" subtotal="count" baseField="19" baseItem="1"/>
    <dataField name="Projected Revenue" fld="13" baseField="0" baseItem="0"/>
    <dataField name="Acutal Revenue. (Non-Cancelled bookings)" fld="14" baseField="0" baseItem="0"/>
  </dataFields>
  <formats count="1">
    <format dxfId="9">
      <pivotArea type="all" dataOnly="0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02999-0A1A-4029-9FE2-FBFC5A2320B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Quarters">
  <location ref="B31:D36" firstHeaderRow="0" firstDataRow="1" firstDataCol="1"/>
  <pivotFields count="27">
    <pivotField showAll="0"/>
    <pivotField showAll="0"/>
    <pivotField numFmtId="14" showAll="0">
      <items count="365">
        <item x="61"/>
        <item x="25"/>
        <item x="164"/>
        <item x="325"/>
        <item x="112"/>
        <item x="261"/>
        <item x="18"/>
        <item x="201"/>
        <item x="46"/>
        <item x="217"/>
        <item x="88"/>
        <item x="289"/>
        <item x="23"/>
        <item x="352"/>
        <item x="344"/>
        <item x="297"/>
        <item x="12"/>
        <item x="146"/>
        <item x="78"/>
        <item x="14"/>
        <item x="316"/>
        <item x="320"/>
        <item x="323"/>
        <item x="263"/>
        <item x="119"/>
        <item x="184"/>
        <item x="38"/>
        <item x="299"/>
        <item x="245"/>
        <item x="271"/>
        <item x="311"/>
        <item x="363"/>
        <item x="291"/>
        <item x="81"/>
        <item x="195"/>
        <item x="354"/>
        <item x="253"/>
        <item x="97"/>
        <item x="13"/>
        <item x="28"/>
        <item x="224"/>
        <item x="172"/>
        <item x="72"/>
        <item x="355"/>
        <item x="348"/>
        <item x="199"/>
        <item x="298"/>
        <item x="206"/>
        <item x="209"/>
        <item x="179"/>
        <item x="183"/>
        <item x="128"/>
        <item x="321"/>
        <item x="244"/>
        <item x="273"/>
        <item x="324"/>
        <item x="235"/>
        <item x="84"/>
        <item x="210"/>
        <item x="330"/>
        <item x="284"/>
        <item x="134"/>
        <item x="63"/>
        <item x="156"/>
        <item x="1"/>
        <item x="234"/>
        <item x="208"/>
        <item x="130"/>
        <item x="230"/>
        <item x="193"/>
        <item x="203"/>
        <item x="135"/>
        <item x="192"/>
        <item x="322"/>
        <item x="122"/>
        <item x="140"/>
        <item x="219"/>
        <item x="267"/>
        <item x="50"/>
        <item x="338"/>
        <item x="147"/>
        <item x="274"/>
        <item x="33"/>
        <item x="165"/>
        <item x="113"/>
        <item x="21"/>
        <item x="318"/>
        <item x="137"/>
        <item x="131"/>
        <item x="347"/>
        <item x="270"/>
        <item x="51"/>
        <item x="360"/>
        <item x="265"/>
        <item x="269"/>
        <item x="278"/>
        <item x="143"/>
        <item x="275"/>
        <item x="19"/>
        <item x="257"/>
        <item x="144"/>
        <item x="280"/>
        <item x="248"/>
        <item x="296"/>
        <item x="187"/>
        <item x="66"/>
        <item x="76"/>
        <item x="228"/>
        <item x="161"/>
        <item x="31"/>
        <item x="292"/>
        <item x="295"/>
        <item x="118"/>
        <item x="247"/>
        <item x="242"/>
        <item x="166"/>
        <item x="48"/>
        <item x="80"/>
        <item x="71"/>
        <item x="65"/>
        <item x="310"/>
        <item x="358"/>
        <item x="175"/>
        <item x="8"/>
        <item x="93"/>
        <item x="336"/>
        <item x="268"/>
        <item x="108"/>
        <item x="34"/>
        <item x="10"/>
        <item x="145"/>
        <item x="57"/>
        <item x="260"/>
        <item x="313"/>
        <item x="120"/>
        <item x="329"/>
        <item x="218"/>
        <item x="302"/>
        <item x="306"/>
        <item x="181"/>
        <item x="127"/>
        <item x="155"/>
        <item x="186"/>
        <item x="36"/>
        <item x="189"/>
        <item x="126"/>
        <item x="301"/>
        <item x="214"/>
        <item x="215"/>
        <item x="103"/>
        <item x="204"/>
        <item x="169"/>
        <item x="168"/>
        <item x="285"/>
        <item x="74"/>
        <item x="109"/>
        <item x="188"/>
        <item x="141"/>
        <item x="216"/>
        <item x="85"/>
        <item x="326"/>
        <item x="39"/>
        <item x="42"/>
        <item x="69"/>
        <item x="259"/>
        <item x="211"/>
        <item x="340"/>
        <item x="136"/>
        <item x="202"/>
        <item x="60"/>
        <item x="196"/>
        <item x="197"/>
        <item x="309"/>
        <item x="67"/>
        <item x="138"/>
        <item x="339"/>
        <item x="100"/>
        <item x="86"/>
        <item x="255"/>
        <item x="89"/>
        <item x="332"/>
        <item x="286"/>
        <item x="99"/>
        <item x="96"/>
        <item x="6"/>
        <item x="362"/>
        <item x="226"/>
        <item x="319"/>
        <item x="256"/>
        <item x="283"/>
        <item x="133"/>
        <item x="115"/>
        <item x="353"/>
        <item x="47"/>
        <item x="231"/>
        <item x="341"/>
        <item x="82"/>
        <item x="157"/>
        <item x="233"/>
        <item x="346"/>
        <item x="212"/>
        <item x="178"/>
        <item x="68"/>
        <item x="333"/>
        <item x="87"/>
        <item x="75"/>
        <item x="205"/>
        <item x="239"/>
        <item x="343"/>
        <item x="303"/>
        <item x="345"/>
        <item x="154"/>
        <item x="200"/>
        <item x="238"/>
        <item x="91"/>
        <item x="94"/>
        <item x="117"/>
        <item x="287"/>
        <item x="132"/>
        <item x="167"/>
        <item x="312"/>
        <item x="98"/>
        <item x="158"/>
        <item x="15"/>
        <item x="213"/>
        <item x="293"/>
        <item x="0"/>
        <item x="40"/>
        <item x="232"/>
        <item x="32"/>
        <item x="121"/>
        <item x="294"/>
        <item x="106"/>
        <item x="315"/>
        <item x="314"/>
        <item x="11"/>
        <item x="266"/>
        <item x="185"/>
        <item x="20"/>
        <item x="194"/>
        <item x="90"/>
        <item x="5"/>
        <item x="258"/>
        <item x="83"/>
        <item x="7"/>
        <item x="300"/>
        <item x="250"/>
        <item x="254"/>
        <item x="334"/>
        <item x="77"/>
        <item x="277"/>
        <item x="264"/>
        <item x="220"/>
        <item x="305"/>
        <item x="262"/>
        <item x="56"/>
        <item x="221"/>
        <item x="236"/>
        <item x="279"/>
        <item x="41"/>
        <item x="3"/>
        <item x="190"/>
        <item x="59"/>
        <item x="163"/>
        <item x="52"/>
        <item x="160"/>
        <item x="9"/>
        <item x="139"/>
        <item x="49"/>
        <item x="171"/>
        <item x="252"/>
        <item x="281"/>
        <item x="357"/>
        <item x="182"/>
        <item x="58"/>
        <item x="180"/>
        <item x="308"/>
        <item x="148"/>
        <item x="225"/>
        <item x="176"/>
        <item x="17"/>
        <item x="317"/>
        <item x="64"/>
        <item x="79"/>
        <item x="241"/>
        <item x="45"/>
        <item x="227"/>
        <item x="125"/>
        <item x="114"/>
        <item x="159"/>
        <item x="177"/>
        <item x="26"/>
        <item x="101"/>
        <item x="4"/>
        <item x="356"/>
        <item x="331"/>
        <item x="22"/>
        <item x="92"/>
        <item x="170"/>
        <item x="43"/>
        <item x="124"/>
        <item x="44"/>
        <item x="129"/>
        <item x="70"/>
        <item x="95"/>
        <item x="342"/>
        <item x="104"/>
        <item x="350"/>
        <item x="153"/>
        <item x="116"/>
        <item x="73"/>
        <item x="62"/>
        <item x="288"/>
        <item x="307"/>
        <item x="30"/>
        <item x="349"/>
        <item x="29"/>
        <item x="327"/>
        <item x="222"/>
        <item x="251"/>
        <item x="359"/>
        <item x="223"/>
        <item x="142"/>
        <item x="27"/>
        <item x="35"/>
        <item x="337"/>
        <item x="123"/>
        <item x="276"/>
        <item x="162"/>
        <item x="151"/>
        <item x="53"/>
        <item x="243"/>
        <item x="24"/>
        <item x="2"/>
        <item x="105"/>
        <item x="304"/>
        <item x="290"/>
        <item x="149"/>
        <item x="102"/>
        <item x="107"/>
        <item x="237"/>
        <item x="173"/>
        <item x="152"/>
        <item x="37"/>
        <item x="361"/>
        <item x="207"/>
        <item x="246"/>
        <item x="272"/>
        <item x="54"/>
        <item x="191"/>
        <item x="110"/>
        <item x="229"/>
        <item x="240"/>
        <item x="16"/>
        <item x="328"/>
        <item x="351"/>
        <item x="111"/>
        <item x="282"/>
        <item x="249"/>
        <item x="55"/>
        <item x="198"/>
        <item x="335"/>
        <item x="174"/>
        <item x="150"/>
        <item t="default"/>
      </items>
    </pivotField>
    <pivotField showAll="0"/>
    <pivotField numFmtId="14" showAll="0">
      <items count="403">
        <item x="330"/>
        <item x="360"/>
        <item x="57"/>
        <item x="78"/>
        <item x="400"/>
        <item x="392"/>
        <item x="324"/>
        <item x="45"/>
        <item x="396"/>
        <item x="373"/>
        <item x="115"/>
        <item x="393"/>
        <item x="307"/>
        <item x="235"/>
        <item x="259"/>
        <item x="134"/>
        <item x="17"/>
        <item x="12"/>
        <item x="203"/>
        <item x="391"/>
        <item x="372"/>
        <item x="23"/>
        <item x="364"/>
        <item x="380"/>
        <item x="379"/>
        <item x="246"/>
        <item x="196"/>
        <item x="271"/>
        <item x="294"/>
        <item x="183"/>
        <item x="111"/>
        <item x="376"/>
        <item x="398"/>
        <item x="292"/>
        <item x="266"/>
        <item x="166"/>
        <item x="274"/>
        <item x="371"/>
        <item x="153"/>
        <item x="287"/>
        <item x="177"/>
        <item x="237"/>
        <item x="86"/>
        <item x="37"/>
        <item x="117"/>
        <item x="171"/>
        <item x="245"/>
        <item x="319"/>
        <item x="207"/>
        <item x="220"/>
        <item x="270"/>
        <item x="244"/>
        <item x="30"/>
        <item x="213"/>
        <item x="75"/>
        <item x="353"/>
        <item x="13"/>
        <item x="369"/>
        <item x="381"/>
        <item x="341"/>
        <item x="194"/>
        <item x="273"/>
        <item x="80"/>
        <item x="122"/>
        <item x="128"/>
        <item x="329"/>
        <item x="204"/>
        <item x="187"/>
        <item x="163"/>
        <item x="279"/>
        <item x="267"/>
        <item x="26"/>
        <item x="67"/>
        <item x="1"/>
        <item x="344"/>
        <item x="317"/>
        <item x="293"/>
        <item x="199"/>
        <item x="202"/>
        <item x="188"/>
        <item x="361"/>
        <item x="382"/>
        <item x="135"/>
        <item x="339"/>
        <item x="119"/>
        <item x="359"/>
        <item x="268"/>
        <item x="146"/>
        <item x="130"/>
        <item x="20"/>
        <item x="82"/>
        <item x="231"/>
        <item x="215"/>
        <item x="176"/>
        <item x="401"/>
        <item x="59"/>
        <item x="283"/>
        <item x="139"/>
        <item x="48"/>
        <item x="121"/>
        <item x="284"/>
        <item x="142"/>
        <item x="257"/>
        <item x="154"/>
        <item x="264"/>
        <item x="291"/>
        <item x="248"/>
        <item x="189"/>
        <item x="198"/>
        <item x="346"/>
        <item x="241"/>
        <item x="350"/>
        <item x="375"/>
        <item x="286"/>
        <item x="149"/>
        <item x="357"/>
        <item x="224"/>
        <item x="8"/>
        <item x="209"/>
        <item x="125"/>
        <item x="143"/>
        <item x="71"/>
        <item x="234"/>
        <item x="167"/>
        <item x="190"/>
        <item x="158"/>
        <item x="10"/>
        <item x="314"/>
        <item x="62"/>
        <item x="321"/>
        <item x="109"/>
        <item x="184"/>
        <item x="32"/>
        <item x="285"/>
        <item x="232"/>
        <item x="29"/>
        <item x="211"/>
        <item x="18"/>
        <item x="54"/>
        <item x="141"/>
        <item x="61"/>
        <item x="49"/>
        <item x="112"/>
        <item x="100"/>
        <item x="79"/>
        <item x="33"/>
        <item x="365"/>
        <item x="278"/>
        <item x="74"/>
        <item x="311"/>
        <item x="133"/>
        <item x="47"/>
        <item x="66"/>
        <item x="102"/>
        <item x="281"/>
        <item x="221"/>
        <item x="269"/>
        <item x="107"/>
        <item x="145"/>
        <item x="200"/>
        <item x="110"/>
        <item x="123"/>
        <item x="197"/>
        <item x="205"/>
        <item x="310"/>
        <item x="328"/>
        <item x="180"/>
        <item x="193"/>
        <item x="160"/>
        <item x="302"/>
        <item x="126"/>
        <item x="38"/>
        <item x="242"/>
        <item x="356"/>
        <item x="214"/>
        <item x="261"/>
        <item x="178"/>
        <item x="92"/>
        <item x="289"/>
        <item x="174"/>
        <item x="222"/>
        <item x="116"/>
        <item x="131"/>
        <item x="316"/>
        <item x="64"/>
        <item x="322"/>
        <item x="218"/>
        <item x="282"/>
        <item x="46"/>
        <item x="335"/>
        <item x="181"/>
        <item x="41"/>
        <item x="84"/>
        <item x="301"/>
        <item x="95"/>
        <item x="144"/>
        <item x="210"/>
        <item x="212"/>
        <item x="206"/>
        <item x="124"/>
        <item x="63"/>
        <item x="182"/>
        <item x="192"/>
        <item x="256"/>
        <item x="69"/>
        <item x="334"/>
        <item x="6"/>
        <item x="272"/>
        <item x="240"/>
        <item x="397"/>
        <item x="348"/>
        <item x="355"/>
        <item x="349"/>
        <item x="225"/>
        <item x="227"/>
        <item x="56"/>
        <item x="70"/>
        <item x="105"/>
        <item x="93"/>
        <item x="312"/>
        <item x="325"/>
        <item x="300"/>
        <item x="386"/>
        <item x="327"/>
        <item x="255"/>
        <item x="87"/>
        <item x="208"/>
        <item x="147"/>
        <item x="308"/>
        <item x="332"/>
        <item x="280"/>
        <item x="288"/>
        <item x="223"/>
        <item x="89"/>
        <item x="170"/>
        <item x="331"/>
        <item x="354"/>
        <item x="85"/>
        <item x="228"/>
        <item x="0"/>
        <item x="19"/>
        <item x="39"/>
        <item x="303"/>
        <item x="298"/>
        <item x="236"/>
        <item x="5"/>
        <item x="108"/>
        <item x="140"/>
        <item x="326"/>
        <item x="250"/>
        <item x="265"/>
        <item x="129"/>
        <item x="229"/>
        <item x="88"/>
        <item x="337"/>
        <item x="11"/>
        <item x="304"/>
        <item x="14"/>
        <item x="159"/>
        <item x="370"/>
        <item x="399"/>
        <item x="3"/>
        <item x="81"/>
        <item x="172"/>
        <item x="216"/>
        <item x="7"/>
        <item x="113"/>
        <item x="55"/>
        <item x="275"/>
        <item x="305"/>
        <item x="262"/>
        <item x="252"/>
        <item x="296"/>
        <item x="295"/>
        <item x="98"/>
        <item x="162"/>
        <item x="31"/>
        <item x="34"/>
        <item x="233"/>
        <item x="155"/>
        <item x="76"/>
        <item x="60"/>
        <item x="101"/>
        <item x="313"/>
        <item x="148"/>
        <item x="251"/>
        <item x="258"/>
        <item x="9"/>
        <item x="191"/>
        <item x="50"/>
        <item x="72"/>
        <item x="318"/>
        <item x="238"/>
        <item x="161"/>
        <item x="164"/>
        <item x="65"/>
        <item x="195"/>
        <item x="362"/>
        <item x="150"/>
        <item x="53"/>
        <item x="226"/>
        <item x="276"/>
        <item x="44"/>
        <item x="91"/>
        <item x="16"/>
        <item x="40"/>
        <item x="152"/>
        <item x="363"/>
        <item x="320"/>
        <item x="28"/>
        <item x="43"/>
        <item x="77"/>
        <item x="290"/>
        <item x="260"/>
        <item x="358"/>
        <item x="58"/>
        <item x="127"/>
        <item x="263"/>
        <item x="68"/>
        <item x="94"/>
        <item x="25"/>
        <item x="297"/>
        <item x="377"/>
        <item x="27"/>
        <item x="96"/>
        <item x="345"/>
        <item x="24"/>
        <item x="35"/>
        <item x="169"/>
        <item x="217"/>
        <item x="4"/>
        <item x="309"/>
        <item x="175"/>
        <item x="179"/>
        <item x="378"/>
        <item x="106"/>
        <item x="366"/>
        <item x="21"/>
        <item x="2"/>
        <item x="395"/>
        <item x="336"/>
        <item x="157"/>
        <item x="333"/>
        <item x="247"/>
        <item x="42"/>
        <item x="73"/>
        <item x="114"/>
        <item x="173"/>
        <item x="219"/>
        <item x="338"/>
        <item x="104"/>
        <item x="118"/>
        <item x="90"/>
        <item x="277"/>
        <item x="22"/>
        <item x="138"/>
        <item x="390"/>
        <item x="83"/>
        <item x="156"/>
        <item x="97"/>
        <item x="323"/>
        <item x="186"/>
        <item x="99"/>
        <item x="347"/>
        <item x="151"/>
        <item x="168"/>
        <item x="306"/>
        <item x="239"/>
        <item x="249"/>
        <item x="132"/>
        <item x="254"/>
        <item x="36"/>
        <item x="383"/>
        <item x="342"/>
        <item x="351"/>
        <item x="137"/>
        <item x="384"/>
        <item x="243"/>
        <item x="185"/>
        <item x="136"/>
        <item x="389"/>
        <item x="394"/>
        <item x="51"/>
        <item x="388"/>
        <item x="299"/>
        <item x="253"/>
        <item x="374"/>
        <item x="15"/>
        <item x="103"/>
        <item x="201"/>
        <item x="52"/>
        <item x="120"/>
        <item x="343"/>
        <item x="165"/>
        <item x="230"/>
        <item x="340"/>
        <item x="352"/>
        <item x="385"/>
        <item x="315"/>
        <item x="367"/>
        <item x="387"/>
        <item x="368"/>
        <item t="default"/>
      </items>
    </pivotField>
    <pivotField numFmtId="14" showAll="0">
      <items count="406">
        <item x="341"/>
        <item x="56"/>
        <item x="290"/>
        <item x="74"/>
        <item x="399"/>
        <item x="377"/>
        <item x="44"/>
        <item x="331"/>
        <item x="340"/>
        <item x="361"/>
        <item x="398"/>
        <item x="112"/>
        <item x="400"/>
        <item x="190"/>
        <item x="226"/>
        <item x="17"/>
        <item x="102"/>
        <item x="339"/>
        <item x="12"/>
        <item x="363"/>
        <item x="372"/>
        <item x="275"/>
        <item x="23"/>
        <item x="396"/>
        <item x="332"/>
        <item x="189"/>
        <item x="346"/>
        <item x="110"/>
        <item x="155"/>
        <item x="248"/>
        <item x="253"/>
        <item x="325"/>
        <item x="310"/>
        <item x="165"/>
        <item x="371"/>
        <item x="291"/>
        <item x="376"/>
        <item x="279"/>
        <item x="230"/>
        <item x="149"/>
        <item x="388"/>
        <item x="173"/>
        <item x="80"/>
        <item x="169"/>
        <item x="38"/>
        <item x="115"/>
        <item x="243"/>
        <item x="215"/>
        <item x="213"/>
        <item x="201"/>
        <item x="242"/>
        <item x="347"/>
        <item x="392"/>
        <item x="30"/>
        <item x="72"/>
        <item x="334"/>
        <item x="13"/>
        <item x="237"/>
        <item x="185"/>
        <item x="76"/>
        <item x="328"/>
        <item x="266"/>
        <item x="335"/>
        <item x="120"/>
        <item x="268"/>
        <item x="181"/>
        <item x="160"/>
        <item x="312"/>
        <item x="387"/>
        <item x="379"/>
        <item x="26"/>
        <item x="66"/>
        <item x="1"/>
        <item x="326"/>
        <item x="39"/>
        <item x="231"/>
        <item x="195"/>
        <item x="182"/>
        <item x="241"/>
        <item x="262"/>
        <item x="218"/>
        <item x="364"/>
        <item x="322"/>
        <item x="221"/>
        <item x="131"/>
        <item x="116"/>
        <item x="288"/>
        <item x="362"/>
        <item x="20"/>
        <item x="274"/>
        <item x="126"/>
        <item x="370"/>
        <item x="224"/>
        <item x="309"/>
        <item x="103"/>
        <item x="58"/>
        <item x="344"/>
        <item x="48"/>
        <item x="137"/>
        <item x="295"/>
        <item x="210"/>
        <item x="118"/>
        <item x="338"/>
        <item x="271"/>
        <item x="150"/>
        <item x="269"/>
        <item x="246"/>
        <item x="283"/>
        <item x="183"/>
        <item x="192"/>
        <item x="234"/>
        <item x="296"/>
        <item x="272"/>
        <item x="359"/>
        <item x="240"/>
        <item x="180"/>
        <item x="144"/>
        <item x="216"/>
        <item x="8"/>
        <item x="69"/>
        <item x="139"/>
        <item x="281"/>
        <item x="121"/>
        <item x="152"/>
        <item x="166"/>
        <item x="286"/>
        <item x="206"/>
        <item x="10"/>
        <item x="320"/>
        <item x="292"/>
        <item x="329"/>
        <item x="129"/>
        <item x="108"/>
        <item x="32"/>
        <item x="225"/>
        <item x="18"/>
        <item x="54"/>
        <item x="29"/>
        <item x="265"/>
        <item x="355"/>
        <item x="60"/>
        <item x="49"/>
        <item x="368"/>
        <item x="98"/>
        <item x="33"/>
        <item x="245"/>
        <item x="75"/>
        <item x="36"/>
        <item x="321"/>
        <item x="130"/>
        <item x="65"/>
        <item x="46"/>
        <item x="255"/>
        <item x="345"/>
        <item x="84"/>
        <item x="247"/>
        <item x="141"/>
        <item x="196"/>
        <item x="107"/>
        <item x="186"/>
        <item x="109"/>
        <item x="122"/>
        <item x="227"/>
        <item x="197"/>
        <item x="251"/>
        <item x="278"/>
        <item x="191"/>
        <item x="177"/>
        <item x="156"/>
        <item x="78"/>
        <item x="93"/>
        <item x="235"/>
        <item x="40"/>
        <item x="397"/>
        <item x="264"/>
        <item x="175"/>
        <item x="199"/>
        <item x="90"/>
        <item x="88"/>
        <item x="380"/>
        <item x="114"/>
        <item x="282"/>
        <item x="273"/>
        <item x="127"/>
        <item x="203"/>
        <item x="63"/>
        <item x="228"/>
        <item x="211"/>
        <item x="154"/>
        <item x="45"/>
        <item x="42"/>
        <item x="374"/>
        <item x="343"/>
        <item x="193"/>
        <item x="92"/>
        <item x="308"/>
        <item x="140"/>
        <item x="260"/>
        <item x="204"/>
        <item x="200"/>
        <item x="61"/>
        <item x="123"/>
        <item x="287"/>
        <item x="261"/>
        <item x="67"/>
        <item x="6"/>
        <item x="276"/>
        <item x="316"/>
        <item x="358"/>
        <item x="233"/>
        <item x="351"/>
        <item x="217"/>
        <item x="220"/>
        <item x="354"/>
        <item x="68"/>
        <item x="55"/>
        <item x="104"/>
        <item x="89"/>
        <item x="315"/>
        <item x="293"/>
        <item x="318"/>
        <item x="306"/>
        <item x="333"/>
        <item x="259"/>
        <item x="82"/>
        <item x="337"/>
        <item x="143"/>
        <item x="202"/>
        <item x="239"/>
        <item x="303"/>
        <item x="284"/>
        <item x="300"/>
        <item x="174"/>
        <item x="188"/>
        <item x="194"/>
        <item x="85"/>
        <item x="257"/>
        <item x="79"/>
        <item x="62"/>
        <item x="0"/>
        <item x="298"/>
        <item x="187"/>
        <item x="19"/>
        <item x="41"/>
        <item x="311"/>
        <item x="294"/>
        <item x="229"/>
        <item x="5"/>
        <item x="138"/>
        <item x="249"/>
        <item x="404"/>
        <item x="301"/>
        <item x="125"/>
        <item x="83"/>
        <item x="222"/>
        <item x="209"/>
        <item x="11"/>
        <item x="153"/>
        <item x="353"/>
        <item x="14"/>
        <item x="297"/>
        <item x="3"/>
        <item x="170"/>
        <item x="119"/>
        <item x="232"/>
        <item x="366"/>
        <item x="81"/>
        <item x="7"/>
        <item x="299"/>
        <item x="324"/>
        <item x="254"/>
        <item x="270"/>
        <item x="285"/>
        <item x="96"/>
        <item x="394"/>
        <item x="159"/>
        <item x="327"/>
        <item x="34"/>
        <item x="31"/>
        <item x="113"/>
        <item x="375"/>
        <item x="99"/>
        <item x="277"/>
        <item x="59"/>
        <item x="252"/>
        <item x="207"/>
        <item x="389"/>
        <item x="9"/>
        <item x="304"/>
        <item x="50"/>
        <item x="342"/>
        <item x="350"/>
        <item x="289"/>
        <item x="163"/>
        <item x="168"/>
        <item x="158"/>
        <item x="64"/>
        <item x="53"/>
        <item x="205"/>
        <item x="145"/>
        <item x="365"/>
        <item x="219"/>
        <item x="87"/>
        <item x="280"/>
        <item x="16"/>
        <item x="236"/>
        <item x="71"/>
        <item x="148"/>
        <item x="28"/>
        <item x="105"/>
        <item x="47"/>
        <item x="157"/>
        <item x="73"/>
        <item x="382"/>
        <item x="263"/>
        <item x="57"/>
        <item x="162"/>
        <item x="124"/>
        <item x="91"/>
        <item x="25"/>
        <item x="171"/>
        <item x="27"/>
        <item x="302"/>
        <item x="24"/>
        <item x="214"/>
        <item x="94"/>
        <item x="208"/>
        <item x="258"/>
        <item x="35"/>
        <item x="167"/>
        <item x="4"/>
        <item x="256"/>
        <item x="172"/>
        <item x="176"/>
        <item x="106"/>
        <item x="2"/>
        <item x="402"/>
        <item x="21"/>
        <item x="307"/>
        <item x="151"/>
        <item x="244"/>
        <item x="178"/>
        <item x="43"/>
        <item x="383"/>
        <item x="70"/>
        <item x="142"/>
        <item x="212"/>
        <item x="111"/>
        <item x="319"/>
        <item x="86"/>
        <item x="136"/>
        <item x="101"/>
        <item x="22"/>
        <item x="317"/>
        <item x="134"/>
        <item x="77"/>
        <item x="378"/>
        <item x="360"/>
        <item x="95"/>
        <item x="135"/>
        <item x="179"/>
        <item x="184"/>
        <item x="97"/>
        <item x="146"/>
        <item x="198"/>
        <item x="356"/>
        <item x="128"/>
        <item x="147"/>
        <item x="161"/>
        <item x="37"/>
        <item x="250"/>
        <item x="348"/>
        <item x="357"/>
        <item x="403"/>
        <item x="238"/>
        <item x="385"/>
        <item x="133"/>
        <item x="132"/>
        <item x="267"/>
        <item x="395"/>
        <item x="384"/>
        <item x="401"/>
        <item x="51"/>
        <item x="386"/>
        <item x="390"/>
        <item x="305"/>
        <item x="15"/>
        <item x="373"/>
        <item x="313"/>
        <item x="100"/>
        <item x="336"/>
        <item x="314"/>
        <item x="52"/>
        <item x="117"/>
        <item x="349"/>
        <item x="164"/>
        <item x="330"/>
        <item x="352"/>
        <item x="381"/>
        <item x="223"/>
        <item x="323"/>
        <item x="391"/>
        <item x="393"/>
        <item x="369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axis="axisRow" showAll="0" defaultSubtotal="0">
      <items count="6">
        <item x="0"/>
        <item x="1"/>
        <item x="2"/>
        <item x="3"/>
        <item x="4"/>
        <item x="5"/>
      </items>
    </pivotField>
    <pivotField showAll="0" defaultSubtotal="0">
      <items count="4">
        <item x="0"/>
        <item x="1"/>
        <item x="2"/>
        <item x="3"/>
      </items>
    </pivotField>
  </pivotFields>
  <rowFields count="1">
    <field x="25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Projected Revenue" fld="13" baseField="0" baseItem="0"/>
    <dataField name="Acutal Revenue. (Non-Cancelled bookings)" fld="14" baseField="0" baseItem="0"/>
  </dataFields>
  <formats count="2">
    <format dxfId="1">
      <pivotArea collapsedLevelsAreSubtotals="1" fieldPosition="0">
        <references count="1">
          <reference field="25" count="4">
            <x v="1"/>
            <x v="2"/>
            <x v="3"/>
            <x v="4"/>
          </reference>
        </references>
      </pivotArea>
    </format>
    <format dxfId="0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94EA94-FB82-420F-A0F1-540F8E56C0A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21:K24" firstHeaderRow="0" firstDataRow="1" firstDataCol="1"/>
  <pivotFields count="27">
    <pivotField showAll="0"/>
    <pivotField showAll="0"/>
    <pivotField numFmtId="14" showAll="0">
      <items count="365">
        <item x="61"/>
        <item x="25"/>
        <item x="164"/>
        <item x="325"/>
        <item x="112"/>
        <item x="261"/>
        <item x="18"/>
        <item x="201"/>
        <item x="46"/>
        <item x="217"/>
        <item x="88"/>
        <item x="289"/>
        <item x="23"/>
        <item x="352"/>
        <item x="344"/>
        <item x="297"/>
        <item x="12"/>
        <item x="146"/>
        <item x="78"/>
        <item x="14"/>
        <item x="316"/>
        <item x="320"/>
        <item x="323"/>
        <item x="263"/>
        <item x="119"/>
        <item x="184"/>
        <item x="38"/>
        <item x="299"/>
        <item x="245"/>
        <item x="271"/>
        <item x="311"/>
        <item x="363"/>
        <item x="291"/>
        <item x="81"/>
        <item x="195"/>
        <item x="354"/>
        <item x="253"/>
        <item x="97"/>
        <item x="13"/>
        <item x="28"/>
        <item x="224"/>
        <item x="172"/>
        <item x="72"/>
        <item x="355"/>
        <item x="348"/>
        <item x="199"/>
        <item x="298"/>
        <item x="206"/>
        <item x="209"/>
        <item x="179"/>
        <item x="183"/>
        <item x="128"/>
        <item x="321"/>
        <item x="244"/>
        <item x="273"/>
        <item x="324"/>
        <item x="235"/>
        <item x="84"/>
        <item x="210"/>
        <item x="330"/>
        <item x="284"/>
        <item x="134"/>
        <item x="63"/>
        <item x="156"/>
        <item x="1"/>
        <item x="234"/>
        <item x="208"/>
        <item x="130"/>
        <item x="230"/>
        <item x="193"/>
        <item x="203"/>
        <item x="135"/>
        <item x="192"/>
        <item x="322"/>
        <item x="122"/>
        <item x="140"/>
        <item x="219"/>
        <item x="267"/>
        <item x="50"/>
        <item x="338"/>
        <item x="147"/>
        <item x="274"/>
        <item x="33"/>
        <item x="165"/>
        <item x="113"/>
        <item x="21"/>
        <item x="318"/>
        <item x="137"/>
        <item x="131"/>
        <item x="347"/>
        <item x="270"/>
        <item x="51"/>
        <item x="360"/>
        <item x="265"/>
        <item x="269"/>
        <item x="278"/>
        <item x="143"/>
        <item x="275"/>
        <item x="19"/>
        <item x="257"/>
        <item x="144"/>
        <item x="280"/>
        <item x="248"/>
        <item x="296"/>
        <item x="187"/>
        <item x="66"/>
        <item x="76"/>
        <item x="228"/>
        <item x="161"/>
        <item x="31"/>
        <item x="292"/>
        <item x="295"/>
        <item x="118"/>
        <item x="247"/>
        <item x="242"/>
        <item x="166"/>
        <item x="48"/>
        <item x="80"/>
        <item x="71"/>
        <item x="65"/>
        <item x="310"/>
        <item x="358"/>
        <item x="175"/>
        <item x="8"/>
        <item x="93"/>
        <item x="336"/>
        <item x="268"/>
        <item x="108"/>
        <item x="34"/>
        <item x="10"/>
        <item x="145"/>
        <item x="57"/>
        <item x="260"/>
        <item x="313"/>
        <item x="120"/>
        <item x="329"/>
        <item x="218"/>
        <item x="302"/>
        <item x="306"/>
        <item x="181"/>
        <item x="127"/>
        <item x="155"/>
        <item x="186"/>
        <item x="36"/>
        <item x="189"/>
        <item x="126"/>
        <item x="301"/>
        <item x="214"/>
        <item x="215"/>
        <item x="103"/>
        <item x="204"/>
        <item x="169"/>
        <item x="168"/>
        <item x="285"/>
        <item x="74"/>
        <item x="109"/>
        <item x="188"/>
        <item x="141"/>
        <item x="216"/>
        <item x="85"/>
        <item x="326"/>
        <item x="39"/>
        <item x="42"/>
        <item x="69"/>
        <item x="259"/>
        <item x="211"/>
        <item x="340"/>
        <item x="136"/>
        <item x="202"/>
        <item x="60"/>
        <item x="196"/>
        <item x="197"/>
        <item x="309"/>
        <item x="67"/>
        <item x="138"/>
        <item x="339"/>
        <item x="100"/>
        <item x="86"/>
        <item x="255"/>
        <item x="89"/>
        <item x="332"/>
        <item x="286"/>
        <item x="99"/>
        <item x="96"/>
        <item x="6"/>
        <item x="362"/>
        <item x="226"/>
        <item x="319"/>
        <item x="256"/>
        <item x="283"/>
        <item x="133"/>
        <item x="115"/>
        <item x="353"/>
        <item x="47"/>
        <item x="231"/>
        <item x="341"/>
        <item x="82"/>
        <item x="157"/>
        <item x="233"/>
        <item x="346"/>
        <item x="212"/>
        <item x="178"/>
        <item x="68"/>
        <item x="333"/>
        <item x="87"/>
        <item x="75"/>
        <item x="205"/>
        <item x="239"/>
        <item x="343"/>
        <item x="303"/>
        <item x="345"/>
        <item x="154"/>
        <item x="200"/>
        <item x="238"/>
        <item x="91"/>
        <item x="94"/>
        <item x="117"/>
        <item x="287"/>
        <item x="132"/>
        <item x="167"/>
        <item x="312"/>
        <item x="98"/>
        <item x="158"/>
        <item x="15"/>
        <item x="213"/>
        <item x="293"/>
        <item x="0"/>
        <item x="40"/>
        <item x="232"/>
        <item x="32"/>
        <item x="121"/>
        <item x="294"/>
        <item x="106"/>
        <item x="315"/>
        <item x="314"/>
        <item x="11"/>
        <item x="266"/>
        <item x="185"/>
        <item x="20"/>
        <item x="194"/>
        <item x="90"/>
        <item x="5"/>
        <item x="258"/>
        <item x="83"/>
        <item x="7"/>
        <item x="300"/>
        <item x="250"/>
        <item x="254"/>
        <item x="334"/>
        <item x="77"/>
        <item x="277"/>
        <item x="264"/>
        <item x="220"/>
        <item x="305"/>
        <item x="262"/>
        <item x="56"/>
        <item x="221"/>
        <item x="236"/>
        <item x="279"/>
        <item x="41"/>
        <item x="3"/>
        <item x="190"/>
        <item x="59"/>
        <item x="163"/>
        <item x="52"/>
        <item x="160"/>
        <item x="9"/>
        <item x="139"/>
        <item x="49"/>
        <item x="171"/>
        <item x="252"/>
        <item x="281"/>
        <item x="357"/>
        <item x="182"/>
        <item x="58"/>
        <item x="180"/>
        <item x="308"/>
        <item x="148"/>
        <item x="225"/>
        <item x="176"/>
        <item x="17"/>
        <item x="317"/>
        <item x="64"/>
        <item x="79"/>
        <item x="241"/>
        <item x="45"/>
        <item x="227"/>
        <item x="125"/>
        <item x="114"/>
        <item x="159"/>
        <item x="177"/>
        <item x="26"/>
        <item x="101"/>
        <item x="4"/>
        <item x="356"/>
        <item x="331"/>
        <item x="22"/>
        <item x="92"/>
        <item x="170"/>
        <item x="43"/>
        <item x="124"/>
        <item x="44"/>
        <item x="129"/>
        <item x="70"/>
        <item x="95"/>
        <item x="342"/>
        <item x="104"/>
        <item x="350"/>
        <item x="153"/>
        <item x="116"/>
        <item x="73"/>
        <item x="62"/>
        <item x="288"/>
        <item x="307"/>
        <item x="30"/>
        <item x="349"/>
        <item x="29"/>
        <item x="327"/>
        <item x="222"/>
        <item x="251"/>
        <item x="359"/>
        <item x="223"/>
        <item x="142"/>
        <item x="27"/>
        <item x="35"/>
        <item x="337"/>
        <item x="123"/>
        <item x="276"/>
        <item x="162"/>
        <item x="151"/>
        <item x="53"/>
        <item x="243"/>
        <item x="24"/>
        <item x="2"/>
        <item x="105"/>
        <item x="304"/>
        <item x="290"/>
        <item x="149"/>
        <item x="102"/>
        <item x="107"/>
        <item x="237"/>
        <item x="173"/>
        <item x="152"/>
        <item x="37"/>
        <item x="361"/>
        <item x="207"/>
        <item x="246"/>
        <item x="272"/>
        <item x="54"/>
        <item x="191"/>
        <item x="110"/>
        <item x="229"/>
        <item x="240"/>
        <item x="16"/>
        <item x="328"/>
        <item x="351"/>
        <item x="111"/>
        <item x="282"/>
        <item x="249"/>
        <item x="55"/>
        <item x="198"/>
        <item x="335"/>
        <item x="174"/>
        <item x="150"/>
        <item t="default"/>
      </items>
    </pivotField>
    <pivotField showAll="0"/>
    <pivotField numFmtId="14" showAll="0">
      <items count="403">
        <item x="330"/>
        <item x="360"/>
        <item x="57"/>
        <item x="78"/>
        <item x="400"/>
        <item x="392"/>
        <item x="324"/>
        <item x="45"/>
        <item x="396"/>
        <item x="373"/>
        <item x="115"/>
        <item x="393"/>
        <item x="307"/>
        <item x="235"/>
        <item x="259"/>
        <item x="134"/>
        <item x="17"/>
        <item x="12"/>
        <item x="203"/>
        <item x="391"/>
        <item x="372"/>
        <item x="23"/>
        <item x="364"/>
        <item x="380"/>
        <item x="379"/>
        <item x="246"/>
        <item x="196"/>
        <item x="271"/>
        <item x="294"/>
        <item x="183"/>
        <item x="111"/>
        <item x="376"/>
        <item x="398"/>
        <item x="292"/>
        <item x="266"/>
        <item x="166"/>
        <item x="274"/>
        <item x="371"/>
        <item x="153"/>
        <item x="287"/>
        <item x="177"/>
        <item x="237"/>
        <item x="86"/>
        <item x="37"/>
        <item x="117"/>
        <item x="171"/>
        <item x="245"/>
        <item x="319"/>
        <item x="207"/>
        <item x="220"/>
        <item x="270"/>
        <item x="244"/>
        <item x="30"/>
        <item x="213"/>
        <item x="75"/>
        <item x="353"/>
        <item x="13"/>
        <item x="369"/>
        <item x="381"/>
        <item x="341"/>
        <item x="194"/>
        <item x="273"/>
        <item x="80"/>
        <item x="122"/>
        <item x="128"/>
        <item x="329"/>
        <item x="204"/>
        <item x="187"/>
        <item x="163"/>
        <item x="279"/>
        <item x="267"/>
        <item x="26"/>
        <item x="67"/>
        <item x="1"/>
        <item x="344"/>
        <item x="317"/>
        <item x="293"/>
        <item x="199"/>
        <item x="202"/>
        <item x="188"/>
        <item x="361"/>
        <item x="382"/>
        <item x="135"/>
        <item x="339"/>
        <item x="119"/>
        <item x="359"/>
        <item x="268"/>
        <item x="146"/>
        <item x="130"/>
        <item x="20"/>
        <item x="82"/>
        <item x="231"/>
        <item x="215"/>
        <item x="176"/>
        <item x="401"/>
        <item x="59"/>
        <item x="283"/>
        <item x="139"/>
        <item x="48"/>
        <item x="121"/>
        <item x="284"/>
        <item x="142"/>
        <item x="257"/>
        <item x="154"/>
        <item x="264"/>
        <item x="291"/>
        <item x="248"/>
        <item x="189"/>
        <item x="198"/>
        <item x="346"/>
        <item x="241"/>
        <item x="350"/>
        <item x="375"/>
        <item x="286"/>
        <item x="149"/>
        <item x="357"/>
        <item x="224"/>
        <item x="8"/>
        <item x="209"/>
        <item x="125"/>
        <item x="143"/>
        <item x="71"/>
        <item x="234"/>
        <item x="167"/>
        <item x="190"/>
        <item x="158"/>
        <item x="10"/>
        <item x="314"/>
        <item x="62"/>
        <item x="321"/>
        <item x="109"/>
        <item x="184"/>
        <item x="32"/>
        <item x="285"/>
        <item x="232"/>
        <item x="29"/>
        <item x="211"/>
        <item x="18"/>
        <item x="54"/>
        <item x="141"/>
        <item x="61"/>
        <item x="49"/>
        <item x="112"/>
        <item x="100"/>
        <item x="79"/>
        <item x="33"/>
        <item x="365"/>
        <item x="278"/>
        <item x="74"/>
        <item x="311"/>
        <item x="133"/>
        <item x="47"/>
        <item x="66"/>
        <item x="102"/>
        <item x="281"/>
        <item x="221"/>
        <item x="269"/>
        <item x="107"/>
        <item x="145"/>
        <item x="200"/>
        <item x="110"/>
        <item x="123"/>
        <item x="197"/>
        <item x="205"/>
        <item x="310"/>
        <item x="328"/>
        <item x="180"/>
        <item x="193"/>
        <item x="160"/>
        <item x="302"/>
        <item x="126"/>
        <item x="38"/>
        <item x="242"/>
        <item x="356"/>
        <item x="214"/>
        <item x="261"/>
        <item x="178"/>
        <item x="92"/>
        <item x="289"/>
        <item x="174"/>
        <item x="222"/>
        <item x="116"/>
        <item x="131"/>
        <item x="316"/>
        <item x="64"/>
        <item x="322"/>
        <item x="218"/>
        <item x="282"/>
        <item x="46"/>
        <item x="335"/>
        <item x="181"/>
        <item x="41"/>
        <item x="84"/>
        <item x="301"/>
        <item x="95"/>
        <item x="144"/>
        <item x="210"/>
        <item x="212"/>
        <item x="206"/>
        <item x="124"/>
        <item x="63"/>
        <item x="182"/>
        <item x="192"/>
        <item x="256"/>
        <item x="69"/>
        <item x="334"/>
        <item x="6"/>
        <item x="272"/>
        <item x="240"/>
        <item x="397"/>
        <item x="348"/>
        <item x="355"/>
        <item x="349"/>
        <item x="225"/>
        <item x="227"/>
        <item x="56"/>
        <item x="70"/>
        <item x="105"/>
        <item x="93"/>
        <item x="312"/>
        <item x="325"/>
        <item x="300"/>
        <item x="386"/>
        <item x="327"/>
        <item x="255"/>
        <item x="87"/>
        <item x="208"/>
        <item x="147"/>
        <item x="308"/>
        <item x="332"/>
        <item x="280"/>
        <item x="288"/>
        <item x="223"/>
        <item x="89"/>
        <item x="170"/>
        <item x="331"/>
        <item x="354"/>
        <item x="85"/>
        <item x="228"/>
        <item x="0"/>
        <item x="19"/>
        <item x="39"/>
        <item x="303"/>
        <item x="298"/>
        <item x="236"/>
        <item x="5"/>
        <item x="108"/>
        <item x="140"/>
        <item x="326"/>
        <item x="250"/>
        <item x="265"/>
        <item x="129"/>
        <item x="229"/>
        <item x="88"/>
        <item x="337"/>
        <item x="11"/>
        <item x="304"/>
        <item x="14"/>
        <item x="159"/>
        <item x="370"/>
        <item x="399"/>
        <item x="3"/>
        <item x="81"/>
        <item x="172"/>
        <item x="216"/>
        <item x="7"/>
        <item x="113"/>
        <item x="55"/>
        <item x="275"/>
        <item x="305"/>
        <item x="262"/>
        <item x="252"/>
        <item x="296"/>
        <item x="295"/>
        <item x="98"/>
        <item x="162"/>
        <item x="31"/>
        <item x="34"/>
        <item x="233"/>
        <item x="155"/>
        <item x="76"/>
        <item x="60"/>
        <item x="101"/>
        <item x="313"/>
        <item x="148"/>
        <item x="251"/>
        <item x="258"/>
        <item x="9"/>
        <item x="191"/>
        <item x="50"/>
        <item x="72"/>
        <item x="318"/>
        <item x="238"/>
        <item x="161"/>
        <item x="164"/>
        <item x="65"/>
        <item x="195"/>
        <item x="362"/>
        <item x="150"/>
        <item x="53"/>
        <item x="226"/>
        <item x="276"/>
        <item x="44"/>
        <item x="91"/>
        <item x="16"/>
        <item x="40"/>
        <item x="152"/>
        <item x="363"/>
        <item x="320"/>
        <item x="28"/>
        <item x="43"/>
        <item x="77"/>
        <item x="290"/>
        <item x="260"/>
        <item x="358"/>
        <item x="58"/>
        <item x="127"/>
        <item x="263"/>
        <item x="68"/>
        <item x="94"/>
        <item x="25"/>
        <item x="297"/>
        <item x="377"/>
        <item x="27"/>
        <item x="96"/>
        <item x="345"/>
        <item x="24"/>
        <item x="35"/>
        <item x="169"/>
        <item x="217"/>
        <item x="4"/>
        <item x="309"/>
        <item x="175"/>
        <item x="179"/>
        <item x="378"/>
        <item x="106"/>
        <item x="366"/>
        <item x="21"/>
        <item x="2"/>
        <item x="395"/>
        <item x="336"/>
        <item x="157"/>
        <item x="333"/>
        <item x="247"/>
        <item x="42"/>
        <item x="73"/>
        <item x="114"/>
        <item x="173"/>
        <item x="219"/>
        <item x="338"/>
        <item x="104"/>
        <item x="118"/>
        <item x="90"/>
        <item x="277"/>
        <item x="22"/>
        <item x="138"/>
        <item x="390"/>
        <item x="83"/>
        <item x="156"/>
        <item x="97"/>
        <item x="323"/>
        <item x="186"/>
        <item x="99"/>
        <item x="347"/>
        <item x="151"/>
        <item x="168"/>
        <item x="306"/>
        <item x="239"/>
        <item x="249"/>
        <item x="132"/>
        <item x="254"/>
        <item x="36"/>
        <item x="383"/>
        <item x="342"/>
        <item x="351"/>
        <item x="137"/>
        <item x="384"/>
        <item x="243"/>
        <item x="185"/>
        <item x="136"/>
        <item x="389"/>
        <item x="394"/>
        <item x="51"/>
        <item x="388"/>
        <item x="299"/>
        <item x="253"/>
        <item x="374"/>
        <item x="15"/>
        <item x="103"/>
        <item x="201"/>
        <item x="52"/>
        <item x="120"/>
        <item x="343"/>
        <item x="165"/>
        <item x="230"/>
        <item x="340"/>
        <item x="352"/>
        <item x="385"/>
        <item x="315"/>
        <item x="367"/>
        <item x="387"/>
        <item x="368"/>
        <item t="default"/>
      </items>
    </pivotField>
    <pivotField numFmtId="14" showAll="0">
      <items count="406">
        <item x="341"/>
        <item x="56"/>
        <item x="290"/>
        <item x="74"/>
        <item x="399"/>
        <item x="377"/>
        <item x="44"/>
        <item x="331"/>
        <item x="340"/>
        <item x="361"/>
        <item x="398"/>
        <item x="112"/>
        <item x="400"/>
        <item x="190"/>
        <item x="226"/>
        <item x="17"/>
        <item x="102"/>
        <item x="339"/>
        <item x="12"/>
        <item x="363"/>
        <item x="372"/>
        <item x="275"/>
        <item x="23"/>
        <item x="396"/>
        <item x="332"/>
        <item x="189"/>
        <item x="346"/>
        <item x="110"/>
        <item x="155"/>
        <item x="248"/>
        <item x="253"/>
        <item x="325"/>
        <item x="310"/>
        <item x="165"/>
        <item x="371"/>
        <item x="291"/>
        <item x="376"/>
        <item x="279"/>
        <item x="230"/>
        <item x="149"/>
        <item x="388"/>
        <item x="173"/>
        <item x="80"/>
        <item x="169"/>
        <item x="38"/>
        <item x="115"/>
        <item x="243"/>
        <item x="215"/>
        <item x="213"/>
        <item x="201"/>
        <item x="242"/>
        <item x="347"/>
        <item x="392"/>
        <item x="30"/>
        <item x="72"/>
        <item x="334"/>
        <item x="13"/>
        <item x="237"/>
        <item x="185"/>
        <item x="76"/>
        <item x="328"/>
        <item x="266"/>
        <item x="335"/>
        <item x="120"/>
        <item x="268"/>
        <item x="181"/>
        <item x="160"/>
        <item x="312"/>
        <item x="387"/>
        <item x="379"/>
        <item x="26"/>
        <item x="66"/>
        <item x="1"/>
        <item x="326"/>
        <item x="39"/>
        <item x="231"/>
        <item x="195"/>
        <item x="182"/>
        <item x="241"/>
        <item x="262"/>
        <item x="218"/>
        <item x="364"/>
        <item x="322"/>
        <item x="221"/>
        <item x="131"/>
        <item x="116"/>
        <item x="288"/>
        <item x="362"/>
        <item x="20"/>
        <item x="274"/>
        <item x="126"/>
        <item x="370"/>
        <item x="224"/>
        <item x="309"/>
        <item x="103"/>
        <item x="58"/>
        <item x="344"/>
        <item x="48"/>
        <item x="137"/>
        <item x="295"/>
        <item x="210"/>
        <item x="118"/>
        <item x="338"/>
        <item x="271"/>
        <item x="150"/>
        <item x="269"/>
        <item x="246"/>
        <item x="283"/>
        <item x="183"/>
        <item x="192"/>
        <item x="234"/>
        <item x="296"/>
        <item x="272"/>
        <item x="359"/>
        <item x="240"/>
        <item x="180"/>
        <item x="144"/>
        <item x="216"/>
        <item x="8"/>
        <item x="69"/>
        <item x="139"/>
        <item x="281"/>
        <item x="121"/>
        <item x="152"/>
        <item x="166"/>
        <item x="286"/>
        <item x="206"/>
        <item x="10"/>
        <item x="320"/>
        <item x="292"/>
        <item x="329"/>
        <item x="129"/>
        <item x="108"/>
        <item x="32"/>
        <item x="225"/>
        <item x="18"/>
        <item x="54"/>
        <item x="29"/>
        <item x="265"/>
        <item x="355"/>
        <item x="60"/>
        <item x="49"/>
        <item x="368"/>
        <item x="98"/>
        <item x="33"/>
        <item x="245"/>
        <item x="75"/>
        <item x="36"/>
        <item x="321"/>
        <item x="130"/>
        <item x="65"/>
        <item x="46"/>
        <item x="255"/>
        <item x="345"/>
        <item x="84"/>
        <item x="247"/>
        <item x="141"/>
        <item x="196"/>
        <item x="107"/>
        <item x="186"/>
        <item x="109"/>
        <item x="122"/>
        <item x="227"/>
        <item x="197"/>
        <item x="251"/>
        <item x="278"/>
        <item x="191"/>
        <item x="177"/>
        <item x="156"/>
        <item x="78"/>
        <item x="93"/>
        <item x="235"/>
        <item x="40"/>
        <item x="397"/>
        <item x="264"/>
        <item x="175"/>
        <item x="199"/>
        <item x="90"/>
        <item x="88"/>
        <item x="380"/>
        <item x="114"/>
        <item x="282"/>
        <item x="273"/>
        <item x="127"/>
        <item x="203"/>
        <item x="63"/>
        <item x="228"/>
        <item x="211"/>
        <item x="154"/>
        <item x="45"/>
        <item x="42"/>
        <item x="374"/>
        <item x="343"/>
        <item x="193"/>
        <item x="92"/>
        <item x="308"/>
        <item x="140"/>
        <item x="260"/>
        <item x="204"/>
        <item x="200"/>
        <item x="61"/>
        <item x="123"/>
        <item x="287"/>
        <item x="261"/>
        <item x="67"/>
        <item x="6"/>
        <item x="276"/>
        <item x="316"/>
        <item x="358"/>
        <item x="233"/>
        <item x="351"/>
        <item x="217"/>
        <item x="220"/>
        <item x="354"/>
        <item x="68"/>
        <item x="55"/>
        <item x="104"/>
        <item x="89"/>
        <item x="315"/>
        <item x="293"/>
        <item x="318"/>
        <item x="306"/>
        <item x="333"/>
        <item x="259"/>
        <item x="82"/>
        <item x="337"/>
        <item x="143"/>
        <item x="202"/>
        <item x="239"/>
        <item x="303"/>
        <item x="284"/>
        <item x="300"/>
        <item x="174"/>
        <item x="188"/>
        <item x="194"/>
        <item x="85"/>
        <item x="257"/>
        <item x="79"/>
        <item x="62"/>
        <item x="0"/>
        <item x="298"/>
        <item x="187"/>
        <item x="19"/>
        <item x="41"/>
        <item x="311"/>
        <item x="294"/>
        <item x="229"/>
        <item x="5"/>
        <item x="138"/>
        <item x="249"/>
        <item x="404"/>
        <item x="301"/>
        <item x="125"/>
        <item x="83"/>
        <item x="222"/>
        <item x="209"/>
        <item x="11"/>
        <item x="153"/>
        <item x="353"/>
        <item x="14"/>
        <item x="297"/>
        <item x="3"/>
        <item x="170"/>
        <item x="119"/>
        <item x="232"/>
        <item x="366"/>
        <item x="81"/>
        <item x="7"/>
        <item x="299"/>
        <item x="324"/>
        <item x="254"/>
        <item x="270"/>
        <item x="285"/>
        <item x="96"/>
        <item x="394"/>
        <item x="159"/>
        <item x="327"/>
        <item x="34"/>
        <item x="31"/>
        <item x="113"/>
        <item x="375"/>
        <item x="99"/>
        <item x="277"/>
        <item x="59"/>
        <item x="252"/>
        <item x="207"/>
        <item x="389"/>
        <item x="9"/>
        <item x="304"/>
        <item x="50"/>
        <item x="342"/>
        <item x="350"/>
        <item x="289"/>
        <item x="163"/>
        <item x="168"/>
        <item x="158"/>
        <item x="64"/>
        <item x="53"/>
        <item x="205"/>
        <item x="145"/>
        <item x="365"/>
        <item x="219"/>
        <item x="87"/>
        <item x="280"/>
        <item x="16"/>
        <item x="236"/>
        <item x="71"/>
        <item x="148"/>
        <item x="28"/>
        <item x="105"/>
        <item x="47"/>
        <item x="157"/>
        <item x="73"/>
        <item x="382"/>
        <item x="263"/>
        <item x="57"/>
        <item x="162"/>
        <item x="124"/>
        <item x="91"/>
        <item x="25"/>
        <item x="171"/>
        <item x="27"/>
        <item x="302"/>
        <item x="24"/>
        <item x="214"/>
        <item x="94"/>
        <item x="208"/>
        <item x="258"/>
        <item x="35"/>
        <item x="167"/>
        <item x="4"/>
        <item x="256"/>
        <item x="172"/>
        <item x="176"/>
        <item x="106"/>
        <item x="2"/>
        <item x="402"/>
        <item x="21"/>
        <item x="307"/>
        <item x="151"/>
        <item x="244"/>
        <item x="178"/>
        <item x="43"/>
        <item x="383"/>
        <item x="70"/>
        <item x="142"/>
        <item x="212"/>
        <item x="111"/>
        <item x="319"/>
        <item x="86"/>
        <item x="136"/>
        <item x="101"/>
        <item x="22"/>
        <item x="317"/>
        <item x="134"/>
        <item x="77"/>
        <item x="378"/>
        <item x="360"/>
        <item x="95"/>
        <item x="135"/>
        <item x="179"/>
        <item x="184"/>
        <item x="97"/>
        <item x="146"/>
        <item x="198"/>
        <item x="356"/>
        <item x="128"/>
        <item x="147"/>
        <item x="161"/>
        <item x="37"/>
        <item x="250"/>
        <item x="348"/>
        <item x="357"/>
        <item x="403"/>
        <item x="238"/>
        <item x="385"/>
        <item x="133"/>
        <item x="132"/>
        <item x="267"/>
        <item x="395"/>
        <item x="384"/>
        <item x="401"/>
        <item x="51"/>
        <item x="386"/>
        <item x="390"/>
        <item x="305"/>
        <item x="15"/>
        <item x="373"/>
        <item x="313"/>
        <item x="100"/>
        <item x="336"/>
        <item x="314"/>
        <item x="52"/>
        <item x="117"/>
        <item x="349"/>
        <item x="164"/>
        <item x="330"/>
        <item x="352"/>
        <item x="381"/>
        <item x="223"/>
        <item x="323"/>
        <item x="391"/>
        <item x="393"/>
        <item x="369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Bookings" fld="17" subtotal="count" baseField="0" baseItem="0"/>
    <dataField name="Acutal Revenue" fld="14" baseField="0" baseItem="0" numFmtId="164"/>
  </dataFields>
  <formats count="1"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17E0E-E8DA-48E1-89A9-8F7DD00DAD87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K4:L17" firstHeaderRow="1" firstDataRow="1" firstDataCol="1"/>
  <pivotFields count="27">
    <pivotField showAll="0"/>
    <pivotField showAll="0"/>
    <pivotField numFmtId="14" showAll="0">
      <items count="365">
        <item x="61"/>
        <item x="25"/>
        <item x="164"/>
        <item x="325"/>
        <item x="112"/>
        <item x="261"/>
        <item x="18"/>
        <item x="201"/>
        <item x="46"/>
        <item x="217"/>
        <item x="88"/>
        <item x="289"/>
        <item x="23"/>
        <item x="352"/>
        <item x="344"/>
        <item x="297"/>
        <item x="12"/>
        <item x="146"/>
        <item x="78"/>
        <item x="14"/>
        <item x="316"/>
        <item x="320"/>
        <item x="323"/>
        <item x="263"/>
        <item x="119"/>
        <item x="184"/>
        <item x="38"/>
        <item x="299"/>
        <item x="245"/>
        <item x="271"/>
        <item x="311"/>
        <item x="363"/>
        <item x="291"/>
        <item x="81"/>
        <item x="195"/>
        <item x="354"/>
        <item x="253"/>
        <item x="97"/>
        <item x="13"/>
        <item x="28"/>
        <item x="224"/>
        <item x="172"/>
        <item x="72"/>
        <item x="355"/>
        <item x="348"/>
        <item x="199"/>
        <item x="298"/>
        <item x="206"/>
        <item x="209"/>
        <item x="179"/>
        <item x="183"/>
        <item x="128"/>
        <item x="321"/>
        <item x="244"/>
        <item x="273"/>
        <item x="324"/>
        <item x="235"/>
        <item x="84"/>
        <item x="210"/>
        <item x="330"/>
        <item x="284"/>
        <item x="134"/>
        <item x="63"/>
        <item x="156"/>
        <item x="1"/>
        <item x="234"/>
        <item x="208"/>
        <item x="130"/>
        <item x="230"/>
        <item x="193"/>
        <item x="203"/>
        <item x="135"/>
        <item x="192"/>
        <item x="322"/>
        <item x="122"/>
        <item x="140"/>
        <item x="219"/>
        <item x="267"/>
        <item x="50"/>
        <item x="338"/>
        <item x="147"/>
        <item x="274"/>
        <item x="33"/>
        <item x="165"/>
        <item x="113"/>
        <item x="21"/>
        <item x="318"/>
        <item x="137"/>
        <item x="131"/>
        <item x="347"/>
        <item x="270"/>
        <item x="51"/>
        <item x="360"/>
        <item x="265"/>
        <item x="269"/>
        <item x="278"/>
        <item x="143"/>
        <item x="275"/>
        <item x="19"/>
        <item x="257"/>
        <item x="144"/>
        <item x="280"/>
        <item x="248"/>
        <item x="296"/>
        <item x="187"/>
        <item x="66"/>
        <item x="76"/>
        <item x="228"/>
        <item x="161"/>
        <item x="31"/>
        <item x="292"/>
        <item x="295"/>
        <item x="118"/>
        <item x="247"/>
        <item x="242"/>
        <item x="166"/>
        <item x="48"/>
        <item x="80"/>
        <item x="71"/>
        <item x="65"/>
        <item x="310"/>
        <item x="358"/>
        <item x="175"/>
        <item x="8"/>
        <item x="93"/>
        <item x="336"/>
        <item x="268"/>
        <item x="108"/>
        <item x="34"/>
        <item x="10"/>
        <item x="145"/>
        <item x="57"/>
        <item x="260"/>
        <item x="313"/>
        <item x="120"/>
        <item x="329"/>
        <item x="218"/>
        <item x="302"/>
        <item x="306"/>
        <item x="181"/>
        <item x="127"/>
        <item x="155"/>
        <item x="186"/>
        <item x="36"/>
        <item x="189"/>
        <item x="126"/>
        <item x="301"/>
        <item x="214"/>
        <item x="215"/>
        <item x="103"/>
        <item x="204"/>
        <item x="169"/>
        <item x="168"/>
        <item x="285"/>
        <item x="74"/>
        <item x="109"/>
        <item x="188"/>
        <item x="141"/>
        <item x="216"/>
        <item x="85"/>
        <item x="326"/>
        <item x="39"/>
        <item x="42"/>
        <item x="69"/>
        <item x="259"/>
        <item x="211"/>
        <item x="340"/>
        <item x="136"/>
        <item x="202"/>
        <item x="60"/>
        <item x="196"/>
        <item x="197"/>
        <item x="309"/>
        <item x="67"/>
        <item x="138"/>
        <item x="339"/>
        <item x="100"/>
        <item x="86"/>
        <item x="255"/>
        <item x="89"/>
        <item x="332"/>
        <item x="286"/>
        <item x="99"/>
        <item x="96"/>
        <item x="6"/>
        <item x="362"/>
        <item x="226"/>
        <item x="319"/>
        <item x="256"/>
        <item x="283"/>
        <item x="133"/>
        <item x="115"/>
        <item x="353"/>
        <item x="47"/>
        <item x="231"/>
        <item x="341"/>
        <item x="82"/>
        <item x="157"/>
        <item x="233"/>
        <item x="346"/>
        <item x="212"/>
        <item x="178"/>
        <item x="68"/>
        <item x="333"/>
        <item x="87"/>
        <item x="75"/>
        <item x="205"/>
        <item x="239"/>
        <item x="343"/>
        <item x="303"/>
        <item x="345"/>
        <item x="154"/>
        <item x="200"/>
        <item x="238"/>
        <item x="91"/>
        <item x="94"/>
        <item x="117"/>
        <item x="287"/>
        <item x="132"/>
        <item x="167"/>
        <item x="312"/>
        <item x="98"/>
        <item x="158"/>
        <item x="15"/>
        <item x="213"/>
        <item x="293"/>
        <item x="0"/>
        <item x="40"/>
        <item x="232"/>
        <item x="32"/>
        <item x="121"/>
        <item x="294"/>
        <item x="106"/>
        <item x="315"/>
        <item x="314"/>
        <item x="11"/>
        <item x="266"/>
        <item x="185"/>
        <item x="20"/>
        <item x="194"/>
        <item x="90"/>
        <item x="5"/>
        <item x="258"/>
        <item x="83"/>
        <item x="7"/>
        <item x="300"/>
        <item x="250"/>
        <item x="254"/>
        <item x="334"/>
        <item x="77"/>
        <item x="277"/>
        <item x="264"/>
        <item x="220"/>
        <item x="305"/>
        <item x="262"/>
        <item x="56"/>
        <item x="221"/>
        <item x="236"/>
        <item x="279"/>
        <item x="41"/>
        <item x="3"/>
        <item x="190"/>
        <item x="59"/>
        <item x="163"/>
        <item x="52"/>
        <item x="160"/>
        <item x="9"/>
        <item x="139"/>
        <item x="49"/>
        <item x="171"/>
        <item x="252"/>
        <item x="281"/>
        <item x="357"/>
        <item x="182"/>
        <item x="58"/>
        <item x="180"/>
        <item x="308"/>
        <item x="148"/>
        <item x="225"/>
        <item x="176"/>
        <item x="17"/>
        <item x="317"/>
        <item x="64"/>
        <item x="79"/>
        <item x="241"/>
        <item x="45"/>
        <item x="227"/>
        <item x="125"/>
        <item x="114"/>
        <item x="159"/>
        <item x="177"/>
        <item x="26"/>
        <item x="101"/>
        <item x="4"/>
        <item x="356"/>
        <item x="331"/>
        <item x="22"/>
        <item x="92"/>
        <item x="170"/>
        <item x="43"/>
        <item x="124"/>
        <item x="44"/>
        <item x="129"/>
        <item x="70"/>
        <item x="95"/>
        <item x="342"/>
        <item x="104"/>
        <item x="350"/>
        <item x="153"/>
        <item x="116"/>
        <item x="73"/>
        <item x="62"/>
        <item x="288"/>
        <item x="307"/>
        <item x="30"/>
        <item x="349"/>
        <item x="29"/>
        <item x="327"/>
        <item x="222"/>
        <item x="251"/>
        <item x="359"/>
        <item x="223"/>
        <item x="142"/>
        <item x="27"/>
        <item x="35"/>
        <item x="337"/>
        <item x="123"/>
        <item x="276"/>
        <item x="162"/>
        <item x="151"/>
        <item x="53"/>
        <item x="243"/>
        <item x="24"/>
        <item x="2"/>
        <item x="105"/>
        <item x="304"/>
        <item x="290"/>
        <item x="149"/>
        <item x="102"/>
        <item x="107"/>
        <item x="237"/>
        <item x="173"/>
        <item x="152"/>
        <item x="37"/>
        <item x="361"/>
        <item x="207"/>
        <item x="246"/>
        <item x="272"/>
        <item x="54"/>
        <item x="191"/>
        <item x="110"/>
        <item x="229"/>
        <item x="240"/>
        <item x="16"/>
        <item x="328"/>
        <item x="351"/>
        <item x="111"/>
        <item x="282"/>
        <item x="249"/>
        <item x="55"/>
        <item x="198"/>
        <item x="335"/>
        <item x="174"/>
        <item x="150"/>
        <item t="default"/>
      </items>
    </pivotField>
    <pivotField showAll="0"/>
    <pivotField numFmtId="14" showAll="0">
      <items count="403">
        <item x="330"/>
        <item x="360"/>
        <item x="57"/>
        <item x="78"/>
        <item x="400"/>
        <item x="392"/>
        <item x="324"/>
        <item x="45"/>
        <item x="396"/>
        <item x="373"/>
        <item x="115"/>
        <item x="393"/>
        <item x="307"/>
        <item x="235"/>
        <item x="259"/>
        <item x="134"/>
        <item x="17"/>
        <item x="12"/>
        <item x="203"/>
        <item x="391"/>
        <item x="372"/>
        <item x="23"/>
        <item x="364"/>
        <item x="380"/>
        <item x="379"/>
        <item x="246"/>
        <item x="196"/>
        <item x="271"/>
        <item x="294"/>
        <item x="183"/>
        <item x="111"/>
        <item x="376"/>
        <item x="398"/>
        <item x="292"/>
        <item x="266"/>
        <item x="166"/>
        <item x="274"/>
        <item x="371"/>
        <item x="153"/>
        <item x="287"/>
        <item x="177"/>
        <item x="237"/>
        <item x="86"/>
        <item x="37"/>
        <item x="117"/>
        <item x="171"/>
        <item x="245"/>
        <item x="319"/>
        <item x="207"/>
        <item x="220"/>
        <item x="270"/>
        <item x="244"/>
        <item x="30"/>
        <item x="213"/>
        <item x="75"/>
        <item x="353"/>
        <item x="13"/>
        <item x="369"/>
        <item x="381"/>
        <item x="341"/>
        <item x="194"/>
        <item x="273"/>
        <item x="80"/>
        <item x="122"/>
        <item x="128"/>
        <item x="329"/>
        <item x="204"/>
        <item x="187"/>
        <item x="163"/>
        <item x="279"/>
        <item x="267"/>
        <item x="26"/>
        <item x="67"/>
        <item x="1"/>
        <item x="344"/>
        <item x="317"/>
        <item x="293"/>
        <item x="199"/>
        <item x="202"/>
        <item x="188"/>
        <item x="361"/>
        <item x="382"/>
        <item x="135"/>
        <item x="339"/>
        <item x="119"/>
        <item x="359"/>
        <item x="268"/>
        <item x="146"/>
        <item x="130"/>
        <item x="20"/>
        <item x="82"/>
        <item x="231"/>
        <item x="215"/>
        <item x="176"/>
        <item x="401"/>
        <item x="59"/>
        <item x="283"/>
        <item x="139"/>
        <item x="48"/>
        <item x="121"/>
        <item x="284"/>
        <item x="142"/>
        <item x="257"/>
        <item x="154"/>
        <item x="264"/>
        <item x="291"/>
        <item x="248"/>
        <item x="189"/>
        <item x="198"/>
        <item x="346"/>
        <item x="241"/>
        <item x="350"/>
        <item x="375"/>
        <item x="286"/>
        <item x="149"/>
        <item x="357"/>
        <item x="224"/>
        <item x="8"/>
        <item x="209"/>
        <item x="125"/>
        <item x="143"/>
        <item x="71"/>
        <item x="234"/>
        <item x="167"/>
        <item x="190"/>
        <item x="158"/>
        <item x="10"/>
        <item x="314"/>
        <item x="62"/>
        <item x="321"/>
        <item x="109"/>
        <item x="184"/>
        <item x="32"/>
        <item x="285"/>
        <item x="232"/>
        <item x="29"/>
        <item x="211"/>
        <item x="18"/>
        <item x="54"/>
        <item x="141"/>
        <item x="61"/>
        <item x="49"/>
        <item x="112"/>
        <item x="100"/>
        <item x="79"/>
        <item x="33"/>
        <item x="365"/>
        <item x="278"/>
        <item x="74"/>
        <item x="311"/>
        <item x="133"/>
        <item x="47"/>
        <item x="66"/>
        <item x="102"/>
        <item x="281"/>
        <item x="221"/>
        <item x="269"/>
        <item x="107"/>
        <item x="145"/>
        <item x="200"/>
        <item x="110"/>
        <item x="123"/>
        <item x="197"/>
        <item x="205"/>
        <item x="310"/>
        <item x="328"/>
        <item x="180"/>
        <item x="193"/>
        <item x="160"/>
        <item x="302"/>
        <item x="126"/>
        <item x="38"/>
        <item x="242"/>
        <item x="356"/>
        <item x="214"/>
        <item x="261"/>
        <item x="178"/>
        <item x="92"/>
        <item x="289"/>
        <item x="174"/>
        <item x="222"/>
        <item x="116"/>
        <item x="131"/>
        <item x="316"/>
        <item x="64"/>
        <item x="322"/>
        <item x="218"/>
        <item x="282"/>
        <item x="46"/>
        <item x="335"/>
        <item x="181"/>
        <item x="41"/>
        <item x="84"/>
        <item x="301"/>
        <item x="95"/>
        <item x="144"/>
        <item x="210"/>
        <item x="212"/>
        <item x="206"/>
        <item x="124"/>
        <item x="63"/>
        <item x="182"/>
        <item x="192"/>
        <item x="256"/>
        <item x="69"/>
        <item x="334"/>
        <item x="6"/>
        <item x="272"/>
        <item x="240"/>
        <item x="397"/>
        <item x="348"/>
        <item x="355"/>
        <item x="349"/>
        <item x="225"/>
        <item x="227"/>
        <item x="56"/>
        <item x="70"/>
        <item x="105"/>
        <item x="93"/>
        <item x="312"/>
        <item x="325"/>
        <item x="300"/>
        <item x="386"/>
        <item x="327"/>
        <item x="255"/>
        <item x="87"/>
        <item x="208"/>
        <item x="147"/>
        <item x="308"/>
        <item x="332"/>
        <item x="280"/>
        <item x="288"/>
        <item x="223"/>
        <item x="89"/>
        <item x="170"/>
        <item x="331"/>
        <item x="354"/>
        <item x="85"/>
        <item x="228"/>
        <item x="0"/>
        <item x="19"/>
        <item x="39"/>
        <item x="303"/>
        <item x="298"/>
        <item x="236"/>
        <item x="5"/>
        <item x="108"/>
        <item x="140"/>
        <item x="326"/>
        <item x="250"/>
        <item x="265"/>
        <item x="129"/>
        <item x="229"/>
        <item x="88"/>
        <item x="337"/>
        <item x="11"/>
        <item x="304"/>
        <item x="14"/>
        <item x="159"/>
        <item x="370"/>
        <item x="399"/>
        <item x="3"/>
        <item x="81"/>
        <item x="172"/>
        <item x="216"/>
        <item x="7"/>
        <item x="113"/>
        <item x="55"/>
        <item x="275"/>
        <item x="305"/>
        <item x="262"/>
        <item x="252"/>
        <item x="296"/>
        <item x="295"/>
        <item x="98"/>
        <item x="162"/>
        <item x="31"/>
        <item x="34"/>
        <item x="233"/>
        <item x="155"/>
        <item x="76"/>
        <item x="60"/>
        <item x="101"/>
        <item x="313"/>
        <item x="148"/>
        <item x="251"/>
        <item x="258"/>
        <item x="9"/>
        <item x="191"/>
        <item x="50"/>
        <item x="72"/>
        <item x="318"/>
        <item x="238"/>
        <item x="161"/>
        <item x="164"/>
        <item x="65"/>
        <item x="195"/>
        <item x="362"/>
        <item x="150"/>
        <item x="53"/>
        <item x="226"/>
        <item x="276"/>
        <item x="44"/>
        <item x="91"/>
        <item x="16"/>
        <item x="40"/>
        <item x="152"/>
        <item x="363"/>
        <item x="320"/>
        <item x="28"/>
        <item x="43"/>
        <item x="77"/>
        <item x="290"/>
        <item x="260"/>
        <item x="358"/>
        <item x="58"/>
        <item x="127"/>
        <item x="263"/>
        <item x="68"/>
        <item x="94"/>
        <item x="25"/>
        <item x="297"/>
        <item x="377"/>
        <item x="27"/>
        <item x="96"/>
        <item x="345"/>
        <item x="24"/>
        <item x="35"/>
        <item x="169"/>
        <item x="217"/>
        <item x="4"/>
        <item x="309"/>
        <item x="175"/>
        <item x="179"/>
        <item x="378"/>
        <item x="106"/>
        <item x="366"/>
        <item x="21"/>
        <item x="2"/>
        <item x="395"/>
        <item x="336"/>
        <item x="157"/>
        <item x="333"/>
        <item x="247"/>
        <item x="42"/>
        <item x="73"/>
        <item x="114"/>
        <item x="173"/>
        <item x="219"/>
        <item x="338"/>
        <item x="104"/>
        <item x="118"/>
        <item x="90"/>
        <item x="277"/>
        <item x="22"/>
        <item x="138"/>
        <item x="390"/>
        <item x="83"/>
        <item x="156"/>
        <item x="97"/>
        <item x="323"/>
        <item x="186"/>
        <item x="99"/>
        <item x="347"/>
        <item x="151"/>
        <item x="168"/>
        <item x="306"/>
        <item x="239"/>
        <item x="249"/>
        <item x="132"/>
        <item x="254"/>
        <item x="36"/>
        <item x="383"/>
        <item x="342"/>
        <item x="351"/>
        <item x="137"/>
        <item x="384"/>
        <item x="243"/>
        <item x="185"/>
        <item x="136"/>
        <item x="389"/>
        <item x="394"/>
        <item x="51"/>
        <item x="388"/>
        <item x="299"/>
        <item x="253"/>
        <item x="374"/>
        <item x="15"/>
        <item x="103"/>
        <item x="201"/>
        <item x="52"/>
        <item x="120"/>
        <item x="343"/>
        <item x="165"/>
        <item x="230"/>
        <item x="340"/>
        <item x="352"/>
        <item x="385"/>
        <item x="315"/>
        <item x="367"/>
        <item x="387"/>
        <item x="368"/>
        <item t="default"/>
      </items>
    </pivotField>
    <pivotField numFmtId="14" showAll="0">
      <items count="406">
        <item x="341"/>
        <item x="56"/>
        <item x="290"/>
        <item x="74"/>
        <item x="399"/>
        <item x="377"/>
        <item x="44"/>
        <item x="331"/>
        <item x="340"/>
        <item x="361"/>
        <item x="398"/>
        <item x="112"/>
        <item x="400"/>
        <item x="190"/>
        <item x="226"/>
        <item x="17"/>
        <item x="102"/>
        <item x="339"/>
        <item x="12"/>
        <item x="363"/>
        <item x="372"/>
        <item x="275"/>
        <item x="23"/>
        <item x="396"/>
        <item x="332"/>
        <item x="189"/>
        <item x="346"/>
        <item x="110"/>
        <item x="155"/>
        <item x="248"/>
        <item x="253"/>
        <item x="325"/>
        <item x="310"/>
        <item x="165"/>
        <item x="371"/>
        <item x="291"/>
        <item x="376"/>
        <item x="279"/>
        <item x="230"/>
        <item x="149"/>
        <item x="388"/>
        <item x="173"/>
        <item x="80"/>
        <item x="169"/>
        <item x="38"/>
        <item x="115"/>
        <item x="243"/>
        <item x="215"/>
        <item x="213"/>
        <item x="201"/>
        <item x="242"/>
        <item x="347"/>
        <item x="392"/>
        <item x="30"/>
        <item x="72"/>
        <item x="334"/>
        <item x="13"/>
        <item x="237"/>
        <item x="185"/>
        <item x="76"/>
        <item x="328"/>
        <item x="266"/>
        <item x="335"/>
        <item x="120"/>
        <item x="268"/>
        <item x="181"/>
        <item x="160"/>
        <item x="312"/>
        <item x="387"/>
        <item x="379"/>
        <item x="26"/>
        <item x="66"/>
        <item x="1"/>
        <item x="326"/>
        <item x="39"/>
        <item x="231"/>
        <item x="195"/>
        <item x="182"/>
        <item x="241"/>
        <item x="262"/>
        <item x="218"/>
        <item x="364"/>
        <item x="322"/>
        <item x="221"/>
        <item x="131"/>
        <item x="116"/>
        <item x="288"/>
        <item x="362"/>
        <item x="20"/>
        <item x="274"/>
        <item x="126"/>
        <item x="370"/>
        <item x="224"/>
        <item x="309"/>
        <item x="103"/>
        <item x="58"/>
        <item x="344"/>
        <item x="48"/>
        <item x="137"/>
        <item x="295"/>
        <item x="210"/>
        <item x="118"/>
        <item x="338"/>
        <item x="271"/>
        <item x="150"/>
        <item x="269"/>
        <item x="246"/>
        <item x="283"/>
        <item x="183"/>
        <item x="192"/>
        <item x="234"/>
        <item x="296"/>
        <item x="272"/>
        <item x="359"/>
        <item x="240"/>
        <item x="180"/>
        <item x="144"/>
        <item x="216"/>
        <item x="8"/>
        <item x="69"/>
        <item x="139"/>
        <item x="281"/>
        <item x="121"/>
        <item x="152"/>
        <item x="166"/>
        <item x="286"/>
        <item x="206"/>
        <item x="10"/>
        <item x="320"/>
        <item x="292"/>
        <item x="329"/>
        <item x="129"/>
        <item x="108"/>
        <item x="32"/>
        <item x="225"/>
        <item x="18"/>
        <item x="54"/>
        <item x="29"/>
        <item x="265"/>
        <item x="355"/>
        <item x="60"/>
        <item x="49"/>
        <item x="368"/>
        <item x="98"/>
        <item x="33"/>
        <item x="245"/>
        <item x="75"/>
        <item x="36"/>
        <item x="321"/>
        <item x="130"/>
        <item x="65"/>
        <item x="46"/>
        <item x="255"/>
        <item x="345"/>
        <item x="84"/>
        <item x="247"/>
        <item x="141"/>
        <item x="196"/>
        <item x="107"/>
        <item x="186"/>
        <item x="109"/>
        <item x="122"/>
        <item x="227"/>
        <item x="197"/>
        <item x="251"/>
        <item x="278"/>
        <item x="191"/>
        <item x="177"/>
        <item x="156"/>
        <item x="78"/>
        <item x="93"/>
        <item x="235"/>
        <item x="40"/>
        <item x="397"/>
        <item x="264"/>
        <item x="175"/>
        <item x="199"/>
        <item x="90"/>
        <item x="88"/>
        <item x="380"/>
        <item x="114"/>
        <item x="282"/>
        <item x="273"/>
        <item x="127"/>
        <item x="203"/>
        <item x="63"/>
        <item x="228"/>
        <item x="211"/>
        <item x="154"/>
        <item x="45"/>
        <item x="42"/>
        <item x="374"/>
        <item x="343"/>
        <item x="193"/>
        <item x="92"/>
        <item x="308"/>
        <item x="140"/>
        <item x="260"/>
        <item x="204"/>
        <item x="200"/>
        <item x="61"/>
        <item x="123"/>
        <item x="287"/>
        <item x="261"/>
        <item x="67"/>
        <item x="6"/>
        <item x="276"/>
        <item x="316"/>
        <item x="358"/>
        <item x="233"/>
        <item x="351"/>
        <item x="217"/>
        <item x="220"/>
        <item x="354"/>
        <item x="68"/>
        <item x="55"/>
        <item x="104"/>
        <item x="89"/>
        <item x="315"/>
        <item x="293"/>
        <item x="318"/>
        <item x="306"/>
        <item x="333"/>
        <item x="259"/>
        <item x="82"/>
        <item x="337"/>
        <item x="143"/>
        <item x="202"/>
        <item x="239"/>
        <item x="303"/>
        <item x="284"/>
        <item x="300"/>
        <item x="174"/>
        <item x="188"/>
        <item x="194"/>
        <item x="85"/>
        <item x="257"/>
        <item x="79"/>
        <item x="62"/>
        <item x="0"/>
        <item x="298"/>
        <item x="187"/>
        <item x="19"/>
        <item x="41"/>
        <item x="311"/>
        <item x="294"/>
        <item x="229"/>
        <item x="5"/>
        <item x="138"/>
        <item x="249"/>
        <item x="404"/>
        <item x="301"/>
        <item x="125"/>
        <item x="83"/>
        <item x="222"/>
        <item x="209"/>
        <item x="11"/>
        <item x="153"/>
        <item x="353"/>
        <item x="14"/>
        <item x="297"/>
        <item x="3"/>
        <item x="170"/>
        <item x="119"/>
        <item x="232"/>
        <item x="366"/>
        <item x="81"/>
        <item x="7"/>
        <item x="299"/>
        <item x="324"/>
        <item x="254"/>
        <item x="270"/>
        <item x="285"/>
        <item x="96"/>
        <item x="394"/>
        <item x="159"/>
        <item x="327"/>
        <item x="34"/>
        <item x="31"/>
        <item x="113"/>
        <item x="375"/>
        <item x="99"/>
        <item x="277"/>
        <item x="59"/>
        <item x="252"/>
        <item x="207"/>
        <item x="389"/>
        <item x="9"/>
        <item x="304"/>
        <item x="50"/>
        <item x="342"/>
        <item x="350"/>
        <item x="289"/>
        <item x="163"/>
        <item x="168"/>
        <item x="158"/>
        <item x="64"/>
        <item x="53"/>
        <item x="205"/>
        <item x="145"/>
        <item x="365"/>
        <item x="219"/>
        <item x="87"/>
        <item x="280"/>
        <item x="16"/>
        <item x="236"/>
        <item x="71"/>
        <item x="148"/>
        <item x="28"/>
        <item x="105"/>
        <item x="47"/>
        <item x="157"/>
        <item x="73"/>
        <item x="382"/>
        <item x="263"/>
        <item x="57"/>
        <item x="162"/>
        <item x="124"/>
        <item x="91"/>
        <item x="25"/>
        <item x="171"/>
        <item x="27"/>
        <item x="302"/>
        <item x="24"/>
        <item x="214"/>
        <item x="94"/>
        <item x="208"/>
        <item x="258"/>
        <item x="35"/>
        <item x="167"/>
        <item x="4"/>
        <item x="256"/>
        <item x="172"/>
        <item x="176"/>
        <item x="106"/>
        <item x="2"/>
        <item x="402"/>
        <item x="21"/>
        <item x="307"/>
        <item x="151"/>
        <item x="244"/>
        <item x="178"/>
        <item x="43"/>
        <item x="383"/>
        <item x="70"/>
        <item x="142"/>
        <item x="212"/>
        <item x="111"/>
        <item x="319"/>
        <item x="86"/>
        <item x="136"/>
        <item x="101"/>
        <item x="22"/>
        <item x="317"/>
        <item x="134"/>
        <item x="77"/>
        <item x="378"/>
        <item x="360"/>
        <item x="95"/>
        <item x="135"/>
        <item x="179"/>
        <item x="184"/>
        <item x="97"/>
        <item x="146"/>
        <item x="198"/>
        <item x="356"/>
        <item x="128"/>
        <item x="147"/>
        <item x="161"/>
        <item x="37"/>
        <item x="250"/>
        <item x="348"/>
        <item x="357"/>
        <item x="403"/>
        <item x="238"/>
        <item x="385"/>
        <item x="133"/>
        <item x="132"/>
        <item x="267"/>
        <item x="395"/>
        <item x="384"/>
        <item x="401"/>
        <item x="51"/>
        <item x="386"/>
        <item x="390"/>
        <item x="305"/>
        <item x="15"/>
        <item x="373"/>
        <item x="313"/>
        <item x="100"/>
        <item x="336"/>
        <item x="314"/>
        <item x="52"/>
        <item x="117"/>
        <item x="349"/>
        <item x="164"/>
        <item x="330"/>
        <item x="352"/>
        <item x="381"/>
        <item x="223"/>
        <item x="323"/>
        <item x="391"/>
        <item x="393"/>
        <item x="369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2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cutal Revenue" fld="14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7033D-DE7F-4AB6-B281-55DF384B97B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  ">
  <location ref="H4:I17" firstHeaderRow="1" firstDataRow="1" firstDataCol="1"/>
  <pivotFields count="27">
    <pivotField showAll="0"/>
    <pivotField showAll="0"/>
    <pivotField numFmtId="14" showAll="0">
      <items count="365">
        <item x="61"/>
        <item x="25"/>
        <item x="164"/>
        <item x="325"/>
        <item x="112"/>
        <item x="261"/>
        <item x="18"/>
        <item x="201"/>
        <item x="46"/>
        <item x="217"/>
        <item x="88"/>
        <item x="289"/>
        <item x="23"/>
        <item x="352"/>
        <item x="344"/>
        <item x="297"/>
        <item x="12"/>
        <item x="146"/>
        <item x="78"/>
        <item x="14"/>
        <item x="316"/>
        <item x="320"/>
        <item x="323"/>
        <item x="263"/>
        <item x="119"/>
        <item x="184"/>
        <item x="38"/>
        <item x="299"/>
        <item x="245"/>
        <item x="271"/>
        <item x="311"/>
        <item x="363"/>
        <item x="291"/>
        <item x="81"/>
        <item x="195"/>
        <item x="354"/>
        <item x="253"/>
        <item x="97"/>
        <item x="13"/>
        <item x="28"/>
        <item x="224"/>
        <item x="172"/>
        <item x="72"/>
        <item x="355"/>
        <item x="348"/>
        <item x="199"/>
        <item x="298"/>
        <item x="206"/>
        <item x="209"/>
        <item x="179"/>
        <item x="183"/>
        <item x="128"/>
        <item x="321"/>
        <item x="244"/>
        <item x="273"/>
        <item x="324"/>
        <item x="235"/>
        <item x="84"/>
        <item x="210"/>
        <item x="330"/>
        <item x="284"/>
        <item x="134"/>
        <item x="63"/>
        <item x="156"/>
        <item x="1"/>
        <item x="234"/>
        <item x="208"/>
        <item x="130"/>
        <item x="230"/>
        <item x="193"/>
        <item x="203"/>
        <item x="135"/>
        <item x="192"/>
        <item x="322"/>
        <item x="122"/>
        <item x="140"/>
        <item x="219"/>
        <item x="267"/>
        <item x="50"/>
        <item x="338"/>
        <item x="147"/>
        <item x="274"/>
        <item x="33"/>
        <item x="165"/>
        <item x="113"/>
        <item x="21"/>
        <item x="318"/>
        <item x="137"/>
        <item x="131"/>
        <item x="347"/>
        <item x="270"/>
        <item x="51"/>
        <item x="360"/>
        <item x="265"/>
        <item x="269"/>
        <item x="278"/>
        <item x="143"/>
        <item x="275"/>
        <item x="19"/>
        <item x="257"/>
        <item x="144"/>
        <item x="280"/>
        <item x="248"/>
        <item x="296"/>
        <item x="187"/>
        <item x="66"/>
        <item x="76"/>
        <item x="228"/>
        <item x="161"/>
        <item x="31"/>
        <item x="292"/>
        <item x="295"/>
        <item x="118"/>
        <item x="247"/>
        <item x="242"/>
        <item x="166"/>
        <item x="48"/>
        <item x="80"/>
        <item x="71"/>
        <item x="65"/>
        <item x="310"/>
        <item x="358"/>
        <item x="175"/>
        <item x="8"/>
        <item x="93"/>
        <item x="336"/>
        <item x="268"/>
        <item x="108"/>
        <item x="34"/>
        <item x="10"/>
        <item x="145"/>
        <item x="57"/>
        <item x="260"/>
        <item x="313"/>
        <item x="120"/>
        <item x="329"/>
        <item x="218"/>
        <item x="302"/>
        <item x="306"/>
        <item x="181"/>
        <item x="127"/>
        <item x="155"/>
        <item x="186"/>
        <item x="36"/>
        <item x="189"/>
        <item x="126"/>
        <item x="301"/>
        <item x="214"/>
        <item x="215"/>
        <item x="103"/>
        <item x="204"/>
        <item x="169"/>
        <item x="168"/>
        <item x="285"/>
        <item x="74"/>
        <item x="109"/>
        <item x="188"/>
        <item x="141"/>
        <item x="216"/>
        <item x="85"/>
        <item x="326"/>
        <item x="39"/>
        <item x="42"/>
        <item x="69"/>
        <item x="259"/>
        <item x="211"/>
        <item x="340"/>
        <item x="136"/>
        <item x="202"/>
        <item x="60"/>
        <item x="196"/>
        <item x="197"/>
        <item x="309"/>
        <item x="67"/>
        <item x="138"/>
        <item x="339"/>
        <item x="100"/>
        <item x="86"/>
        <item x="255"/>
        <item x="89"/>
        <item x="332"/>
        <item x="286"/>
        <item x="99"/>
        <item x="96"/>
        <item x="6"/>
        <item x="362"/>
        <item x="226"/>
        <item x="319"/>
        <item x="256"/>
        <item x="283"/>
        <item x="133"/>
        <item x="115"/>
        <item x="353"/>
        <item x="47"/>
        <item x="231"/>
        <item x="341"/>
        <item x="82"/>
        <item x="157"/>
        <item x="233"/>
        <item x="346"/>
        <item x="212"/>
        <item x="178"/>
        <item x="68"/>
        <item x="333"/>
        <item x="87"/>
        <item x="75"/>
        <item x="205"/>
        <item x="239"/>
        <item x="343"/>
        <item x="303"/>
        <item x="345"/>
        <item x="154"/>
        <item x="200"/>
        <item x="238"/>
        <item x="91"/>
        <item x="94"/>
        <item x="117"/>
        <item x="287"/>
        <item x="132"/>
        <item x="167"/>
        <item x="312"/>
        <item x="98"/>
        <item x="158"/>
        <item x="15"/>
        <item x="213"/>
        <item x="293"/>
        <item x="0"/>
        <item x="40"/>
        <item x="232"/>
        <item x="32"/>
        <item x="121"/>
        <item x="294"/>
        <item x="106"/>
        <item x="315"/>
        <item x="314"/>
        <item x="11"/>
        <item x="266"/>
        <item x="185"/>
        <item x="20"/>
        <item x="194"/>
        <item x="90"/>
        <item x="5"/>
        <item x="258"/>
        <item x="83"/>
        <item x="7"/>
        <item x="300"/>
        <item x="250"/>
        <item x="254"/>
        <item x="334"/>
        <item x="77"/>
        <item x="277"/>
        <item x="264"/>
        <item x="220"/>
        <item x="305"/>
        <item x="262"/>
        <item x="56"/>
        <item x="221"/>
        <item x="236"/>
        <item x="279"/>
        <item x="41"/>
        <item x="3"/>
        <item x="190"/>
        <item x="59"/>
        <item x="163"/>
        <item x="52"/>
        <item x="160"/>
        <item x="9"/>
        <item x="139"/>
        <item x="49"/>
        <item x="171"/>
        <item x="252"/>
        <item x="281"/>
        <item x="357"/>
        <item x="182"/>
        <item x="58"/>
        <item x="180"/>
        <item x="308"/>
        <item x="148"/>
        <item x="225"/>
        <item x="176"/>
        <item x="17"/>
        <item x="317"/>
        <item x="64"/>
        <item x="79"/>
        <item x="241"/>
        <item x="45"/>
        <item x="227"/>
        <item x="125"/>
        <item x="114"/>
        <item x="159"/>
        <item x="177"/>
        <item x="26"/>
        <item x="101"/>
        <item x="4"/>
        <item x="356"/>
        <item x="331"/>
        <item x="22"/>
        <item x="92"/>
        <item x="170"/>
        <item x="43"/>
        <item x="124"/>
        <item x="44"/>
        <item x="129"/>
        <item x="70"/>
        <item x="95"/>
        <item x="342"/>
        <item x="104"/>
        <item x="350"/>
        <item x="153"/>
        <item x="116"/>
        <item x="73"/>
        <item x="62"/>
        <item x="288"/>
        <item x="307"/>
        <item x="30"/>
        <item x="349"/>
        <item x="29"/>
        <item x="327"/>
        <item x="222"/>
        <item x="251"/>
        <item x="359"/>
        <item x="223"/>
        <item x="142"/>
        <item x="27"/>
        <item x="35"/>
        <item x="337"/>
        <item x="123"/>
        <item x="276"/>
        <item x="162"/>
        <item x="151"/>
        <item x="53"/>
        <item x="243"/>
        <item x="24"/>
        <item x="2"/>
        <item x="105"/>
        <item x="304"/>
        <item x="290"/>
        <item x="149"/>
        <item x="102"/>
        <item x="107"/>
        <item x="237"/>
        <item x="173"/>
        <item x="152"/>
        <item x="37"/>
        <item x="361"/>
        <item x="207"/>
        <item x="246"/>
        <item x="272"/>
        <item x="54"/>
        <item x="191"/>
        <item x="110"/>
        <item x="229"/>
        <item x="240"/>
        <item x="16"/>
        <item x="328"/>
        <item x="351"/>
        <item x="111"/>
        <item x="282"/>
        <item x="249"/>
        <item x="55"/>
        <item x="198"/>
        <item x="335"/>
        <item x="174"/>
        <item x="150"/>
        <item t="default"/>
      </items>
    </pivotField>
    <pivotField showAll="0"/>
    <pivotField axis="axisRow" numFmtId="14" showAll="0">
      <items count="403">
        <item x="330"/>
        <item x="360"/>
        <item x="57"/>
        <item x="78"/>
        <item x="400"/>
        <item x="392"/>
        <item x="324"/>
        <item x="45"/>
        <item x="396"/>
        <item x="373"/>
        <item x="115"/>
        <item x="393"/>
        <item x="307"/>
        <item x="235"/>
        <item x="259"/>
        <item x="134"/>
        <item x="17"/>
        <item x="12"/>
        <item x="203"/>
        <item x="391"/>
        <item x="372"/>
        <item x="23"/>
        <item x="364"/>
        <item x="380"/>
        <item x="379"/>
        <item x="246"/>
        <item x="196"/>
        <item x="271"/>
        <item x="294"/>
        <item x="183"/>
        <item x="111"/>
        <item x="376"/>
        <item x="398"/>
        <item x="292"/>
        <item x="266"/>
        <item x="166"/>
        <item x="274"/>
        <item x="371"/>
        <item x="153"/>
        <item x="287"/>
        <item x="177"/>
        <item x="237"/>
        <item x="86"/>
        <item x="37"/>
        <item x="117"/>
        <item x="171"/>
        <item x="245"/>
        <item x="319"/>
        <item x="207"/>
        <item x="220"/>
        <item x="270"/>
        <item x="244"/>
        <item x="30"/>
        <item x="213"/>
        <item x="75"/>
        <item x="353"/>
        <item x="13"/>
        <item x="369"/>
        <item x="381"/>
        <item x="341"/>
        <item x="194"/>
        <item x="273"/>
        <item x="80"/>
        <item x="122"/>
        <item x="128"/>
        <item x="329"/>
        <item x="204"/>
        <item x="187"/>
        <item x="163"/>
        <item x="279"/>
        <item x="267"/>
        <item x="26"/>
        <item x="67"/>
        <item x="1"/>
        <item x="344"/>
        <item x="317"/>
        <item x="293"/>
        <item x="199"/>
        <item x="202"/>
        <item x="188"/>
        <item x="361"/>
        <item x="382"/>
        <item x="135"/>
        <item x="339"/>
        <item x="119"/>
        <item x="359"/>
        <item x="268"/>
        <item x="146"/>
        <item x="130"/>
        <item x="20"/>
        <item x="82"/>
        <item x="231"/>
        <item x="215"/>
        <item x="176"/>
        <item x="401"/>
        <item x="59"/>
        <item x="283"/>
        <item x="139"/>
        <item x="48"/>
        <item x="121"/>
        <item x="284"/>
        <item x="142"/>
        <item x="257"/>
        <item x="154"/>
        <item x="264"/>
        <item x="291"/>
        <item x="248"/>
        <item x="189"/>
        <item x="198"/>
        <item x="346"/>
        <item x="241"/>
        <item x="350"/>
        <item x="375"/>
        <item x="286"/>
        <item x="149"/>
        <item x="357"/>
        <item x="224"/>
        <item x="8"/>
        <item x="209"/>
        <item x="125"/>
        <item x="143"/>
        <item x="71"/>
        <item x="234"/>
        <item x="167"/>
        <item x="190"/>
        <item x="158"/>
        <item x="10"/>
        <item x="314"/>
        <item x="62"/>
        <item x="321"/>
        <item x="109"/>
        <item x="184"/>
        <item x="32"/>
        <item x="285"/>
        <item x="232"/>
        <item x="29"/>
        <item x="211"/>
        <item x="18"/>
        <item x="54"/>
        <item x="141"/>
        <item x="61"/>
        <item x="49"/>
        <item x="112"/>
        <item x="100"/>
        <item x="79"/>
        <item x="33"/>
        <item x="365"/>
        <item x="278"/>
        <item x="74"/>
        <item x="311"/>
        <item x="133"/>
        <item x="47"/>
        <item x="66"/>
        <item x="102"/>
        <item x="281"/>
        <item x="221"/>
        <item x="269"/>
        <item x="107"/>
        <item x="145"/>
        <item x="200"/>
        <item x="110"/>
        <item x="123"/>
        <item x="197"/>
        <item x="205"/>
        <item x="310"/>
        <item x="328"/>
        <item x="180"/>
        <item x="193"/>
        <item x="160"/>
        <item x="302"/>
        <item x="126"/>
        <item x="38"/>
        <item x="242"/>
        <item x="356"/>
        <item x="214"/>
        <item x="261"/>
        <item x="178"/>
        <item x="92"/>
        <item x="289"/>
        <item x="174"/>
        <item x="222"/>
        <item x="116"/>
        <item x="131"/>
        <item x="316"/>
        <item x="64"/>
        <item x="322"/>
        <item x="218"/>
        <item x="282"/>
        <item x="46"/>
        <item x="335"/>
        <item x="181"/>
        <item x="41"/>
        <item x="84"/>
        <item x="301"/>
        <item x="95"/>
        <item x="144"/>
        <item x="210"/>
        <item x="212"/>
        <item x="206"/>
        <item x="124"/>
        <item x="63"/>
        <item x="182"/>
        <item x="192"/>
        <item x="256"/>
        <item x="69"/>
        <item x="334"/>
        <item x="6"/>
        <item x="272"/>
        <item x="240"/>
        <item x="397"/>
        <item x="348"/>
        <item x="355"/>
        <item x="349"/>
        <item x="225"/>
        <item x="227"/>
        <item x="56"/>
        <item x="70"/>
        <item x="105"/>
        <item x="93"/>
        <item x="312"/>
        <item x="325"/>
        <item x="300"/>
        <item x="386"/>
        <item x="327"/>
        <item x="255"/>
        <item x="87"/>
        <item x="208"/>
        <item x="147"/>
        <item x="308"/>
        <item x="332"/>
        <item x="280"/>
        <item x="288"/>
        <item x="223"/>
        <item x="89"/>
        <item x="170"/>
        <item x="331"/>
        <item x="354"/>
        <item x="85"/>
        <item x="228"/>
        <item x="0"/>
        <item x="19"/>
        <item x="39"/>
        <item x="303"/>
        <item x="298"/>
        <item x="236"/>
        <item x="5"/>
        <item x="108"/>
        <item x="140"/>
        <item x="326"/>
        <item x="250"/>
        <item x="265"/>
        <item x="129"/>
        <item x="229"/>
        <item x="88"/>
        <item x="337"/>
        <item x="11"/>
        <item x="304"/>
        <item x="14"/>
        <item x="159"/>
        <item x="370"/>
        <item x="399"/>
        <item x="3"/>
        <item x="81"/>
        <item x="172"/>
        <item x="216"/>
        <item x="7"/>
        <item x="113"/>
        <item x="55"/>
        <item x="275"/>
        <item x="305"/>
        <item x="262"/>
        <item x="252"/>
        <item x="296"/>
        <item x="295"/>
        <item x="98"/>
        <item x="162"/>
        <item x="31"/>
        <item x="34"/>
        <item x="233"/>
        <item x="155"/>
        <item x="76"/>
        <item x="60"/>
        <item x="101"/>
        <item x="313"/>
        <item x="148"/>
        <item x="251"/>
        <item x="258"/>
        <item x="9"/>
        <item x="191"/>
        <item x="50"/>
        <item x="72"/>
        <item x="318"/>
        <item x="238"/>
        <item x="161"/>
        <item x="164"/>
        <item x="65"/>
        <item x="195"/>
        <item x="362"/>
        <item x="150"/>
        <item x="53"/>
        <item x="226"/>
        <item x="276"/>
        <item x="44"/>
        <item x="91"/>
        <item x="16"/>
        <item x="40"/>
        <item x="152"/>
        <item x="363"/>
        <item x="320"/>
        <item x="28"/>
        <item x="43"/>
        <item x="77"/>
        <item x="290"/>
        <item x="260"/>
        <item x="358"/>
        <item x="58"/>
        <item x="127"/>
        <item x="263"/>
        <item x="68"/>
        <item x="94"/>
        <item x="25"/>
        <item x="297"/>
        <item x="377"/>
        <item x="27"/>
        <item x="96"/>
        <item x="345"/>
        <item x="24"/>
        <item x="35"/>
        <item x="169"/>
        <item x="217"/>
        <item x="4"/>
        <item x="309"/>
        <item x="175"/>
        <item x="179"/>
        <item x="378"/>
        <item x="106"/>
        <item x="366"/>
        <item x="21"/>
        <item x="2"/>
        <item x="395"/>
        <item x="336"/>
        <item x="157"/>
        <item x="333"/>
        <item x="247"/>
        <item x="42"/>
        <item x="73"/>
        <item x="114"/>
        <item x="173"/>
        <item x="219"/>
        <item x="338"/>
        <item x="104"/>
        <item x="118"/>
        <item x="90"/>
        <item x="277"/>
        <item x="22"/>
        <item x="138"/>
        <item x="390"/>
        <item x="83"/>
        <item x="156"/>
        <item x="97"/>
        <item x="323"/>
        <item x="186"/>
        <item x="99"/>
        <item x="347"/>
        <item x="151"/>
        <item x="168"/>
        <item x="306"/>
        <item x="239"/>
        <item x="249"/>
        <item x="132"/>
        <item x="254"/>
        <item x="36"/>
        <item x="383"/>
        <item x="342"/>
        <item x="351"/>
        <item x="137"/>
        <item x="384"/>
        <item x="243"/>
        <item x="185"/>
        <item x="136"/>
        <item x="389"/>
        <item x="394"/>
        <item x="51"/>
        <item x="388"/>
        <item x="299"/>
        <item x="253"/>
        <item x="374"/>
        <item x="15"/>
        <item x="103"/>
        <item x="201"/>
        <item x="52"/>
        <item x="120"/>
        <item x="343"/>
        <item x="165"/>
        <item x="230"/>
        <item x="340"/>
        <item x="352"/>
        <item x="385"/>
        <item x="315"/>
        <item x="367"/>
        <item x="387"/>
        <item x="368"/>
        <item t="default"/>
      </items>
    </pivotField>
    <pivotField numFmtId="14" showAll="0">
      <items count="406">
        <item x="341"/>
        <item x="56"/>
        <item x="290"/>
        <item x="74"/>
        <item x="399"/>
        <item x="377"/>
        <item x="44"/>
        <item x="331"/>
        <item x="340"/>
        <item x="361"/>
        <item x="398"/>
        <item x="112"/>
        <item x="400"/>
        <item x="190"/>
        <item x="226"/>
        <item x="17"/>
        <item x="102"/>
        <item x="339"/>
        <item x="12"/>
        <item x="363"/>
        <item x="372"/>
        <item x="275"/>
        <item x="23"/>
        <item x="396"/>
        <item x="332"/>
        <item x="189"/>
        <item x="346"/>
        <item x="110"/>
        <item x="155"/>
        <item x="248"/>
        <item x="253"/>
        <item x="325"/>
        <item x="310"/>
        <item x="165"/>
        <item x="371"/>
        <item x="291"/>
        <item x="376"/>
        <item x="279"/>
        <item x="230"/>
        <item x="149"/>
        <item x="388"/>
        <item x="173"/>
        <item x="80"/>
        <item x="169"/>
        <item x="38"/>
        <item x="115"/>
        <item x="243"/>
        <item x="215"/>
        <item x="213"/>
        <item x="201"/>
        <item x="242"/>
        <item x="347"/>
        <item x="392"/>
        <item x="30"/>
        <item x="72"/>
        <item x="334"/>
        <item x="13"/>
        <item x="237"/>
        <item x="185"/>
        <item x="76"/>
        <item x="328"/>
        <item x="266"/>
        <item x="335"/>
        <item x="120"/>
        <item x="268"/>
        <item x="181"/>
        <item x="160"/>
        <item x="312"/>
        <item x="387"/>
        <item x="379"/>
        <item x="26"/>
        <item x="66"/>
        <item x="1"/>
        <item x="326"/>
        <item x="39"/>
        <item x="231"/>
        <item x="195"/>
        <item x="182"/>
        <item x="241"/>
        <item x="262"/>
        <item x="218"/>
        <item x="364"/>
        <item x="322"/>
        <item x="221"/>
        <item x="131"/>
        <item x="116"/>
        <item x="288"/>
        <item x="362"/>
        <item x="20"/>
        <item x="274"/>
        <item x="126"/>
        <item x="370"/>
        <item x="224"/>
        <item x="309"/>
        <item x="103"/>
        <item x="58"/>
        <item x="344"/>
        <item x="48"/>
        <item x="137"/>
        <item x="295"/>
        <item x="210"/>
        <item x="118"/>
        <item x="338"/>
        <item x="271"/>
        <item x="150"/>
        <item x="269"/>
        <item x="246"/>
        <item x="283"/>
        <item x="183"/>
        <item x="192"/>
        <item x="234"/>
        <item x="296"/>
        <item x="272"/>
        <item x="359"/>
        <item x="240"/>
        <item x="180"/>
        <item x="144"/>
        <item x="216"/>
        <item x="8"/>
        <item x="69"/>
        <item x="139"/>
        <item x="281"/>
        <item x="121"/>
        <item x="152"/>
        <item x="166"/>
        <item x="286"/>
        <item x="206"/>
        <item x="10"/>
        <item x="320"/>
        <item x="292"/>
        <item x="329"/>
        <item x="129"/>
        <item x="108"/>
        <item x="32"/>
        <item x="225"/>
        <item x="18"/>
        <item x="54"/>
        <item x="29"/>
        <item x="265"/>
        <item x="355"/>
        <item x="60"/>
        <item x="49"/>
        <item x="368"/>
        <item x="98"/>
        <item x="33"/>
        <item x="245"/>
        <item x="75"/>
        <item x="36"/>
        <item x="321"/>
        <item x="130"/>
        <item x="65"/>
        <item x="46"/>
        <item x="255"/>
        <item x="345"/>
        <item x="84"/>
        <item x="247"/>
        <item x="141"/>
        <item x="196"/>
        <item x="107"/>
        <item x="186"/>
        <item x="109"/>
        <item x="122"/>
        <item x="227"/>
        <item x="197"/>
        <item x="251"/>
        <item x="278"/>
        <item x="191"/>
        <item x="177"/>
        <item x="156"/>
        <item x="78"/>
        <item x="93"/>
        <item x="235"/>
        <item x="40"/>
        <item x="397"/>
        <item x="264"/>
        <item x="175"/>
        <item x="199"/>
        <item x="90"/>
        <item x="88"/>
        <item x="380"/>
        <item x="114"/>
        <item x="282"/>
        <item x="273"/>
        <item x="127"/>
        <item x="203"/>
        <item x="63"/>
        <item x="228"/>
        <item x="211"/>
        <item x="154"/>
        <item x="45"/>
        <item x="42"/>
        <item x="374"/>
        <item x="343"/>
        <item x="193"/>
        <item x="92"/>
        <item x="308"/>
        <item x="140"/>
        <item x="260"/>
        <item x="204"/>
        <item x="200"/>
        <item x="61"/>
        <item x="123"/>
        <item x="287"/>
        <item x="261"/>
        <item x="67"/>
        <item x="6"/>
        <item x="276"/>
        <item x="316"/>
        <item x="358"/>
        <item x="233"/>
        <item x="351"/>
        <item x="217"/>
        <item x="220"/>
        <item x="354"/>
        <item x="68"/>
        <item x="55"/>
        <item x="104"/>
        <item x="89"/>
        <item x="315"/>
        <item x="293"/>
        <item x="318"/>
        <item x="306"/>
        <item x="333"/>
        <item x="259"/>
        <item x="82"/>
        <item x="337"/>
        <item x="143"/>
        <item x="202"/>
        <item x="239"/>
        <item x="303"/>
        <item x="284"/>
        <item x="300"/>
        <item x="174"/>
        <item x="188"/>
        <item x="194"/>
        <item x="85"/>
        <item x="257"/>
        <item x="79"/>
        <item x="62"/>
        <item x="0"/>
        <item x="298"/>
        <item x="187"/>
        <item x="19"/>
        <item x="41"/>
        <item x="311"/>
        <item x="294"/>
        <item x="229"/>
        <item x="5"/>
        <item x="138"/>
        <item x="249"/>
        <item x="404"/>
        <item x="301"/>
        <item x="125"/>
        <item x="83"/>
        <item x="222"/>
        <item x="209"/>
        <item x="11"/>
        <item x="153"/>
        <item x="353"/>
        <item x="14"/>
        <item x="297"/>
        <item x="3"/>
        <item x="170"/>
        <item x="119"/>
        <item x="232"/>
        <item x="366"/>
        <item x="81"/>
        <item x="7"/>
        <item x="299"/>
        <item x="324"/>
        <item x="254"/>
        <item x="270"/>
        <item x="285"/>
        <item x="96"/>
        <item x="394"/>
        <item x="159"/>
        <item x="327"/>
        <item x="34"/>
        <item x="31"/>
        <item x="113"/>
        <item x="375"/>
        <item x="99"/>
        <item x="277"/>
        <item x="59"/>
        <item x="252"/>
        <item x="207"/>
        <item x="389"/>
        <item x="9"/>
        <item x="304"/>
        <item x="50"/>
        <item x="342"/>
        <item x="350"/>
        <item x="289"/>
        <item x="163"/>
        <item x="168"/>
        <item x="158"/>
        <item x="64"/>
        <item x="53"/>
        <item x="205"/>
        <item x="145"/>
        <item x="365"/>
        <item x="219"/>
        <item x="87"/>
        <item x="280"/>
        <item x="16"/>
        <item x="236"/>
        <item x="71"/>
        <item x="148"/>
        <item x="28"/>
        <item x="105"/>
        <item x="47"/>
        <item x="157"/>
        <item x="73"/>
        <item x="382"/>
        <item x="263"/>
        <item x="57"/>
        <item x="162"/>
        <item x="124"/>
        <item x="91"/>
        <item x="25"/>
        <item x="171"/>
        <item x="27"/>
        <item x="302"/>
        <item x="24"/>
        <item x="214"/>
        <item x="94"/>
        <item x="208"/>
        <item x="258"/>
        <item x="35"/>
        <item x="167"/>
        <item x="4"/>
        <item x="256"/>
        <item x="172"/>
        <item x="176"/>
        <item x="106"/>
        <item x="2"/>
        <item x="402"/>
        <item x="21"/>
        <item x="307"/>
        <item x="151"/>
        <item x="244"/>
        <item x="178"/>
        <item x="43"/>
        <item x="383"/>
        <item x="70"/>
        <item x="142"/>
        <item x="212"/>
        <item x="111"/>
        <item x="319"/>
        <item x="86"/>
        <item x="136"/>
        <item x="101"/>
        <item x="22"/>
        <item x="317"/>
        <item x="134"/>
        <item x="77"/>
        <item x="378"/>
        <item x="360"/>
        <item x="95"/>
        <item x="135"/>
        <item x="179"/>
        <item x="184"/>
        <item x="97"/>
        <item x="146"/>
        <item x="198"/>
        <item x="356"/>
        <item x="128"/>
        <item x="147"/>
        <item x="161"/>
        <item x="37"/>
        <item x="250"/>
        <item x="348"/>
        <item x="357"/>
        <item x="403"/>
        <item x="238"/>
        <item x="385"/>
        <item x="133"/>
        <item x="132"/>
        <item x="267"/>
        <item x="395"/>
        <item x="384"/>
        <item x="401"/>
        <item x="51"/>
        <item x="386"/>
        <item x="390"/>
        <item x="305"/>
        <item x="15"/>
        <item x="373"/>
        <item x="313"/>
        <item x="100"/>
        <item x="336"/>
        <item x="314"/>
        <item x="52"/>
        <item x="117"/>
        <item x="349"/>
        <item x="164"/>
        <item x="330"/>
        <item x="352"/>
        <item x="381"/>
        <item x="223"/>
        <item x="323"/>
        <item x="391"/>
        <item x="393"/>
        <item x="369"/>
        <item x="36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4">
        <item sd="0" x="0"/>
        <item sd="0" x="1"/>
        <item sd="0" x="2"/>
        <item sd="0" x="3"/>
      </items>
    </pivotField>
  </pivotFields>
  <rowFields count="3">
    <field x="24"/>
    <field x="26"/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Average Days of Stay" fld="11" subtotal="average" baseField="23" baseItem="1" numFmtId="2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8EE11D-26D0-404E-B401-047FF519BBCC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annels">
  <location ref="G31:I34" firstHeaderRow="0" firstDataRow="1" firstDataCol="1"/>
  <pivotFields count="27">
    <pivotField dataField="1" showAll="0"/>
    <pivotField showAll="0"/>
    <pivotField numFmtId="14" showAll="0">
      <items count="365">
        <item x="61"/>
        <item x="25"/>
        <item x="164"/>
        <item x="325"/>
        <item x="112"/>
        <item x="261"/>
        <item x="18"/>
        <item x="201"/>
        <item x="46"/>
        <item x="217"/>
        <item x="88"/>
        <item x="289"/>
        <item x="23"/>
        <item x="352"/>
        <item x="344"/>
        <item x="297"/>
        <item x="12"/>
        <item x="146"/>
        <item x="78"/>
        <item x="14"/>
        <item x="316"/>
        <item x="320"/>
        <item x="323"/>
        <item x="263"/>
        <item x="119"/>
        <item x="184"/>
        <item x="38"/>
        <item x="299"/>
        <item x="245"/>
        <item x="271"/>
        <item x="311"/>
        <item x="363"/>
        <item x="291"/>
        <item x="81"/>
        <item x="195"/>
        <item x="354"/>
        <item x="253"/>
        <item x="97"/>
        <item x="13"/>
        <item x="28"/>
        <item x="224"/>
        <item x="172"/>
        <item x="72"/>
        <item x="355"/>
        <item x="348"/>
        <item x="199"/>
        <item x="298"/>
        <item x="206"/>
        <item x="209"/>
        <item x="179"/>
        <item x="183"/>
        <item x="128"/>
        <item x="321"/>
        <item x="244"/>
        <item x="273"/>
        <item x="324"/>
        <item x="235"/>
        <item x="84"/>
        <item x="210"/>
        <item x="330"/>
        <item x="284"/>
        <item x="134"/>
        <item x="63"/>
        <item x="156"/>
        <item x="1"/>
        <item x="234"/>
        <item x="208"/>
        <item x="130"/>
        <item x="230"/>
        <item x="193"/>
        <item x="203"/>
        <item x="135"/>
        <item x="192"/>
        <item x="322"/>
        <item x="122"/>
        <item x="140"/>
        <item x="219"/>
        <item x="267"/>
        <item x="50"/>
        <item x="338"/>
        <item x="147"/>
        <item x="274"/>
        <item x="33"/>
        <item x="165"/>
        <item x="113"/>
        <item x="21"/>
        <item x="318"/>
        <item x="137"/>
        <item x="131"/>
        <item x="347"/>
        <item x="270"/>
        <item x="51"/>
        <item x="360"/>
        <item x="265"/>
        <item x="269"/>
        <item x="278"/>
        <item x="143"/>
        <item x="275"/>
        <item x="19"/>
        <item x="257"/>
        <item x="144"/>
        <item x="280"/>
        <item x="248"/>
        <item x="296"/>
        <item x="187"/>
        <item x="66"/>
        <item x="76"/>
        <item x="228"/>
        <item x="161"/>
        <item x="31"/>
        <item x="292"/>
        <item x="295"/>
        <item x="118"/>
        <item x="247"/>
        <item x="242"/>
        <item x="166"/>
        <item x="48"/>
        <item x="80"/>
        <item x="71"/>
        <item x="65"/>
        <item x="310"/>
        <item x="358"/>
        <item x="175"/>
        <item x="8"/>
        <item x="93"/>
        <item x="336"/>
        <item x="268"/>
        <item x="108"/>
        <item x="34"/>
        <item x="10"/>
        <item x="145"/>
        <item x="57"/>
        <item x="260"/>
        <item x="313"/>
        <item x="120"/>
        <item x="329"/>
        <item x="218"/>
        <item x="302"/>
        <item x="306"/>
        <item x="181"/>
        <item x="127"/>
        <item x="155"/>
        <item x="186"/>
        <item x="36"/>
        <item x="189"/>
        <item x="126"/>
        <item x="301"/>
        <item x="214"/>
        <item x="215"/>
        <item x="103"/>
        <item x="204"/>
        <item x="169"/>
        <item x="168"/>
        <item x="285"/>
        <item x="74"/>
        <item x="109"/>
        <item x="188"/>
        <item x="141"/>
        <item x="216"/>
        <item x="85"/>
        <item x="326"/>
        <item x="39"/>
        <item x="42"/>
        <item x="69"/>
        <item x="259"/>
        <item x="211"/>
        <item x="340"/>
        <item x="136"/>
        <item x="202"/>
        <item x="60"/>
        <item x="196"/>
        <item x="197"/>
        <item x="309"/>
        <item x="67"/>
        <item x="138"/>
        <item x="339"/>
        <item x="100"/>
        <item x="86"/>
        <item x="255"/>
        <item x="89"/>
        <item x="332"/>
        <item x="286"/>
        <item x="99"/>
        <item x="96"/>
        <item x="6"/>
        <item x="362"/>
        <item x="226"/>
        <item x="319"/>
        <item x="256"/>
        <item x="283"/>
        <item x="133"/>
        <item x="115"/>
        <item x="353"/>
        <item x="47"/>
        <item x="231"/>
        <item x="341"/>
        <item x="82"/>
        <item x="157"/>
        <item x="233"/>
        <item x="346"/>
        <item x="212"/>
        <item x="178"/>
        <item x="68"/>
        <item x="333"/>
        <item x="87"/>
        <item x="75"/>
        <item x="205"/>
        <item x="239"/>
        <item x="343"/>
        <item x="303"/>
        <item x="345"/>
        <item x="154"/>
        <item x="200"/>
        <item x="238"/>
        <item x="91"/>
        <item x="94"/>
        <item x="117"/>
        <item x="287"/>
        <item x="132"/>
        <item x="167"/>
        <item x="312"/>
        <item x="98"/>
        <item x="158"/>
        <item x="15"/>
        <item x="213"/>
        <item x="293"/>
        <item x="0"/>
        <item x="40"/>
        <item x="232"/>
        <item x="32"/>
        <item x="121"/>
        <item x="294"/>
        <item x="106"/>
        <item x="315"/>
        <item x="314"/>
        <item x="11"/>
        <item x="266"/>
        <item x="185"/>
        <item x="20"/>
        <item x="194"/>
        <item x="90"/>
        <item x="5"/>
        <item x="258"/>
        <item x="83"/>
        <item x="7"/>
        <item x="300"/>
        <item x="250"/>
        <item x="254"/>
        <item x="334"/>
        <item x="77"/>
        <item x="277"/>
        <item x="264"/>
        <item x="220"/>
        <item x="305"/>
        <item x="262"/>
        <item x="56"/>
        <item x="221"/>
        <item x="236"/>
        <item x="279"/>
        <item x="41"/>
        <item x="3"/>
        <item x="190"/>
        <item x="59"/>
        <item x="163"/>
        <item x="52"/>
        <item x="160"/>
        <item x="9"/>
        <item x="139"/>
        <item x="49"/>
        <item x="171"/>
        <item x="252"/>
        <item x="281"/>
        <item x="357"/>
        <item x="182"/>
        <item x="58"/>
        <item x="180"/>
        <item x="308"/>
        <item x="148"/>
        <item x="225"/>
        <item x="176"/>
        <item x="17"/>
        <item x="317"/>
        <item x="64"/>
        <item x="79"/>
        <item x="241"/>
        <item x="45"/>
        <item x="227"/>
        <item x="125"/>
        <item x="114"/>
        <item x="159"/>
        <item x="177"/>
        <item x="26"/>
        <item x="101"/>
        <item x="4"/>
        <item x="356"/>
        <item x="331"/>
        <item x="22"/>
        <item x="92"/>
        <item x="170"/>
        <item x="43"/>
        <item x="124"/>
        <item x="44"/>
        <item x="129"/>
        <item x="70"/>
        <item x="95"/>
        <item x="342"/>
        <item x="104"/>
        <item x="350"/>
        <item x="153"/>
        <item x="116"/>
        <item x="73"/>
        <item x="62"/>
        <item x="288"/>
        <item x="307"/>
        <item x="30"/>
        <item x="349"/>
        <item x="29"/>
        <item x="327"/>
        <item x="222"/>
        <item x="251"/>
        <item x="359"/>
        <item x="223"/>
        <item x="142"/>
        <item x="27"/>
        <item x="35"/>
        <item x="337"/>
        <item x="123"/>
        <item x="276"/>
        <item x="162"/>
        <item x="151"/>
        <item x="53"/>
        <item x="243"/>
        <item x="24"/>
        <item x="2"/>
        <item x="105"/>
        <item x="304"/>
        <item x="290"/>
        <item x="149"/>
        <item x="102"/>
        <item x="107"/>
        <item x="237"/>
        <item x="173"/>
        <item x="152"/>
        <item x="37"/>
        <item x="361"/>
        <item x="207"/>
        <item x="246"/>
        <item x="272"/>
        <item x="54"/>
        <item x="191"/>
        <item x="110"/>
        <item x="229"/>
        <item x="240"/>
        <item x="16"/>
        <item x="328"/>
        <item x="351"/>
        <item x="111"/>
        <item x="282"/>
        <item x="249"/>
        <item x="55"/>
        <item x="198"/>
        <item x="335"/>
        <item x="174"/>
        <item x="150"/>
        <item t="default"/>
      </items>
    </pivotField>
    <pivotField showAll="0"/>
    <pivotField numFmtId="14" showAll="0">
      <items count="403">
        <item x="330"/>
        <item x="360"/>
        <item x="57"/>
        <item x="78"/>
        <item x="400"/>
        <item x="392"/>
        <item x="324"/>
        <item x="45"/>
        <item x="396"/>
        <item x="373"/>
        <item x="115"/>
        <item x="393"/>
        <item x="307"/>
        <item x="235"/>
        <item x="259"/>
        <item x="134"/>
        <item x="17"/>
        <item x="12"/>
        <item x="203"/>
        <item x="391"/>
        <item x="372"/>
        <item x="23"/>
        <item x="364"/>
        <item x="380"/>
        <item x="379"/>
        <item x="246"/>
        <item x="196"/>
        <item x="271"/>
        <item x="294"/>
        <item x="183"/>
        <item x="111"/>
        <item x="376"/>
        <item x="398"/>
        <item x="292"/>
        <item x="266"/>
        <item x="166"/>
        <item x="274"/>
        <item x="371"/>
        <item x="153"/>
        <item x="287"/>
        <item x="177"/>
        <item x="237"/>
        <item x="86"/>
        <item x="37"/>
        <item x="117"/>
        <item x="171"/>
        <item x="245"/>
        <item x="319"/>
        <item x="207"/>
        <item x="220"/>
        <item x="270"/>
        <item x="244"/>
        <item x="30"/>
        <item x="213"/>
        <item x="75"/>
        <item x="353"/>
        <item x="13"/>
        <item x="369"/>
        <item x="381"/>
        <item x="341"/>
        <item x="194"/>
        <item x="273"/>
        <item x="80"/>
        <item x="122"/>
        <item x="128"/>
        <item x="329"/>
        <item x="204"/>
        <item x="187"/>
        <item x="163"/>
        <item x="279"/>
        <item x="267"/>
        <item x="26"/>
        <item x="67"/>
        <item x="1"/>
        <item x="344"/>
        <item x="317"/>
        <item x="293"/>
        <item x="199"/>
        <item x="202"/>
        <item x="188"/>
        <item x="361"/>
        <item x="382"/>
        <item x="135"/>
        <item x="339"/>
        <item x="119"/>
        <item x="359"/>
        <item x="268"/>
        <item x="146"/>
        <item x="130"/>
        <item x="20"/>
        <item x="82"/>
        <item x="231"/>
        <item x="215"/>
        <item x="176"/>
        <item x="401"/>
        <item x="59"/>
        <item x="283"/>
        <item x="139"/>
        <item x="48"/>
        <item x="121"/>
        <item x="284"/>
        <item x="142"/>
        <item x="257"/>
        <item x="154"/>
        <item x="264"/>
        <item x="291"/>
        <item x="248"/>
        <item x="189"/>
        <item x="198"/>
        <item x="346"/>
        <item x="241"/>
        <item x="350"/>
        <item x="375"/>
        <item x="286"/>
        <item x="149"/>
        <item x="357"/>
        <item x="224"/>
        <item x="8"/>
        <item x="209"/>
        <item x="125"/>
        <item x="143"/>
        <item x="71"/>
        <item x="234"/>
        <item x="167"/>
        <item x="190"/>
        <item x="158"/>
        <item x="10"/>
        <item x="314"/>
        <item x="62"/>
        <item x="321"/>
        <item x="109"/>
        <item x="184"/>
        <item x="32"/>
        <item x="285"/>
        <item x="232"/>
        <item x="29"/>
        <item x="211"/>
        <item x="18"/>
        <item x="54"/>
        <item x="141"/>
        <item x="61"/>
        <item x="49"/>
        <item x="112"/>
        <item x="100"/>
        <item x="79"/>
        <item x="33"/>
        <item x="365"/>
        <item x="278"/>
        <item x="74"/>
        <item x="311"/>
        <item x="133"/>
        <item x="47"/>
        <item x="66"/>
        <item x="102"/>
        <item x="281"/>
        <item x="221"/>
        <item x="269"/>
        <item x="107"/>
        <item x="145"/>
        <item x="200"/>
        <item x="110"/>
        <item x="123"/>
        <item x="197"/>
        <item x="205"/>
        <item x="310"/>
        <item x="328"/>
        <item x="180"/>
        <item x="193"/>
        <item x="160"/>
        <item x="302"/>
        <item x="126"/>
        <item x="38"/>
        <item x="242"/>
        <item x="356"/>
        <item x="214"/>
        <item x="261"/>
        <item x="178"/>
        <item x="92"/>
        <item x="289"/>
        <item x="174"/>
        <item x="222"/>
        <item x="116"/>
        <item x="131"/>
        <item x="316"/>
        <item x="64"/>
        <item x="322"/>
        <item x="218"/>
        <item x="282"/>
        <item x="46"/>
        <item x="335"/>
        <item x="181"/>
        <item x="41"/>
        <item x="84"/>
        <item x="301"/>
        <item x="95"/>
        <item x="144"/>
        <item x="210"/>
        <item x="212"/>
        <item x="206"/>
        <item x="124"/>
        <item x="63"/>
        <item x="182"/>
        <item x="192"/>
        <item x="256"/>
        <item x="69"/>
        <item x="334"/>
        <item x="6"/>
        <item x="272"/>
        <item x="240"/>
        <item x="397"/>
        <item x="348"/>
        <item x="355"/>
        <item x="349"/>
        <item x="225"/>
        <item x="227"/>
        <item x="56"/>
        <item x="70"/>
        <item x="105"/>
        <item x="93"/>
        <item x="312"/>
        <item x="325"/>
        <item x="300"/>
        <item x="386"/>
        <item x="327"/>
        <item x="255"/>
        <item x="87"/>
        <item x="208"/>
        <item x="147"/>
        <item x="308"/>
        <item x="332"/>
        <item x="280"/>
        <item x="288"/>
        <item x="223"/>
        <item x="89"/>
        <item x="170"/>
        <item x="331"/>
        <item x="354"/>
        <item x="85"/>
        <item x="228"/>
        <item x="0"/>
        <item x="19"/>
        <item x="39"/>
        <item x="303"/>
        <item x="298"/>
        <item x="236"/>
        <item x="5"/>
        <item x="108"/>
        <item x="140"/>
        <item x="326"/>
        <item x="250"/>
        <item x="265"/>
        <item x="129"/>
        <item x="229"/>
        <item x="88"/>
        <item x="337"/>
        <item x="11"/>
        <item x="304"/>
        <item x="14"/>
        <item x="159"/>
        <item x="370"/>
        <item x="399"/>
        <item x="3"/>
        <item x="81"/>
        <item x="172"/>
        <item x="216"/>
        <item x="7"/>
        <item x="113"/>
        <item x="55"/>
        <item x="275"/>
        <item x="305"/>
        <item x="262"/>
        <item x="252"/>
        <item x="296"/>
        <item x="295"/>
        <item x="98"/>
        <item x="162"/>
        <item x="31"/>
        <item x="34"/>
        <item x="233"/>
        <item x="155"/>
        <item x="76"/>
        <item x="60"/>
        <item x="101"/>
        <item x="313"/>
        <item x="148"/>
        <item x="251"/>
        <item x="258"/>
        <item x="9"/>
        <item x="191"/>
        <item x="50"/>
        <item x="72"/>
        <item x="318"/>
        <item x="238"/>
        <item x="161"/>
        <item x="164"/>
        <item x="65"/>
        <item x="195"/>
        <item x="362"/>
        <item x="150"/>
        <item x="53"/>
        <item x="226"/>
        <item x="276"/>
        <item x="44"/>
        <item x="91"/>
        <item x="16"/>
        <item x="40"/>
        <item x="152"/>
        <item x="363"/>
        <item x="320"/>
        <item x="28"/>
        <item x="43"/>
        <item x="77"/>
        <item x="290"/>
        <item x="260"/>
        <item x="358"/>
        <item x="58"/>
        <item x="127"/>
        <item x="263"/>
        <item x="68"/>
        <item x="94"/>
        <item x="25"/>
        <item x="297"/>
        <item x="377"/>
        <item x="27"/>
        <item x="96"/>
        <item x="345"/>
        <item x="24"/>
        <item x="35"/>
        <item x="169"/>
        <item x="217"/>
        <item x="4"/>
        <item x="309"/>
        <item x="175"/>
        <item x="179"/>
        <item x="378"/>
        <item x="106"/>
        <item x="366"/>
        <item x="21"/>
        <item x="2"/>
        <item x="395"/>
        <item x="336"/>
        <item x="157"/>
        <item x="333"/>
        <item x="247"/>
        <item x="42"/>
        <item x="73"/>
        <item x="114"/>
        <item x="173"/>
        <item x="219"/>
        <item x="338"/>
        <item x="104"/>
        <item x="118"/>
        <item x="90"/>
        <item x="277"/>
        <item x="22"/>
        <item x="138"/>
        <item x="390"/>
        <item x="83"/>
        <item x="156"/>
        <item x="97"/>
        <item x="323"/>
        <item x="186"/>
        <item x="99"/>
        <item x="347"/>
        <item x="151"/>
        <item x="168"/>
        <item x="306"/>
        <item x="239"/>
        <item x="249"/>
        <item x="132"/>
        <item x="254"/>
        <item x="36"/>
        <item x="383"/>
        <item x="342"/>
        <item x="351"/>
        <item x="137"/>
        <item x="384"/>
        <item x="243"/>
        <item x="185"/>
        <item x="136"/>
        <item x="389"/>
        <item x="394"/>
        <item x="51"/>
        <item x="388"/>
        <item x="299"/>
        <item x="253"/>
        <item x="374"/>
        <item x="15"/>
        <item x="103"/>
        <item x="201"/>
        <item x="52"/>
        <item x="120"/>
        <item x="343"/>
        <item x="165"/>
        <item x="230"/>
        <item x="340"/>
        <item x="352"/>
        <item x="385"/>
        <item x="315"/>
        <item x="367"/>
        <item x="387"/>
        <item x="368"/>
        <item t="default"/>
      </items>
    </pivotField>
    <pivotField numFmtId="14" showAll="0">
      <items count="406">
        <item x="341"/>
        <item x="56"/>
        <item x="290"/>
        <item x="74"/>
        <item x="399"/>
        <item x="377"/>
        <item x="44"/>
        <item x="331"/>
        <item x="340"/>
        <item x="361"/>
        <item x="398"/>
        <item x="112"/>
        <item x="400"/>
        <item x="190"/>
        <item x="226"/>
        <item x="17"/>
        <item x="102"/>
        <item x="339"/>
        <item x="12"/>
        <item x="363"/>
        <item x="372"/>
        <item x="275"/>
        <item x="23"/>
        <item x="396"/>
        <item x="332"/>
        <item x="189"/>
        <item x="346"/>
        <item x="110"/>
        <item x="155"/>
        <item x="248"/>
        <item x="253"/>
        <item x="325"/>
        <item x="310"/>
        <item x="165"/>
        <item x="371"/>
        <item x="291"/>
        <item x="376"/>
        <item x="279"/>
        <item x="230"/>
        <item x="149"/>
        <item x="388"/>
        <item x="173"/>
        <item x="80"/>
        <item x="169"/>
        <item x="38"/>
        <item x="115"/>
        <item x="243"/>
        <item x="215"/>
        <item x="213"/>
        <item x="201"/>
        <item x="242"/>
        <item x="347"/>
        <item x="392"/>
        <item x="30"/>
        <item x="72"/>
        <item x="334"/>
        <item x="13"/>
        <item x="237"/>
        <item x="185"/>
        <item x="76"/>
        <item x="328"/>
        <item x="266"/>
        <item x="335"/>
        <item x="120"/>
        <item x="268"/>
        <item x="181"/>
        <item x="160"/>
        <item x="312"/>
        <item x="387"/>
        <item x="379"/>
        <item x="26"/>
        <item x="66"/>
        <item x="1"/>
        <item x="326"/>
        <item x="39"/>
        <item x="231"/>
        <item x="195"/>
        <item x="182"/>
        <item x="241"/>
        <item x="262"/>
        <item x="218"/>
        <item x="364"/>
        <item x="322"/>
        <item x="221"/>
        <item x="131"/>
        <item x="116"/>
        <item x="288"/>
        <item x="362"/>
        <item x="20"/>
        <item x="274"/>
        <item x="126"/>
        <item x="370"/>
        <item x="224"/>
        <item x="309"/>
        <item x="103"/>
        <item x="58"/>
        <item x="344"/>
        <item x="48"/>
        <item x="137"/>
        <item x="295"/>
        <item x="210"/>
        <item x="118"/>
        <item x="338"/>
        <item x="271"/>
        <item x="150"/>
        <item x="269"/>
        <item x="246"/>
        <item x="283"/>
        <item x="183"/>
        <item x="192"/>
        <item x="234"/>
        <item x="296"/>
        <item x="272"/>
        <item x="359"/>
        <item x="240"/>
        <item x="180"/>
        <item x="144"/>
        <item x="216"/>
        <item x="8"/>
        <item x="69"/>
        <item x="139"/>
        <item x="281"/>
        <item x="121"/>
        <item x="152"/>
        <item x="166"/>
        <item x="286"/>
        <item x="206"/>
        <item x="10"/>
        <item x="320"/>
        <item x="292"/>
        <item x="329"/>
        <item x="129"/>
        <item x="108"/>
        <item x="32"/>
        <item x="225"/>
        <item x="18"/>
        <item x="54"/>
        <item x="29"/>
        <item x="265"/>
        <item x="355"/>
        <item x="60"/>
        <item x="49"/>
        <item x="368"/>
        <item x="98"/>
        <item x="33"/>
        <item x="245"/>
        <item x="75"/>
        <item x="36"/>
        <item x="321"/>
        <item x="130"/>
        <item x="65"/>
        <item x="46"/>
        <item x="255"/>
        <item x="345"/>
        <item x="84"/>
        <item x="247"/>
        <item x="141"/>
        <item x="196"/>
        <item x="107"/>
        <item x="186"/>
        <item x="109"/>
        <item x="122"/>
        <item x="227"/>
        <item x="197"/>
        <item x="251"/>
        <item x="278"/>
        <item x="191"/>
        <item x="177"/>
        <item x="156"/>
        <item x="78"/>
        <item x="93"/>
        <item x="235"/>
        <item x="40"/>
        <item x="397"/>
        <item x="264"/>
        <item x="175"/>
        <item x="199"/>
        <item x="90"/>
        <item x="88"/>
        <item x="380"/>
        <item x="114"/>
        <item x="282"/>
        <item x="273"/>
        <item x="127"/>
        <item x="203"/>
        <item x="63"/>
        <item x="228"/>
        <item x="211"/>
        <item x="154"/>
        <item x="45"/>
        <item x="42"/>
        <item x="374"/>
        <item x="343"/>
        <item x="193"/>
        <item x="92"/>
        <item x="308"/>
        <item x="140"/>
        <item x="260"/>
        <item x="204"/>
        <item x="200"/>
        <item x="61"/>
        <item x="123"/>
        <item x="287"/>
        <item x="261"/>
        <item x="67"/>
        <item x="6"/>
        <item x="276"/>
        <item x="316"/>
        <item x="358"/>
        <item x="233"/>
        <item x="351"/>
        <item x="217"/>
        <item x="220"/>
        <item x="354"/>
        <item x="68"/>
        <item x="55"/>
        <item x="104"/>
        <item x="89"/>
        <item x="315"/>
        <item x="293"/>
        <item x="318"/>
        <item x="306"/>
        <item x="333"/>
        <item x="259"/>
        <item x="82"/>
        <item x="337"/>
        <item x="143"/>
        <item x="202"/>
        <item x="239"/>
        <item x="303"/>
        <item x="284"/>
        <item x="300"/>
        <item x="174"/>
        <item x="188"/>
        <item x="194"/>
        <item x="85"/>
        <item x="257"/>
        <item x="79"/>
        <item x="62"/>
        <item x="0"/>
        <item x="298"/>
        <item x="187"/>
        <item x="19"/>
        <item x="41"/>
        <item x="311"/>
        <item x="294"/>
        <item x="229"/>
        <item x="5"/>
        <item x="138"/>
        <item x="249"/>
        <item x="404"/>
        <item x="301"/>
        <item x="125"/>
        <item x="83"/>
        <item x="222"/>
        <item x="209"/>
        <item x="11"/>
        <item x="153"/>
        <item x="353"/>
        <item x="14"/>
        <item x="297"/>
        <item x="3"/>
        <item x="170"/>
        <item x="119"/>
        <item x="232"/>
        <item x="366"/>
        <item x="81"/>
        <item x="7"/>
        <item x="299"/>
        <item x="324"/>
        <item x="254"/>
        <item x="270"/>
        <item x="285"/>
        <item x="96"/>
        <item x="394"/>
        <item x="159"/>
        <item x="327"/>
        <item x="34"/>
        <item x="31"/>
        <item x="113"/>
        <item x="375"/>
        <item x="99"/>
        <item x="277"/>
        <item x="59"/>
        <item x="252"/>
        <item x="207"/>
        <item x="389"/>
        <item x="9"/>
        <item x="304"/>
        <item x="50"/>
        <item x="342"/>
        <item x="350"/>
        <item x="289"/>
        <item x="163"/>
        <item x="168"/>
        <item x="158"/>
        <item x="64"/>
        <item x="53"/>
        <item x="205"/>
        <item x="145"/>
        <item x="365"/>
        <item x="219"/>
        <item x="87"/>
        <item x="280"/>
        <item x="16"/>
        <item x="236"/>
        <item x="71"/>
        <item x="148"/>
        <item x="28"/>
        <item x="105"/>
        <item x="47"/>
        <item x="157"/>
        <item x="73"/>
        <item x="382"/>
        <item x="263"/>
        <item x="57"/>
        <item x="162"/>
        <item x="124"/>
        <item x="91"/>
        <item x="25"/>
        <item x="171"/>
        <item x="27"/>
        <item x="302"/>
        <item x="24"/>
        <item x="214"/>
        <item x="94"/>
        <item x="208"/>
        <item x="258"/>
        <item x="35"/>
        <item x="167"/>
        <item x="4"/>
        <item x="256"/>
        <item x="172"/>
        <item x="176"/>
        <item x="106"/>
        <item x="2"/>
        <item x="402"/>
        <item x="21"/>
        <item x="307"/>
        <item x="151"/>
        <item x="244"/>
        <item x="178"/>
        <item x="43"/>
        <item x="383"/>
        <item x="70"/>
        <item x="142"/>
        <item x="212"/>
        <item x="111"/>
        <item x="319"/>
        <item x="86"/>
        <item x="136"/>
        <item x="101"/>
        <item x="22"/>
        <item x="317"/>
        <item x="134"/>
        <item x="77"/>
        <item x="378"/>
        <item x="360"/>
        <item x="95"/>
        <item x="135"/>
        <item x="179"/>
        <item x="184"/>
        <item x="97"/>
        <item x="146"/>
        <item x="198"/>
        <item x="356"/>
        <item x="128"/>
        <item x="147"/>
        <item x="161"/>
        <item x="37"/>
        <item x="250"/>
        <item x="348"/>
        <item x="357"/>
        <item x="403"/>
        <item x="238"/>
        <item x="385"/>
        <item x="133"/>
        <item x="132"/>
        <item x="267"/>
        <item x="395"/>
        <item x="384"/>
        <item x="401"/>
        <item x="51"/>
        <item x="386"/>
        <item x="390"/>
        <item x="305"/>
        <item x="15"/>
        <item x="373"/>
        <item x="313"/>
        <item x="100"/>
        <item x="336"/>
        <item x="314"/>
        <item x="52"/>
        <item x="117"/>
        <item x="349"/>
        <item x="164"/>
        <item x="330"/>
        <item x="352"/>
        <item x="381"/>
        <item x="223"/>
        <item x="323"/>
        <item x="391"/>
        <item x="393"/>
        <item x="369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5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 of bookings" fld="0" subtotal="count" baseField="15" baseItem="0"/>
    <dataField name="Actual Revenue" fld="14" baseField="0" baseItem="0" numFmtId="164"/>
  </dataFields>
  <formats count="1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48C42-3FA3-49D2-83DF-829F087A53B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 ">
  <location ref="E4:F17" firstHeaderRow="1" firstDataRow="1" firstDataCol="1"/>
  <pivotFields count="27">
    <pivotField showAll="0"/>
    <pivotField dataField="1" showAll="0"/>
    <pivotField numFmtId="14" showAll="0">
      <items count="365">
        <item x="61"/>
        <item x="25"/>
        <item x="164"/>
        <item x="325"/>
        <item x="112"/>
        <item x="261"/>
        <item x="18"/>
        <item x="201"/>
        <item x="46"/>
        <item x="217"/>
        <item x="88"/>
        <item x="289"/>
        <item x="23"/>
        <item x="352"/>
        <item x="344"/>
        <item x="297"/>
        <item x="12"/>
        <item x="146"/>
        <item x="78"/>
        <item x="14"/>
        <item x="316"/>
        <item x="320"/>
        <item x="323"/>
        <item x="263"/>
        <item x="119"/>
        <item x="184"/>
        <item x="38"/>
        <item x="299"/>
        <item x="245"/>
        <item x="271"/>
        <item x="311"/>
        <item x="363"/>
        <item x="291"/>
        <item x="81"/>
        <item x="195"/>
        <item x="354"/>
        <item x="253"/>
        <item x="97"/>
        <item x="13"/>
        <item x="28"/>
        <item x="224"/>
        <item x="172"/>
        <item x="72"/>
        <item x="355"/>
        <item x="348"/>
        <item x="199"/>
        <item x="298"/>
        <item x="206"/>
        <item x="209"/>
        <item x="179"/>
        <item x="183"/>
        <item x="128"/>
        <item x="321"/>
        <item x="244"/>
        <item x="273"/>
        <item x="324"/>
        <item x="235"/>
        <item x="84"/>
        <item x="210"/>
        <item x="330"/>
        <item x="284"/>
        <item x="134"/>
        <item x="63"/>
        <item x="156"/>
        <item x="1"/>
        <item x="234"/>
        <item x="208"/>
        <item x="130"/>
        <item x="230"/>
        <item x="193"/>
        <item x="203"/>
        <item x="135"/>
        <item x="192"/>
        <item x="322"/>
        <item x="122"/>
        <item x="140"/>
        <item x="219"/>
        <item x="267"/>
        <item x="50"/>
        <item x="338"/>
        <item x="147"/>
        <item x="274"/>
        <item x="33"/>
        <item x="165"/>
        <item x="113"/>
        <item x="21"/>
        <item x="318"/>
        <item x="137"/>
        <item x="131"/>
        <item x="347"/>
        <item x="270"/>
        <item x="51"/>
        <item x="360"/>
        <item x="265"/>
        <item x="269"/>
        <item x="278"/>
        <item x="143"/>
        <item x="275"/>
        <item x="19"/>
        <item x="257"/>
        <item x="144"/>
        <item x="280"/>
        <item x="248"/>
        <item x="296"/>
        <item x="187"/>
        <item x="66"/>
        <item x="76"/>
        <item x="228"/>
        <item x="161"/>
        <item x="31"/>
        <item x="292"/>
        <item x="295"/>
        <item x="118"/>
        <item x="247"/>
        <item x="242"/>
        <item x="166"/>
        <item x="48"/>
        <item x="80"/>
        <item x="71"/>
        <item x="65"/>
        <item x="310"/>
        <item x="358"/>
        <item x="175"/>
        <item x="8"/>
        <item x="93"/>
        <item x="336"/>
        <item x="268"/>
        <item x="108"/>
        <item x="34"/>
        <item x="10"/>
        <item x="145"/>
        <item x="57"/>
        <item x="260"/>
        <item x="313"/>
        <item x="120"/>
        <item x="329"/>
        <item x="218"/>
        <item x="302"/>
        <item x="306"/>
        <item x="181"/>
        <item x="127"/>
        <item x="155"/>
        <item x="186"/>
        <item x="36"/>
        <item x="189"/>
        <item x="126"/>
        <item x="301"/>
        <item x="214"/>
        <item x="215"/>
        <item x="103"/>
        <item x="204"/>
        <item x="169"/>
        <item x="168"/>
        <item x="285"/>
        <item x="74"/>
        <item x="109"/>
        <item x="188"/>
        <item x="141"/>
        <item x="216"/>
        <item x="85"/>
        <item x="326"/>
        <item x="39"/>
        <item x="42"/>
        <item x="69"/>
        <item x="259"/>
        <item x="211"/>
        <item x="340"/>
        <item x="136"/>
        <item x="202"/>
        <item x="60"/>
        <item x="196"/>
        <item x="197"/>
        <item x="309"/>
        <item x="67"/>
        <item x="138"/>
        <item x="339"/>
        <item x="100"/>
        <item x="86"/>
        <item x="255"/>
        <item x="89"/>
        <item x="332"/>
        <item x="286"/>
        <item x="99"/>
        <item x="96"/>
        <item x="6"/>
        <item x="362"/>
        <item x="226"/>
        <item x="319"/>
        <item x="256"/>
        <item x="283"/>
        <item x="133"/>
        <item x="115"/>
        <item x="353"/>
        <item x="47"/>
        <item x="231"/>
        <item x="341"/>
        <item x="82"/>
        <item x="157"/>
        <item x="233"/>
        <item x="346"/>
        <item x="212"/>
        <item x="178"/>
        <item x="68"/>
        <item x="333"/>
        <item x="87"/>
        <item x="75"/>
        <item x="205"/>
        <item x="239"/>
        <item x="343"/>
        <item x="303"/>
        <item x="345"/>
        <item x="154"/>
        <item x="200"/>
        <item x="238"/>
        <item x="91"/>
        <item x="94"/>
        <item x="117"/>
        <item x="287"/>
        <item x="132"/>
        <item x="167"/>
        <item x="312"/>
        <item x="98"/>
        <item x="158"/>
        <item x="15"/>
        <item x="213"/>
        <item x="293"/>
        <item x="0"/>
        <item x="40"/>
        <item x="232"/>
        <item x="32"/>
        <item x="121"/>
        <item x="294"/>
        <item x="106"/>
        <item x="315"/>
        <item x="314"/>
        <item x="11"/>
        <item x="266"/>
        <item x="185"/>
        <item x="20"/>
        <item x="194"/>
        <item x="90"/>
        <item x="5"/>
        <item x="258"/>
        <item x="83"/>
        <item x="7"/>
        <item x="300"/>
        <item x="250"/>
        <item x="254"/>
        <item x="334"/>
        <item x="77"/>
        <item x="277"/>
        <item x="264"/>
        <item x="220"/>
        <item x="305"/>
        <item x="262"/>
        <item x="56"/>
        <item x="221"/>
        <item x="236"/>
        <item x="279"/>
        <item x="41"/>
        <item x="3"/>
        <item x="190"/>
        <item x="59"/>
        <item x="163"/>
        <item x="52"/>
        <item x="160"/>
        <item x="9"/>
        <item x="139"/>
        <item x="49"/>
        <item x="171"/>
        <item x="252"/>
        <item x="281"/>
        <item x="357"/>
        <item x="182"/>
        <item x="58"/>
        <item x="180"/>
        <item x="308"/>
        <item x="148"/>
        <item x="225"/>
        <item x="176"/>
        <item x="17"/>
        <item x="317"/>
        <item x="64"/>
        <item x="79"/>
        <item x="241"/>
        <item x="45"/>
        <item x="227"/>
        <item x="125"/>
        <item x="114"/>
        <item x="159"/>
        <item x="177"/>
        <item x="26"/>
        <item x="101"/>
        <item x="4"/>
        <item x="356"/>
        <item x="331"/>
        <item x="22"/>
        <item x="92"/>
        <item x="170"/>
        <item x="43"/>
        <item x="124"/>
        <item x="44"/>
        <item x="129"/>
        <item x="70"/>
        <item x="95"/>
        <item x="342"/>
        <item x="104"/>
        <item x="350"/>
        <item x="153"/>
        <item x="116"/>
        <item x="73"/>
        <item x="62"/>
        <item x="288"/>
        <item x="307"/>
        <item x="30"/>
        <item x="349"/>
        <item x="29"/>
        <item x="327"/>
        <item x="222"/>
        <item x="251"/>
        <item x="359"/>
        <item x="223"/>
        <item x="142"/>
        <item x="27"/>
        <item x="35"/>
        <item x="337"/>
        <item x="123"/>
        <item x="276"/>
        <item x="162"/>
        <item x="151"/>
        <item x="53"/>
        <item x="243"/>
        <item x="24"/>
        <item x="2"/>
        <item x="105"/>
        <item x="304"/>
        <item x="290"/>
        <item x="149"/>
        <item x="102"/>
        <item x="107"/>
        <item x="237"/>
        <item x="173"/>
        <item x="152"/>
        <item x="37"/>
        <item x="361"/>
        <item x="207"/>
        <item x="246"/>
        <item x="272"/>
        <item x="54"/>
        <item x="191"/>
        <item x="110"/>
        <item x="229"/>
        <item x="240"/>
        <item x="16"/>
        <item x="328"/>
        <item x="351"/>
        <item x="111"/>
        <item x="282"/>
        <item x="249"/>
        <item x="55"/>
        <item x="198"/>
        <item x="335"/>
        <item x="174"/>
        <item x="150"/>
        <item t="default"/>
      </items>
    </pivotField>
    <pivotField showAll="0"/>
    <pivotField axis="axisRow" numFmtId="14" showAll="0">
      <items count="403">
        <item x="330"/>
        <item x="360"/>
        <item x="57"/>
        <item x="78"/>
        <item x="400"/>
        <item x="392"/>
        <item x="324"/>
        <item x="45"/>
        <item x="396"/>
        <item x="373"/>
        <item x="115"/>
        <item x="393"/>
        <item x="307"/>
        <item x="235"/>
        <item x="259"/>
        <item x="134"/>
        <item x="17"/>
        <item x="12"/>
        <item x="203"/>
        <item x="391"/>
        <item x="372"/>
        <item x="23"/>
        <item x="364"/>
        <item x="380"/>
        <item x="379"/>
        <item x="246"/>
        <item x="196"/>
        <item x="271"/>
        <item x="294"/>
        <item x="183"/>
        <item x="111"/>
        <item x="376"/>
        <item x="398"/>
        <item x="292"/>
        <item x="266"/>
        <item x="166"/>
        <item x="274"/>
        <item x="371"/>
        <item x="153"/>
        <item x="287"/>
        <item x="177"/>
        <item x="237"/>
        <item x="86"/>
        <item x="37"/>
        <item x="117"/>
        <item x="171"/>
        <item x="245"/>
        <item x="319"/>
        <item x="207"/>
        <item x="220"/>
        <item x="270"/>
        <item x="244"/>
        <item x="30"/>
        <item x="213"/>
        <item x="75"/>
        <item x="353"/>
        <item x="13"/>
        <item x="369"/>
        <item x="381"/>
        <item x="341"/>
        <item x="194"/>
        <item x="273"/>
        <item x="80"/>
        <item x="122"/>
        <item x="128"/>
        <item x="329"/>
        <item x="204"/>
        <item x="187"/>
        <item x="163"/>
        <item x="279"/>
        <item x="267"/>
        <item x="26"/>
        <item x="67"/>
        <item x="1"/>
        <item x="344"/>
        <item x="317"/>
        <item x="293"/>
        <item x="199"/>
        <item x="202"/>
        <item x="188"/>
        <item x="361"/>
        <item x="382"/>
        <item x="135"/>
        <item x="339"/>
        <item x="119"/>
        <item x="359"/>
        <item x="268"/>
        <item x="146"/>
        <item x="130"/>
        <item x="20"/>
        <item x="82"/>
        <item x="231"/>
        <item x="215"/>
        <item x="176"/>
        <item x="401"/>
        <item x="59"/>
        <item x="283"/>
        <item x="139"/>
        <item x="48"/>
        <item x="121"/>
        <item x="284"/>
        <item x="142"/>
        <item x="257"/>
        <item x="154"/>
        <item x="264"/>
        <item x="291"/>
        <item x="248"/>
        <item x="189"/>
        <item x="198"/>
        <item x="346"/>
        <item x="241"/>
        <item x="350"/>
        <item x="375"/>
        <item x="286"/>
        <item x="149"/>
        <item x="357"/>
        <item x="224"/>
        <item x="8"/>
        <item x="209"/>
        <item x="125"/>
        <item x="143"/>
        <item x="71"/>
        <item x="234"/>
        <item x="167"/>
        <item x="190"/>
        <item x="158"/>
        <item x="10"/>
        <item x="314"/>
        <item x="62"/>
        <item x="321"/>
        <item x="109"/>
        <item x="184"/>
        <item x="32"/>
        <item x="285"/>
        <item x="232"/>
        <item x="29"/>
        <item x="211"/>
        <item x="18"/>
        <item x="54"/>
        <item x="141"/>
        <item x="61"/>
        <item x="49"/>
        <item x="112"/>
        <item x="100"/>
        <item x="79"/>
        <item x="33"/>
        <item x="365"/>
        <item x="278"/>
        <item x="74"/>
        <item x="311"/>
        <item x="133"/>
        <item x="47"/>
        <item x="66"/>
        <item x="102"/>
        <item x="281"/>
        <item x="221"/>
        <item x="269"/>
        <item x="107"/>
        <item x="145"/>
        <item x="200"/>
        <item x="110"/>
        <item x="123"/>
        <item x="197"/>
        <item x="205"/>
        <item x="310"/>
        <item x="328"/>
        <item x="180"/>
        <item x="193"/>
        <item x="160"/>
        <item x="302"/>
        <item x="126"/>
        <item x="38"/>
        <item x="242"/>
        <item x="356"/>
        <item x="214"/>
        <item x="261"/>
        <item x="178"/>
        <item x="92"/>
        <item x="289"/>
        <item x="174"/>
        <item x="222"/>
        <item x="116"/>
        <item x="131"/>
        <item x="316"/>
        <item x="64"/>
        <item x="322"/>
        <item x="218"/>
        <item x="282"/>
        <item x="46"/>
        <item x="335"/>
        <item x="181"/>
        <item x="41"/>
        <item x="84"/>
        <item x="301"/>
        <item x="95"/>
        <item x="144"/>
        <item x="210"/>
        <item x="212"/>
        <item x="206"/>
        <item x="124"/>
        <item x="63"/>
        <item x="182"/>
        <item x="192"/>
        <item x="256"/>
        <item x="69"/>
        <item x="334"/>
        <item x="6"/>
        <item x="272"/>
        <item x="240"/>
        <item x="397"/>
        <item x="348"/>
        <item x="355"/>
        <item x="349"/>
        <item x="225"/>
        <item x="227"/>
        <item x="56"/>
        <item x="70"/>
        <item x="105"/>
        <item x="93"/>
        <item x="312"/>
        <item x="325"/>
        <item x="300"/>
        <item x="386"/>
        <item x="327"/>
        <item x="255"/>
        <item x="87"/>
        <item x="208"/>
        <item x="147"/>
        <item x="308"/>
        <item x="332"/>
        <item x="280"/>
        <item x="288"/>
        <item x="223"/>
        <item x="89"/>
        <item x="170"/>
        <item x="331"/>
        <item x="354"/>
        <item x="85"/>
        <item x="228"/>
        <item x="0"/>
        <item x="19"/>
        <item x="39"/>
        <item x="303"/>
        <item x="298"/>
        <item x="236"/>
        <item x="5"/>
        <item x="108"/>
        <item x="140"/>
        <item x="326"/>
        <item x="250"/>
        <item x="265"/>
        <item x="129"/>
        <item x="229"/>
        <item x="88"/>
        <item x="337"/>
        <item x="11"/>
        <item x="304"/>
        <item x="14"/>
        <item x="159"/>
        <item x="370"/>
        <item x="399"/>
        <item x="3"/>
        <item x="81"/>
        <item x="172"/>
        <item x="216"/>
        <item x="7"/>
        <item x="113"/>
        <item x="55"/>
        <item x="275"/>
        <item x="305"/>
        <item x="262"/>
        <item x="252"/>
        <item x="296"/>
        <item x="295"/>
        <item x="98"/>
        <item x="162"/>
        <item x="31"/>
        <item x="34"/>
        <item x="233"/>
        <item x="155"/>
        <item x="76"/>
        <item x="60"/>
        <item x="101"/>
        <item x="313"/>
        <item x="148"/>
        <item x="251"/>
        <item x="258"/>
        <item x="9"/>
        <item x="191"/>
        <item x="50"/>
        <item x="72"/>
        <item x="318"/>
        <item x="238"/>
        <item x="161"/>
        <item x="164"/>
        <item x="65"/>
        <item x="195"/>
        <item x="362"/>
        <item x="150"/>
        <item x="53"/>
        <item x="226"/>
        <item x="276"/>
        <item x="44"/>
        <item x="91"/>
        <item x="16"/>
        <item x="40"/>
        <item x="152"/>
        <item x="363"/>
        <item x="320"/>
        <item x="28"/>
        <item x="43"/>
        <item x="77"/>
        <item x="290"/>
        <item x="260"/>
        <item x="358"/>
        <item x="58"/>
        <item x="127"/>
        <item x="263"/>
        <item x="68"/>
        <item x="94"/>
        <item x="25"/>
        <item x="297"/>
        <item x="377"/>
        <item x="27"/>
        <item x="96"/>
        <item x="345"/>
        <item x="24"/>
        <item x="35"/>
        <item x="169"/>
        <item x="217"/>
        <item x="4"/>
        <item x="309"/>
        <item x="175"/>
        <item x="179"/>
        <item x="378"/>
        <item x="106"/>
        <item x="366"/>
        <item x="21"/>
        <item x="2"/>
        <item x="395"/>
        <item x="336"/>
        <item x="157"/>
        <item x="333"/>
        <item x="247"/>
        <item x="42"/>
        <item x="73"/>
        <item x="114"/>
        <item x="173"/>
        <item x="219"/>
        <item x="338"/>
        <item x="104"/>
        <item x="118"/>
        <item x="90"/>
        <item x="277"/>
        <item x="22"/>
        <item x="138"/>
        <item x="390"/>
        <item x="83"/>
        <item x="156"/>
        <item x="97"/>
        <item x="323"/>
        <item x="186"/>
        <item x="99"/>
        <item x="347"/>
        <item x="151"/>
        <item x="168"/>
        <item x="306"/>
        <item x="239"/>
        <item x="249"/>
        <item x="132"/>
        <item x="254"/>
        <item x="36"/>
        <item x="383"/>
        <item x="342"/>
        <item x="351"/>
        <item x="137"/>
        <item x="384"/>
        <item x="243"/>
        <item x="185"/>
        <item x="136"/>
        <item x="389"/>
        <item x="394"/>
        <item x="51"/>
        <item x="388"/>
        <item x="299"/>
        <item x="253"/>
        <item x="374"/>
        <item x="15"/>
        <item x="103"/>
        <item x="201"/>
        <item x="52"/>
        <item x="120"/>
        <item x="343"/>
        <item x="165"/>
        <item x="230"/>
        <item x="340"/>
        <item x="352"/>
        <item x="385"/>
        <item x="315"/>
        <item x="367"/>
        <item x="387"/>
        <item x="368"/>
        <item t="default"/>
      </items>
    </pivotField>
    <pivotField numFmtId="14" showAll="0">
      <items count="406">
        <item x="341"/>
        <item x="56"/>
        <item x="290"/>
        <item x="74"/>
        <item x="399"/>
        <item x="377"/>
        <item x="44"/>
        <item x="331"/>
        <item x="340"/>
        <item x="361"/>
        <item x="398"/>
        <item x="112"/>
        <item x="400"/>
        <item x="190"/>
        <item x="226"/>
        <item x="17"/>
        <item x="102"/>
        <item x="339"/>
        <item x="12"/>
        <item x="363"/>
        <item x="372"/>
        <item x="275"/>
        <item x="23"/>
        <item x="396"/>
        <item x="332"/>
        <item x="189"/>
        <item x="346"/>
        <item x="110"/>
        <item x="155"/>
        <item x="248"/>
        <item x="253"/>
        <item x="325"/>
        <item x="310"/>
        <item x="165"/>
        <item x="371"/>
        <item x="291"/>
        <item x="376"/>
        <item x="279"/>
        <item x="230"/>
        <item x="149"/>
        <item x="388"/>
        <item x="173"/>
        <item x="80"/>
        <item x="169"/>
        <item x="38"/>
        <item x="115"/>
        <item x="243"/>
        <item x="215"/>
        <item x="213"/>
        <item x="201"/>
        <item x="242"/>
        <item x="347"/>
        <item x="392"/>
        <item x="30"/>
        <item x="72"/>
        <item x="334"/>
        <item x="13"/>
        <item x="237"/>
        <item x="185"/>
        <item x="76"/>
        <item x="328"/>
        <item x="266"/>
        <item x="335"/>
        <item x="120"/>
        <item x="268"/>
        <item x="181"/>
        <item x="160"/>
        <item x="312"/>
        <item x="387"/>
        <item x="379"/>
        <item x="26"/>
        <item x="66"/>
        <item x="1"/>
        <item x="326"/>
        <item x="39"/>
        <item x="231"/>
        <item x="195"/>
        <item x="182"/>
        <item x="241"/>
        <item x="262"/>
        <item x="218"/>
        <item x="364"/>
        <item x="322"/>
        <item x="221"/>
        <item x="131"/>
        <item x="116"/>
        <item x="288"/>
        <item x="362"/>
        <item x="20"/>
        <item x="274"/>
        <item x="126"/>
        <item x="370"/>
        <item x="224"/>
        <item x="309"/>
        <item x="103"/>
        <item x="58"/>
        <item x="344"/>
        <item x="48"/>
        <item x="137"/>
        <item x="295"/>
        <item x="210"/>
        <item x="118"/>
        <item x="338"/>
        <item x="271"/>
        <item x="150"/>
        <item x="269"/>
        <item x="246"/>
        <item x="283"/>
        <item x="183"/>
        <item x="192"/>
        <item x="234"/>
        <item x="296"/>
        <item x="272"/>
        <item x="359"/>
        <item x="240"/>
        <item x="180"/>
        <item x="144"/>
        <item x="216"/>
        <item x="8"/>
        <item x="69"/>
        <item x="139"/>
        <item x="281"/>
        <item x="121"/>
        <item x="152"/>
        <item x="166"/>
        <item x="286"/>
        <item x="206"/>
        <item x="10"/>
        <item x="320"/>
        <item x="292"/>
        <item x="329"/>
        <item x="129"/>
        <item x="108"/>
        <item x="32"/>
        <item x="225"/>
        <item x="18"/>
        <item x="54"/>
        <item x="29"/>
        <item x="265"/>
        <item x="355"/>
        <item x="60"/>
        <item x="49"/>
        <item x="368"/>
        <item x="98"/>
        <item x="33"/>
        <item x="245"/>
        <item x="75"/>
        <item x="36"/>
        <item x="321"/>
        <item x="130"/>
        <item x="65"/>
        <item x="46"/>
        <item x="255"/>
        <item x="345"/>
        <item x="84"/>
        <item x="247"/>
        <item x="141"/>
        <item x="196"/>
        <item x="107"/>
        <item x="186"/>
        <item x="109"/>
        <item x="122"/>
        <item x="227"/>
        <item x="197"/>
        <item x="251"/>
        <item x="278"/>
        <item x="191"/>
        <item x="177"/>
        <item x="156"/>
        <item x="78"/>
        <item x="93"/>
        <item x="235"/>
        <item x="40"/>
        <item x="397"/>
        <item x="264"/>
        <item x="175"/>
        <item x="199"/>
        <item x="90"/>
        <item x="88"/>
        <item x="380"/>
        <item x="114"/>
        <item x="282"/>
        <item x="273"/>
        <item x="127"/>
        <item x="203"/>
        <item x="63"/>
        <item x="228"/>
        <item x="211"/>
        <item x="154"/>
        <item x="45"/>
        <item x="42"/>
        <item x="374"/>
        <item x="343"/>
        <item x="193"/>
        <item x="92"/>
        <item x="308"/>
        <item x="140"/>
        <item x="260"/>
        <item x="204"/>
        <item x="200"/>
        <item x="61"/>
        <item x="123"/>
        <item x="287"/>
        <item x="261"/>
        <item x="67"/>
        <item x="6"/>
        <item x="276"/>
        <item x="316"/>
        <item x="358"/>
        <item x="233"/>
        <item x="351"/>
        <item x="217"/>
        <item x="220"/>
        <item x="354"/>
        <item x="68"/>
        <item x="55"/>
        <item x="104"/>
        <item x="89"/>
        <item x="315"/>
        <item x="293"/>
        <item x="318"/>
        <item x="306"/>
        <item x="333"/>
        <item x="259"/>
        <item x="82"/>
        <item x="337"/>
        <item x="143"/>
        <item x="202"/>
        <item x="239"/>
        <item x="303"/>
        <item x="284"/>
        <item x="300"/>
        <item x="174"/>
        <item x="188"/>
        <item x="194"/>
        <item x="85"/>
        <item x="257"/>
        <item x="79"/>
        <item x="62"/>
        <item x="0"/>
        <item x="298"/>
        <item x="187"/>
        <item x="19"/>
        <item x="41"/>
        <item x="311"/>
        <item x="294"/>
        <item x="229"/>
        <item x="5"/>
        <item x="138"/>
        <item x="249"/>
        <item x="404"/>
        <item x="301"/>
        <item x="125"/>
        <item x="83"/>
        <item x="222"/>
        <item x="209"/>
        <item x="11"/>
        <item x="153"/>
        <item x="353"/>
        <item x="14"/>
        <item x="297"/>
        <item x="3"/>
        <item x="170"/>
        <item x="119"/>
        <item x="232"/>
        <item x="366"/>
        <item x="81"/>
        <item x="7"/>
        <item x="299"/>
        <item x="324"/>
        <item x="254"/>
        <item x="270"/>
        <item x="285"/>
        <item x="96"/>
        <item x="394"/>
        <item x="159"/>
        <item x="327"/>
        <item x="34"/>
        <item x="31"/>
        <item x="113"/>
        <item x="375"/>
        <item x="99"/>
        <item x="277"/>
        <item x="59"/>
        <item x="252"/>
        <item x="207"/>
        <item x="389"/>
        <item x="9"/>
        <item x="304"/>
        <item x="50"/>
        <item x="342"/>
        <item x="350"/>
        <item x="289"/>
        <item x="163"/>
        <item x="168"/>
        <item x="158"/>
        <item x="64"/>
        <item x="53"/>
        <item x="205"/>
        <item x="145"/>
        <item x="365"/>
        <item x="219"/>
        <item x="87"/>
        <item x="280"/>
        <item x="16"/>
        <item x="236"/>
        <item x="71"/>
        <item x="148"/>
        <item x="28"/>
        <item x="105"/>
        <item x="47"/>
        <item x="157"/>
        <item x="73"/>
        <item x="382"/>
        <item x="263"/>
        <item x="57"/>
        <item x="162"/>
        <item x="124"/>
        <item x="91"/>
        <item x="25"/>
        <item x="171"/>
        <item x="27"/>
        <item x="302"/>
        <item x="24"/>
        <item x="214"/>
        <item x="94"/>
        <item x="208"/>
        <item x="258"/>
        <item x="35"/>
        <item x="167"/>
        <item x="4"/>
        <item x="256"/>
        <item x="172"/>
        <item x="176"/>
        <item x="106"/>
        <item x="2"/>
        <item x="402"/>
        <item x="21"/>
        <item x="307"/>
        <item x="151"/>
        <item x="244"/>
        <item x="178"/>
        <item x="43"/>
        <item x="383"/>
        <item x="70"/>
        <item x="142"/>
        <item x="212"/>
        <item x="111"/>
        <item x="319"/>
        <item x="86"/>
        <item x="136"/>
        <item x="101"/>
        <item x="22"/>
        <item x="317"/>
        <item x="134"/>
        <item x="77"/>
        <item x="378"/>
        <item x="360"/>
        <item x="95"/>
        <item x="135"/>
        <item x="179"/>
        <item x="184"/>
        <item x="97"/>
        <item x="146"/>
        <item x="198"/>
        <item x="356"/>
        <item x="128"/>
        <item x="147"/>
        <item x="161"/>
        <item x="37"/>
        <item x="250"/>
        <item x="348"/>
        <item x="357"/>
        <item x="403"/>
        <item x="238"/>
        <item x="385"/>
        <item x="133"/>
        <item x="132"/>
        <item x="267"/>
        <item x="395"/>
        <item x="384"/>
        <item x="401"/>
        <item x="51"/>
        <item x="386"/>
        <item x="390"/>
        <item x="305"/>
        <item x="15"/>
        <item x="373"/>
        <item x="313"/>
        <item x="100"/>
        <item x="336"/>
        <item x="314"/>
        <item x="52"/>
        <item x="117"/>
        <item x="349"/>
        <item x="164"/>
        <item x="330"/>
        <item x="352"/>
        <item x="381"/>
        <item x="223"/>
        <item x="323"/>
        <item x="391"/>
        <item x="393"/>
        <item x="369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3">
    <field x="24"/>
    <field x="26"/>
    <field x="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No.of Check ins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8944E8-F13E-4FD5-B3F5-7CF322B896F0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nths">
  <location ref="B4:C17" firstHeaderRow="1" firstDataRow="1" firstDataCol="1"/>
  <pivotFields count="27">
    <pivotField showAll="0"/>
    <pivotField dataField="1" showAll="0"/>
    <pivotField axis="axisRow" numFmtId="14" showAll="0">
      <items count="365">
        <item x="61"/>
        <item x="25"/>
        <item x="164"/>
        <item x="325"/>
        <item x="112"/>
        <item x="261"/>
        <item x="18"/>
        <item x="201"/>
        <item x="46"/>
        <item x="217"/>
        <item x="88"/>
        <item x="289"/>
        <item x="23"/>
        <item x="352"/>
        <item x="344"/>
        <item x="297"/>
        <item x="12"/>
        <item x="146"/>
        <item x="78"/>
        <item x="14"/>
        <item x="316"/>
        <item x="320"/>
        <item x="323"/>
        <item x="263"/>
        <item x="119"/>
        <item x="184"/>
        <item x="38"/>
        <item x="299"/>
        <item x="245"/>
        <item x="271"/>
        <item x="311"/>
        <item x="363"/>
        <item x="291"/>
        <item x="81"/>
        <item x="195"/>
        <item x="354"/>
        <item x="253"/>
        <item x="97"/>
        <item x="13"/>
        <item x="28"/>
        <item x="224"/>
        <item x="172"/>
        <item x="72"/>
        <item x="355"/>
        <item x="348"/>
        <item x="199"/>
        <item x="298"/>
        <item x="206"/>
        <item x="209"/>
        <item x="179"/>
        <item x="183"/>
        <item x="128"/>
        <item x="321"/>
        <item x="244"/>
        <item x="273"/>
        <item x="324"/>
        <item x="235"/>
        <item x="84"/>
        <item x="210"/>
        <item x="330"/>
        <item x="284"/>
        <item x="134"/>
        <item x="63"/>
        <item x="156"/>
        <item x="1"/>
        <item x="234"/>
        <item x="208"/>
        <item x="130"/>
        <item x="230"/>
        <item x="193"/>
        <item x="203"/>
        <item x="135"/>
        <item x="192"/>
        <item x="322"/>
        <item x="122"/>
        <item x="140"/>
        <item x="219"/>
        <item x="267"/>
        <item x="50"/>
        <item x="338"/>
        <item x="147"/>
        <item x="274"/>
        <item x="33"/>
        <item x="165"/>
        <item x="113"/>
        <item x="21"/>
        <item x="318"/>
        <item x="137"/>
        <item x="131"/>
        <item x="347"/>
        <item x="270"/>
        <item x="51"/>
        <item x="360"/>
        <item x="265"/>
        <item x="269"/>
        <item x="278"/>
        <item x="143"/>
        <item x="275"/>
        <item x="19"/>
        <item x="257"/>
        <item x="144"/>
        <item x="280"/>
        <item x="248"/>
        <item x="296"/>
        <item x="187"/>
        <item x="66"/>
        <item x="76"/>
        <item x="228"/>
        <item x="161"/>
        <item x="31"/>
        <item x="292"/>
        <item x="295"/>
        <item x="118"/>
        <item x="247"/>
        <item x="242"/>
        <item x="166"/>
        <item x="48"/>
        <item x="80"/>
        <item x="71"/>
        <item x="65"/>
        <item x="310"/>
        <item x="358"/>
        <item x="175"/>
        <item x="8"/>
        <item x="93"/>
        <item x="336"/>
        <item x="268"/>
        <item x="108"/>
        <item x="34"/>
        <item x="10"/>
        <item x="145"/>
        <item x="57"/>
        <item x="260"/>
        <item x="313"/>
        <item x="120"/>
        <item x="329"/>
        <item x="218"/>
        <item x="302"/>
        <item x="306"/>
        <item x="181"/>
        <item x="127"/>
        <item x="155"/>
        <item x="186"/>
        <item x="36"/>
        <item x="189"/>
        <item x="126"/>
        <item x="301"/>
        <item x="214"/>
        <item x="215"/>
        <item x="103"/>
        <item x="204"/>
        <item x="169"/>
        <item x="168"/>
        <item x="285"/>
        <item x="74"/>
        <item x="109"/>
        <item x="188"/>
        <item x="141"/>
        <item x="216"/>
        <item x="85"/>
        <item x="326"/>
        <item x="39"/>
        <item x="42"/>
        <item x="69"/>
        <item x="259"/>
        <item x="211"/>
        <item x="340"/>
        <item x="136"/>
        <item x="202"/>
        <item x="60"/>
        <item x="196"/>
        <item x="197"/>
        <item x="309"/>
        <item x="67"/>
        <item x="138"/>
        <item x="339"/>
        <item x="100"/>
        <item x="86"/>
        <item x="255"/>
        <item x="89"/>
        <item x="332"/>
        <item x="286"/>
        <item x="99"/>
        <item x="96"/>
        <item x="6"/>
        <item x="362"/>
        <item x="226"/>
        <item x="319"/>
        <item x="256"/>
        <item x="283"/>
        <item x="133"/>
        <item x="115"/>
        <item x="353"/>
        <item x="47"/>
        <item x="231"/>
        <item x="341"/>
        <item x="82"/>
        <item x="157"/>
        <item x="233"/>
        <item x="346"/>
        <item x="212"/>
        <item x="178"/>
        <item x="68"/>
        <item x="333"/>
        <item x="87"/>
        <item x="75"/>
        <item x="205"/>
        <item x="239"/>
        <item x="343"/>
        <item x="303"/>
        <item x="345"/>
        <item x="154"/>
        <item x="200"/>
        <item x="238"/>
        <item x="91"/>
        <item x="94"/>
        <item x="117"/>
        <item x="287"/>
        <item x="132"/>
        <item x="167"/>
        <item x="312"/>
        <item x="98"/>
        <item x="158"/>
        <item x="15"/>
        <item x="213"/>
        <item x="293"/>
        <item x="0"/>
        <item x="40"/>
        <item x="232"/>
        <item x="32"/>
        <item x="121"/>
        <item x="294"/>
        <item x="106"/>
        <item x="315"/>
        <item x="314"/>
        <item x="11"/>
        <item x="266"/>
        <item x="185"/>
        <item x="20"/>
        <item x="194"/>
        <item x="90"/>
        <item x="5"/>
        <item x="258"/>
        <item x="83"/>
        <item x="7"/>
        <item x="300"/>
        <item x="250"/>
        <item x="254"/>
        <item x="334"/>
        <item x="77"/>
        <item x="277"/>
        <item x="264"/>
        <item x="220"/>
        <item x="305"/>
        <item x="262"/>
        <item x="56"/>
        <item x="221"/>
        <item x="236"/>
        <item x="279"/>
        <item x="41"/>
        <item x="3"/>
        <item x="190"/>
        <item x="59"/>
        <item x="163"/>
        <item x="52"/>
        <item x="160"/>
        <item x="9"/>
        <item x="139"/>
        <item x="49"/>
        <item x="171"/>
        <item x="252"/>
        <item x="281"/>
        <item x="357"/>
        <item x="182"/>
        <item x="58"/>
        <item x="180"/>
        <item x="308"/>
        <item x="148"/>
        <item x="225"/>
        <item x="176"/>
        <item x="17"/>
        <item x="317"/>
        <item x="64"/>
        <item x="79"/>
        <item x="241"/>
        <item x="45"/>
        <item x="227"/>
        <item x="125"/>
        <item x="114"/>
        <item x="159"/>
        <item x="177"/>
        <item x="26"/>
        <item x="101"/>
        <item x="4"/>
        <item x="356"/>
        <item x="331"/>
        <item x="22"/>
        <item x="92"/>
        <item x="170"/>
        <item x="43"/>
        <item x="124"/>
        <item x="44"/>
        <item x="129"/>
        <item x="70"/>
        <item x="95"/>
        <item x="342"/>
        <item x="104"/>
        <item x="350"/>
        <item x="153"/>
        <item x="116"/>
        <item x="73"/>
        <item x="62"/>
        <item x="288"/>
        <item x="307"/>
        <item x="30"/>
        <item x="349"/>
        <item x="29"/>
        <item x="327"/>
        <item x="222"/>
        <item x="251"/>
        <item x="359"/>
        <item x="223"/>
        <item x="142"/>
        <item x="27"/>
        <item x="35"/>
        <item x="337"/>
        <item x="123"/>
        <item x="276"/>
        <item x="162"/>
        <item x="151"/>
        <item x="53"/>
        <item x="243"/>
        <item x="24"/>
        <item x="2"/>
        <item x="105"/>
        <item x="304"/>
        <item x="290"/>
        <item x="149"/>
        <item x="102"/>
        <item x="107"/>
        <item x="237"/>
        <item x="173"/>
        <item x="152"/>
        <item x="37"/>
        <item x="361"/>
        <item x="207"/>
        <item x="246"/>
        <item x="272"/>
        <item x="54"/>
        <item x="191"/>
        <item x="110"/>
        <item x="229"/>
        <item x="240"/>
        <item x="16"/>
        <item x="328"/>
        <item x="351"/>
        <item x="111"/>
        <item x="282"/>
        <item x="249"/>
        <item x="55"/>
        <item x="198"/>
        <item x="335"/>
        <item x="174"/>
        <item x="150"/>
        <item t="default"/>
      </items>
    </pivotField>
    <pivotField showAll="0"/>
    <pivotField numFmtId="14" showAll="0">
      <items count="403">
        <item x="330"/>
        <item x="360"/>
        <item x="57"/>
        <item x="78"/>
        <item x="400"/>
        <item x="392"/>
        <item x="324"/>
        <item x="45"/>
        <item x="396"/>
        <item x="373"/>
        <item x="115"/>
        <item x="393"/>
        <item x="307"/>
        <item x="235"/>
        <item x="259"/>
        <item x="134"/>
        <item x="17"/>
        <item x="12"/>
        <item x="203"/>
        <item x="391"/>
        <item x="372"/>
        <item x="23"/>
        <item x="364"/>
        <item x="380"/>
        <item x="379"/>
        <item x="246"/>
        <item x="196"/>
        <item x="271"/>
        <item x="294"/>
        <item x="183"/>
        <item x="111"/>
        <item x="376"/>
        <item x="398"/>
        <item x="292"/>
        <item x="266"/>
        <item x="166"/>
        <item x="274"/>
        <item x="371"/>
        <item x="153"/>
        <item x="287"/>
        <item x="177"/>
        <item x="237"/>
        <item x="86"/>
        <item x="37"/>
        <item x="117"/>
        <item x="171"/>
        <item x="245"/>
        <item x="319"/>
        <item x="207"/>
        <item x="220"/>
        <item x="270"/>
        <item x="244"/>
        <item x="30"/>
        <item x="213"/>
        <item x="75"/>
        <item x="353"/>
        <item x="13"/>
        <item x="369"/>
        <item x="381"/>
        <item x="341"/>
        <item x="194"/>
        <item x="273"/>
        <item x="80"/>
        <item x="122"/>
        <item x="128"/>
        <item x="329"/>
        <item x="204"/>
        <item x="187"/>
        <item x="163"/>
        <item x="279"/>
        <item x="267"/>
        <item x="26"/>
        <item x="67"/>
        <item x="1"/>
        <item x="344"/>
        <item x="317"/>
        <item x="293"/>
        <item x="199"/>
        <item x="202"/>
        <item x="188"/>
        <item x="361"/>
        <item x="382"/>
        <item x="135"/>
        <item x="339"/>
        <item x="119"/>
        <item x="359"/>
        <item x="268"/>
        <item x="146"/>
        <item x="130"/>
        <item x="20"/>
        <item x="82"/>
        <item x="231"/>
        <item x="215"/>
        <item x="176"/>
        <item x="401"/>
        <item x="59"/>
        <item x="283"/>
        <item x="139"/>
        <item x="48"/>
        <item x="121"/>
        <item x="284"/>
        <item x="142"/>
        <item x="257"/>
        <item x="154"/>
        <item x="264"/>
        <item x="291"/>
        <item x="248"/>
        <item x="189"/>
        <item x="198"/>
        <item x="346"/>
        <item x="241"/>
        <item x="350"/>
        <item x="375"/>
        <item x="286"/>
        <item x="149"/>
        <item x="357"/>
        <item x="224"/>
        <item x="8"/>
        <item x="209"/>
        <item x="125"/>
        <item x="143"/>
        <item x="71"/>
        <item x="234"/>
        <item x="167"/>
        <item x="190"/>
        <item x="158"/>
        <item x="10"/>
        <item x="314"/>
        <item x="62"/>
        <item x="321"/>
        <item x="109"/>
        <item x="184"/>
        <item x="32"/>
        <item x="285"/>
        <item x="232"/>
        <item x="29"/>
        <item x="211"/>
        <item x="18"/>
        <item x="54"/>
        <item x="141"/>
        <item x="61"/>
        <item x="49"/>
        <item x="112"/>
        <item x="100"/>
        <item x="79"/>
        <item x="33"/>
        <item x="365"/>
        <item x="278"/>
        <item x="74"/>
        <item x="311"/>
        <item x="133"/>
        <item x="47"/>
        <item x="66"/>
        <item x="102"/>
        <item x="281"/>
        <item x="221"/>
        <item x="269"/>
        <item x="107"/>
        <item x="145"/>
        <item x="200"/>
        <item x="110"/>
        <item x="123"/>
        <item x="197"/>
        <item x="205"/>
        <item x="310"/>
        <item x="328"/>
        <item x="180"/>
        <item x="193"/>
        <item x="160"/>
        <item x="302"/>
        <item x="126"/>
        <item x="38"/>
        <item x="242"/>
        <item x="356"/>
        <item x="214"/>
        <item x="261"/>
        <item x="178"/>
        <item x="92"/>
        <item x="289"/>
        <item x="174"/>
        <item x="222"/>
        <item x="116"/>
        <item x="131"/>
        <item x="316"/>
        <item x="64"/>
        <item x="322"/>
        <item x="218"/>
        <item x="282"/>
        <item x="46"/>
        <item x="335"/>
        <item x="181"/>
        <item x="41"/>
        <item x="84"/>
        <item x="301"/>
        <item x="95"/>
        <item x="144"/>
        <item x="210"/>
        <item x="212"/>
        <item x="206"/>
        <item x="124"/>
        <item x="63"/>
        <item x="182"/>
        <item x="192"/>
        <item x="256"/>
        <item x="69"/>
        <item x="334"/>
        <item x="6"/>
        <item x="272"/>
        <item x="240"/>
        <item x="397"/>
        <item x="348"/>
        <item x="355"/>
        <item x="349"/>
        <item x="225"/>
        <item x="227"/>
        <item x="56"/>
        <item x="70"/>
        <item x="105"/>
        <item x="93"/>
        <item x="312"/>
        <item x="325"/>
        <item x="300"/>
        <item x="386"/>
        <item x="327"/>
        <item x="255"/>
        <item x="87"/>
        <item x="208"/>
        <item x="147"/>
        <item x="308"/>
        <item x="332"/>
        <item x="280"/>
        <item x="288"/>
        <item x="223"/>
        <item x="89"/>
        <item x="170"/>
        <item x="331"/>
        <item x="354"/>
        <item x="85"/>
        <item x="228"/>
        <item x="0"/>
        <item x="19"/>
        <item x="39"/>
        <item x="303"/>
        <item x="298"/>
        <item x="236"/>
        <item x="5"/>
        <item x="108"/>
        <item x="140"/>
        <item x="326"/>
        <item x="250"/>
        <item x="265"/>
        <item x="129"/>
        <item x="229"/>
        <item x="88"/>
        <item x="337"/>
        <item x="11"/>
        <item x="304"/>
        <item x="14"/>
        <item x="159"/>
        <item x="370"/>
        <item x="399"/>
        <item x="3"/>
        <item x="81"/>
        <item x="172"/>
        <item x="216"/>
        <item x="7"/>
        <item x="113"/>
        <item x="55"/>
        <item x="275"/>
        <item x="305"/>
        <item x="262"/>
        <item x="252"/>
        <item x="296"/>
        <item x="295"/>
        <item x="98"/>
        <item x="162"/>
        <item x="31"/>
        <item x="34"/>
        <item x="233"/>
        <item x="155"/>
        <item x="76"/>
        <item x="60"/>
        <item x="101"/>
        <item x="313"/>
        <item x="148"/>
        <item x="251"/>
        <item x="258"/>
        <item x="9"/>
        <item x="191"/>
        <item x="50"/>
        <item x="72"/>
        <item x="318"/>
        <item x="238"/>
        <item x="161"/>
        <item x="164"/>
        <item x="65"/>
        <item x="195"/>
        <item x="362"/>
        <item x="150"/>
        <item x="53"/>
        <item x="226"/>
        <item x="276"/>
        <item x="44"/>
        <item x="91"/>
        <item x="16"/>
        <item x="40"/>
        <item x="152"/>
        <item x="363"/>
        <item x="320"/>
        <item x="28"/>
        <item x="43"/>
        <item x="77"/>
        <item x="290"/>
        <item x="260"/>
        <item x="358"/>
        <item x="58"/>
        <item x="127"/>
        <item x="263"/>
        <item x="68"/>
        <item x="94"/>
        <item x="25"/>
        <item x="297"/>
        <item x="377"/>
        <item x="27"/>
        <item x="96"/>
        <item x="345"/>
        <item x="24"/>
        <item x="35"/>
        <item x="169"/>
        <item x="217"/>
        <item x="4"/>
        <item x="309"/>
        <item x="175"/>
        <item x="179"/>
        <item x="378"/>
        <item x="106"/>
        <item x="366"/>
        <item x="21"/>
        <item x="2"/>
        <item x="395"/>
        <item x="336"/>
        <item x="157"/>
        <item x="333"/>
        <item x="247"/>
        <item x="42"/>
        <item x="73"/>
        <item x="114"/>
        <item x="173"/>
        <item x="219"/>
        <item x="338"/>
        <item x="104"/>
        <item x="118"/>
        <item x="90"/>
        <item x="277"/>
        <item x="22"/>
        <item x="138"/>
        <item x="390"/>
        <item x="83"/>
        <item x="156"/>
        <item x="97"/>
        <item x="323"/>
        <item x="186"/>
        <item x="99"/>
        <item x="347"/>
        <item x="151"/>
        <item x="168"/>
        <item x="306"/>
        <item x="239"/>
        <item x="249"/>
        <item x="132"/>
        <item x="254"/>
        <item x="36"/>
        <item x="383"/>
        <item x="342"/>
        <item x="351"/>
        <item x="137"/>
        <item x="384"/>
        <item x="243"/>
        <item x="185"/>
        <item x="136"/>
        <item x="389"/>
        <item x="394"/>
        <item x="51"/>
        <item x="388"/>
        <item x="299"/>
        <item x="253"/>
        <item x="374"/>
        <item x="15"/>
        <item x="103"/>
        <item x="201"/>
        <item x="52"/>
        <item x="120"/>
        <item x="343"/>
        <item x="165"/>
        <item x="230"/>
        <item x="340"/>
        <item x="352"/>
        <item x="385"/>
        <item x="315"/>
        <item x="367"/>
        <item x="387"/>
        <item x="368"/>
        <item t="default"/>
      </items>
    </pivotField>
    <pivotField numFmtId="14" showAll="0">
      <items count="406">
        <item x="341"/>
        <item x="56"/>
        <item x="290"/>
        <item x="74"/>
        <item x="399"/>
        <item x="377"/>
        <item x="44"/>
        <item x="331"/>
        <item x="340"/>
        <item x="361"/>
        <item x="398"/>
        <item x="112"/>
        <item x="400"/>
        <item x="190"/>
        <item x="226"/>
        <item x="17"/>
        <item x="102"/>
        <item x="339"/>
        <item x="12"/>
        <item x="363"/>
        <item x="372"/>
        <item x="275"/>
        <item x="23"/>
        <item x="396"/>
        <item x="332"/>
        <item x="189"/>
        <item x="346"/>
        <item x="110"/>
        <item x="155"/>
        <item x="248"/>
        <item x="253"/>
        <item x="325"/>
        <item x="310"/>
        <item x="165"/>
        <item x="371"/>
        <item x="291"/>
        <item x="376"/>
        <item x="279"/>
        <item x="230"/>
        <item x="149"/>
        <item x="388"/>
        <item x="173"/>
        <item x="80"/>
        <item x="169"/>
        <item x="38"/>
        <item x="115"/>
        <item x="243"/>
        <item x="215"/>
        <item x="213"/>
        <item x="201"/>
        <item x="242"/>
        <item x="347"/>
        <item x="392"/>
        <item x="30"/>
        <item x="72"/>
        <item x="334"/>
        <item x="13"/>
        <item x="237"/>
        <item x="185"/>
        <item x="76"/>
        <item x="328"/>
        <item x="266"/>
        <item x="335"/>
        <item x="120"/>
        <item x="268"/>
        <item x="181"/>
        <item x="160"/>
        <item x="312"/>
        <item x="387"/>
        <item x="379"/>
        <item x="26"/>
        <item x="66"/>
        <item x="1"/>
        <item x="326"/>
        <item x="39"/>
        <item x="231"/>
        <item x="195"/>
        <item x="182"/>
        <item x="241"/>
        <item x="262"/>
        <item x="218"/>
        <item x="364"/>
        <item x="322"/>
        <item x="221"/>
        <item x="131"/>
        <item x="116"/>
        <item x="288"/>
        <item x="362"/>
        <item x="20"/>
        <item x="274"/>
        <item x="126"/>
        <item x="370"/>
        <item x="224"/>
        <item x="309"/>
        <item x="103"/>
        <item x="58"/>
        <item x="344"/>
        <item x="48"/>
        <item x="137"/>
        <item x="295"/>
        <item x="210"/>
        <item x="118"/>
        <item x="338"/>
        <item x="271"/>
        <item x="150"/>
        <item x="269"/>
        <item x="246"/>
        <item x="283"/>
        <item x="183"/>
        <item x="192"/>
        <item x="234"/>
        <item x="296"/>
        <item x="272"/>
        <item x="359"/>
        <item x="240"/>
        <item x="180"/>
        <item x="144"/>
        <item x="216"/>
        <item x="8"/>
        <item x="69"/>
        <item x="139"/>
        <item x="281"/>
        <item x="121"/>
        <item x="152"/>
        <item x="166"/>
        <item x="286"/>
        <item x="206"/>
        <item x="10"/>
        <item x="320"/>
        <item x="292"/>
        <item x="329"/>
        <item x="129"/>
        <item x="108"/>
        <item x="32"/>
        <item x="225"/>
        <item x="18"/>
        <item x="54"/>
        <item x="29"/>
        <item x="265"/>
        <item x="355"/>
        <item x="60"/>
        <item x="49"/>
        <item x="368"/>
        <item x="98"/>
        <item x="33"/>
        <item x="245"/>
        <item x="75"/>
        <item x="36"/>
        <item x="321"/>
        <item x="130"/>
        <item x="65"/>
        <item x="46"/>
        <item x="255"/>
        <item x="345"/>
        <item x="84"/>
        <item x="247"/>
        <item x="141"/>
        <item x="196"/>
        <item x="107"/>
        <item x="186"/>
        <item x="109"/>
        <item x="122"/>
        <item x="227"/>
        <item x="197"/>
        <item x="251"/>
        <item x="278"/>
        <item x="191"/>
        <item x="177"/>
        <item x="156"/>
        <item x="78"/>
        <item x="93"/>
        <item x="235"/>
        <item x="40"/>
        <item x="397"/>
        <item x="264"/>
        <item x="175"/>
        <item x="199"/>
        <item x="90"/>
        <item x="88"/>
        <item x="380"/>
        <item x="114"/>
        <item x="282"/>
        <item x="273"/>
        <item x="127"/>
        <item x="203"/>
        <item x="63"/>
        <item x="228"/>
        <item x="211"/>
        <item x="154"/>
        <item x="45"/>
        <item x="42"/>
        <item x="374"/>
        <item x="343"/>
        <item x="193"/>
        <item x="92"/>
        <item x="308"/>
        <item x="140"/>
        <item x="260"/>
        <item x="204"/>
        <item x="200"/>
        <item x="61"/>
        <item x="123"/>
        <item x="287"/>
        <item x="261"/>
        <item x="67"/>
        <item x="6"/>
        <item x="276"/>
        <item x="316"/>
        <item x="358"/>
        <item x="233"/>
        <item x="351"/>
        <item x="217"/>
        <item x="220"/>
        <item x="354"/>
        <item x="68"/>
        <item x="55"/>
        <item x="104"/>
        <item x="89"/>
        <item x="315"/>
        <item x="293"/>
        <item x="318"/>
        <item x="306"/>
        <item x="333"/>
        <item x="259"/>
        <item x="82"/>
        <item x="337"/>
        <item x="143"/>
        <item x="202"/>
        <item x="239"/>
        <item x="303"/>
        <item x="284"/>
        <item x="300"/>
        <item x="174"/>
        <item x="188"/>
        <item x="194"/>
        <item x="85"/>
        <item x="257"/>
        <item x="79"/>
        <item x="62"/>
        <item x="0"/>
        <item x="298"/>
        <item x="187"/>
        <item x="19"/>
        <item x="41"/>
        <item x="311"/>
        <item x="294"/>
        <item x="229"/>
        <item x="5"/>
        <item x="138"/>
        <item x="249"/>
        <item x="404"/>
        <item x="301"/>
        <item x="125"/>
        <item x="83"/>
        <item x="222"/>
        <item x="209"/>
        <item x="11"/>
        <item x="153"/>
        <item x="353"/>
        <item x="14"/>
        <item x="297"/>
        <item x="3"/>
        <item x="170"/>
        <item x="119"/>
        <item x="232"/>
        <item x="366"/>
        <item x="81"/>
        <item x="7"/>
        <item x="299"/>
        <item x="324"/>
        <item x="254"/>
        <item x="270"/>
        <item x="285"/>
        <item x="96"/>
        <item x="394"/>
        <item x="159"/>
        <item x="327"/>
        <item x="34"/>
        <item x="31"/>
        <item x="113"/>
        <item x="375"/>
        <item x="99"/>
        <item x="277"/>
        <item x="59"/>
        <item x="252"/>
        <item x="207"/>
        <item x="389"/>
        <item x="9"/>
        <item x="304"/>
        <item x="50"/>
        <item x="342"/>
        <item x="350"/>
        <item x="289"/>
        <item x="163"/>
        <item x="168"/>
        <item x="158"/>
        <item x="64"/>
        <item x="53"/>
        <item x="205"/>
        <item x="145"/>
        <item x="365"/>
        <item x="219"/>
        <item x="87"/>
        <item x="280"/>
        <item x="16"/>
        <item x="236"/>
        <item x="71"/>
        <item x="148"/>
        <item x="28"/>
        <item x="105"/>
        <item x="47"/>
        <item x="157"/>
        <item x="73"/>
        <item x="382"/>
        <item x="263"/>
        <item x="57"/>
        <item x="162"/>
        <item x="124"/>
        <item x="91"/>
        <item x="25"/>
        <item x="171"/>
        <item x="27"/>
        <item x="302"/>
        <item x="24"/>
        <item x="214"/>
        <item x="94"/>
        <item x="208"/>
        <item x="258"/>
        <item x="35"/>
        <item x="167"/>
        <item x="4"/>
        <item x="256"/>
        <item x="172"/>
        <item x="176"/>
        <item x="106"/>
        <item x="2"/>
        <item x="402"/>
        <item x="21"/>
        <item x="307"/>
        <item x="151"/>
        <item x="244"/>
        <item x="178"/>
        <item x="43"/>
        <item x="383"/>
        <item x="70"/>
        <item x="142"/>
        <item x="212"/>
        <item x="111"/>
        <item x="319"/>
        <item x="86"/>
        <item x="136"/>
        <item x="101"/>
        <item x="22"/>
        <item x="317"/>
        <item x="134"/>
        <item x="77"/>
        <item x="378"/>
        <item x="360"/>
        <item x="95"/>
        <item x="135"/>
        <item x="179"/>
        <item x="184"/>
        <item x="97"/>
        <item x="146"/>
        <item x="198"/>
        <item x="356"/>
        <item x="128"/>
        <item x="147"/>
        <item x="161"/>
        <item x="37"/>
        <item x="250"/>
        <item x="348"/>
        <item x="357"/>
        <item x="403"/>
        <item x="238"/>
        <item x="385"/>
        <item x="133"/>
        <item x="132"/>
        <item x="267"/>
        <item x="395"/>
        <item x="384"/>
        <item x="401"/>
        <item x="51"/>
        <item x="386"/>
        <item x="390"/>
        <item x="305"/>
        <item x="15"/>
        <item x="373"/>
        <item x="313"/>
        <item x="100"/>
        <item x="336"/>
        <item x="314"/>
        <item x="52"/>
        <item x="117"/>
        <item x="349"/>
        <item x="164"/>
        <item x="330"/>
        <item x="352"/>
        <item x="381"/>
        <item x="223"/>
        <item x="323"/>
        <item x="391"/>
        <item x="393"/>
        <item x="369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3">
    <field x="20"/>
    <field x="19"/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No. of Bookings" fld="1" subtotal="count" baseField="19" baseItem="1"/>
  </dataFields>
  <formats count="2">
    <format dxfId="7">
      <pivotArea field="20" type="button" dataOnly="0" labelOnly="1" outline="0" axis="axisRow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50419-C5DC-41AE-A537-26821D2B9259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21:G24" firstHeaderRow="1" firstDataRow="1" firstDataCol="1"/>
  <pivotFields count="27">
    <pivotField showAll="0"/>
    <pivotField showAll="0"/>
    <pivotField numFmtId="14" showAll="0">
      <items count="365">
        <item x="61"/>
        <item x="25"/>
        <item x="164"/>
        <item x="325"/>
        <item x="112"/>
        <item x="261"/>
        <item x="18"/>
        <item x="201"/>
        <item x="46"/>
        <item x="217"/>
        <item x="88"/>
        <item x="289"/>
        <item x="23"/>
        <item x="352"/>
        <item x="344"/>
        <item x="297"/>
        <item x="12"/>
        <item x="146"/>
        <item x="78"/>
        <item x="14"/>
        <item x="316"/>
        <item x="320"/>
        <item x="323"/>
        <item x="263"/>
        <item x="119"/>
        <item x="184"/>
        <item x="38"/>
        <item x="299"/>
        <item x="245"/>
        <item x="271"/>
        <item x="311"/>
        <item x="363"/>
        <item x="291"/>
        <item x="81"/>
        <item x="195"/>
        <item x="354"/>
        <item x="253"/>
        <item x="97"/>
        <item x="13"/>
        <item x="28"/>
        <item x="224"/>
        <item x="172"/>
        <item x="72"/>
        <item x="355"/>
        <item x="348"/>
        <item x="199"/>
        <item x="298"/>
        <item x="206"/>
        <item x="209"/>
        <item x="179"/>
        <item x="183"/>
        <item x="128"/>
        <item x="321"/>
        <item x="244"/>
        <item x="273"/>
        <item x="324"/>
        <item x="235"/>
        <item x="84"/>
        <item x="210"/>
        <item x="330"/>
        <item x="284"/>
        <item x="134"/>
        <item x="63"/>
        <item x="156"/>
        <item x="1"/>
        <item x="234"/>
        <item x="208"/>
        <item x="130"/>
        <item x="230"/>
        <item x="193"/>
        <item x="203"/>
        <item x="135"/>
        <item x="192"/>
        <item x="322"/>
        <item x="122"/>
        <item x="140"/>
        <item x="219"/>
        <item x="267"/>
        <item x="50"/>
        <item x="338"/>
        <item x="147"/>
        <item x="274"/>
        <item x="33"/>
        <item x="165"/>
        <item x="113"/>
        <item x="21"/>
        <item x="318"/>
        <item x="137"/>
        <item x="131"/>
        <item x="347"/>
        <item x="270"/>
        <item x="51"/>
        <item x="360"/>
        <item x="265"/>
        <item x="269"/>
        <item x="278"/>
        <item x="143"/>
        <item x="275"/>
        <item x="19"/>
        <item x="257"/>
        <item x="144"/>
        <item x="280"/>
        <item x="248"/>
        <item x="296"/>
        <item x="187"/>
        <item x="66"/>
        <item x="76"/>
        <item x="228"/>
        <item x="161"/>
        <item x="31"/>
        <item x="292"/>
        <item x="295"/>
        <item x="118"/>
        <item x="247"/>
        <item x="242"/>
        <item x="166"/>
        <item x="48"/>
        <item x="80"/>
        <item x="71"/>
        <item x="65"/>
        <item x="310"/>
        <item x="358"/>
        <item x="175"/>
        <item x="8"/>
        <item x="93"/>
        <item x="336"/>
        <item x="268"/>
        <item x="108"/>
        <item x="34"/>
        <item x="10"/>
        <item x="145"/>
        <item x="57"/>
        <item x="260"/>
        <item x="313"/>
        <item x="120"/>
        <item x="329"/>
        <item x="218"/>
        <item x="302"/>
        <item x="306"/>
        <item x="181"/>
        <item x="127"/>
        <item x="155"/>
        <item x="186"/>
        <item x="36"/>
        <item x="189"/>
        <item x="126"/>
        <item x="301"/>
        <item x="214"/>
        <item x="215"/>
        <item x="103"/>
        <item x="204"/>
        <item x="169"/>
        <item x="168"/>
        <item x="285"/>
        <item x="74"/>
        <item x="109"/>
        <item x="188"/>
        <item x="141"/>
        <item x="216"/>
        <item x="85"/>
        <item x="326"/>
        <item x="39"/>
        <item x="42"/>
        <item x="69"/>
        <item x="259"/>
        <item x="211"/>
        <item x="340"/>
        <item x="136"/>
        <item x="202"/>
        <item x="60"/>
        <item x="196"/>
        <item x="197"/>
        <item x="309"/>
        <item x="67"/>
        <item x="138"/>
        <item x="339"/>
        <item x="100"/>
        <item x="86"/>
        <item x="255"/>
        <item x="89"/>
        <item x="332"/>
        <item x="286"/>
        <item x="99"/>
        <item x="96"/>
        <item x="6"/>
        <item x="362"/>
        <item x="226"/>
        <item x="319"/>
        <item x="256"/>
        <item x="283"/>
        <item x="133"/>
        <item x="115"/>
        <item x="353"/>
        <item x="47"/>
        <item x="231"/>
        <item x="341"/>
        <item x="82"/>
        <item x="157"/>
        <item x="233"/>
        <item x="346"/>
        <item x="212"/>
        <item x="178"/>
        <item x="68"/>
        <item x="333"/>
        <item x="87"/>
        <item x="75"/>
        <item x="205"/>
        <item x="239"/>
        <item x="343"/>
        <item x="303"/>
        <item x="345"/>
        <item x="154"/>
        <item x="200"/>
        <item x="238"/>
        <item x="91"/>
        <item x="94"/>
        <item x="117"/>
        <item x="287"/>
        <item x="132"/>
        <item x="167"/>
        <item x="312"/>
        <item x="98"/>
        <item x="158"/>
        <item x="15"/>
        <item x="213"/>
        <item x="293"/>
        <item x="0"/>
        <item x="40"/>
        <item x="232"/>
        <item x="32"/>
        <item x="121"/>
        <item x="294"/>
        <item x="106"/>
        <item x="315"/>
        <item x="314"/>
        <item x="11"/>
        <item x="266"/>
        <item x="185"/>
        <item x="20"/>
        <item x="194"/>
        <item x="90"/>
        <item x="5"/>
        <item x="258"/>
        <item x="83"/>
        <item x="7"/>
        <item x="300"/>
        <item x="250"/>
        <item x="254"/>
        <item x="334"/>
        <item x="77"/>
        <item x="277"/>
        <item x="264"/>
        <item x="220"/>
        <item x="305"/>
        <item x="262"/>
        <item x="56"/>
        <item x="221"/>
        <item x="236"/>
        <item x="279"/>
        <item x="41"/>
        <item x="3"/>
        <item x="190"/>
        <item x="59"/>
        <item x="163"/>
        <item x="52"/>
        <item x="160"/>
        <item x="9"/>
        <item x="139"/>
        <item x="49"/>
        <item x="171"/>
        <item x="252"/>
        <item x="281"/>
        <item x="357"/>
        <item x="182"/>
        <item x="58"/>
        <item x="180"/>
        <item x="308"/>
        <item x="148"/>
        <item x="225"/>
        <item x="176"/>
        <item x="17"/>
        <item x="317"/>
        <item x="64"/>
        <item x="79"/>
        <item x="241"/>
        <item x="45"/>
        <item x="227"/>
        <item x="125"/>
        <item x="114"/>
        <item x="159"/>
        <item x="177"/>
        <item x="26"/>
        <item x="101"/>
        <item x="4"/>
        <item x="356"/>
        <item x="331"/>
        <item x="22"/>
        <item x="92"/>
        <item x="170"/>
        <item x="43"/>
        <item x="124"/>
        <item x="44"/>
        <item x="129"/>
        <item x="70"/>
        <item x="95"/>
        <item x="342"/>
        <item x="104"/>
        <item x="350"/>
        <item x="153"/>
        <item x="116"/>
        <item x="73"/>
        <item x="62"/>
        <item x="288"/>
        <item x="307"/>
        <item x="30"/>
        <item x="349"/>
        <item x="29"/>
        <item x="327"/>
        <item x="222"/>
        <item x="251"/>
        <item x="359"/>
        <item x="223"/>
        <item x="142"/>
        <item x="27"/>
        <item x="35"/>
        <item x="337"/>
        <item x="123"/>
        <item x="276"/>
        <item x="162"/>
        <item x="151"/>
        <item x="53"/>
        <item x="243"/>
        <item x="24"/>
        <item x="2"/>
        <item x="105"/>
        <item x="304"/>
        <item x="290"/>
        <item x="149"/>
        <item x="102"/>
        <item x="107"/>
        <item x="237"/>
        <item x="173"/>
        <item x="152"/>
        <item x="37"/>
        <item x="361"/>
        <item x="207"/>
        <item x="246"/>
        <item x="272"/>
        <item x="54"/>
        <item x="191"/>
        <item x="110"/>
        <item x="229"/>
        <item x="240"/>
        <item x="16"/>
        <item x="328"/>
        <item x="351"/>
        <item x="111"/>
        <item x="282"/>
        <item x="249"/>
        <item x="55"/>
        <item x="198"/>
        <item x="335"/>
        <item x="174"/>
        <item x="150"/>
        <item t="default"/>
      </items>
    </pivotField>
    <pivotField showAll="0"/>
    <pivotField numFmtId="14" showAll="0">
      <items count="403">
        <item x="330"/>
        <item x="360"/>
        <item x="57"/>
        <item x="78"/>
        <item x="400"/>
        <item x="392"/>
        <item x="324"/>
        <item x="45"/>
        <item x="396"/>
        <item x="373"/>
        <item x="115"/>
        <item x="393"/>
        <item x="307"/>
        <item x="235"/>
        <item x="259"/>
        <item x="134"/>
        <item x="17"/>
        <item x="12"/>
        <item x="203"/>
        <item x="391"/>
        <item x="372"/>
        <item x="23"/>
        <item x="364"/>
        <item x="380"/>
        <item x="379"/>
        <item x="246"/>
        <item x="196"/>
        <item x="271"/>
        <item x="294"/>
        <item x="183"/>
        <item x="111"/>
        <item x="376"/>
        <item x="398"/>
        <item x="292"/>
        <item x="266"/>
        <item x="166"/>
        <item x="274"/>
        <item x="371"/>
        <item x="153"/>
        <item x="287"/>
        <item x="177"/>
        <item x="237"/>
        <item x="86"/>
        <item x="37"/>
        <item x="117"/>
        <item x="171"/>
        <item x="245"/>
        <item x="319"/>
        <item x="207"/>
        <item x="220"/>
        <item x="270"/>
        <item x="244"/>
        <item x="30"/>
        <item x="213"/>
        <item x="75"/>
        <item x="353"/>
        <item x="13"/>
        <item x="369"/>
        <item x="381"/>
        <item x="341"/>
        <item x="194"/>
        <item x="273"/>
        <item x="80"/>
        <item x="122"/>
        <item x="128"/>
        <item x="329"/>
        <item x="204"/>
        <item x="187"/>
        <item x="163"/>
        <item x="279"/>
        <item x="267"/>
        <item x="26"/>
        <item x="67"/>
        <item x="1"/>
        <item x="344"/>
        <item x="317"/>
        <item x="293"/>
        <item x="199"/>
        <item x="202"/>
        <item x="188"/>
        <item x="361"/>
        <item x="382"/>
        <item x="135"/>
        <item x="339"/>
        <item x="119"/>
        <item x="359"/>
        <item x="268"/>
        <item x="146"/>
        <item x="130"/>
        <item x="20"/>
        <item x="82"/>
        <item x="231"/>
        <item x="215"/>
        <item x="176"/>
        <item x="401"/>
        <item x="59"/>
        <item x="283"/>
        <item x="139"/>
        <item x="48"/>
        <item x="121"/>
        <item x="284"/>
        <item x="142"/>
        <item x="257"/>
        <item x="154"/>
        <item x="264"/>
        <item x="291"/>
        <item x="248"/>
        <item x="189"/>
        <item x="198"/>
        <item x="346"/>
        <item x="241"/>
        <item x="350"/>
        <item x="375"/>
        <item x="286"/>
        <item x="149"/>
        <item x="357"/>
        <item x="224"/>
        <item x="8"/>
        <item x="209"/>
        <item x="125"/>
        <item x="143"/>
        <item x="71"/>
        <item x="234"/>
        <item x="167"/>
        <item x="190"/>
        <item x="158"/>
        <item x="10"/>
        <item x="314"/>
        <item x="62"/>
        <item x="321"/>
        <item x="109"/>
        <item x="184"/>
        <item x="32"/>
        <item x="285"/>
        <item x="232"/>
        <item x="29"/>
        <item x="211"/>
        <item x="18"/>
        <item x="54"/>
        <item x="141"/>
        <item x="61"/>
        <item x="49"/>
        <item x="112"/>
        <item x="100"/>
        <item x="79"/>
        <item x="33"/>
        <item x="365"/>
        <item x="278"/>
        <item x="74"/>
        <item x="311"/>
        <item x="133"/>
        <item x="47"/>
        <item x="66"/>
        <item x="102"/>
        <item x="281"/>
        <item x="221"/>
        <item x="269"/>
        <item x="107"/>
        <item x="145"/>
        <item x="200"/>
        <item x="110"/>
        <item x="123"/>
        <item x="197"/>
        <item x="205"/>
        <item x="310"/>
        <item x="328"/>
        <item x="180"/>
        <item x="193"/>
        <item x="160"/>
        <item x="302"/>
        <item x="126"/>
        <item x="38"/>
        <item x="242"/>
        <item x="356"/>
        <item x="214"/>
        <item x="261"/>
        <item x="178"/>
        <item x="92"/>
        <item x="289"/>
        <item x="174"/>
        <item x="222"/>
        <item x="116"/>
        <item x="131"/>
        <item x="316"/>
        <item x="64"/>
        <item x="322"/>
        <item x="218"/>
        <item x="282"/>
        <item x="46"/>
        <item x="335"/>
        <item x="181"/>
        <item x="41"/>
        <item x="84"/>
        <item x="301"/>
        <item x="95"/>
        <item x="144"/>
        <item x="210"/>
        <item x="212"/>
        <item x="206"/>
        <item x="124"/>
        <item x="63"/>
        <item x="182"/>
        <item x="192"/>
        <item x="256"/>
        <item x="69"/>
        <item x="334"/>
        <item x="6"/>
        <item x="272"/>
        <item x="240"/>
        <item x="397"/>
        <item x="348"/>
        <item x="355"/>
        <item x="349"/>
        <item x="225"/>
        <item x="227"/>
        <item x="56"/>
        <item x="70"/>
        <item x="105"/>
        <item x="93"/>
        <item x="312"/>
        <item x="325"/>
        <item x="300"/>
        <item x="386"/>
        <item x="327"/>
        <item x="255"/>
        <item x="87"/>
        <item x="208"/>
        <item x="147"/>
        <item x="308"/>
        <item x="332"/>
        <item x="280"/>
        <item x="288"/>
        <item x="223"/>
        <item x="89"/>
        <item x="170"/>
        <item x="331"/>
        <item x="354"/>
        <item x="85"/>
        <item x="228"/>
        <item x="0"/>
        <item x="19"/>
        <item x="39"/>
        <item x="303"/>
        <item x="298"/>
        <item x="236"/>
        <item x="5"/>
        <item x="108"/>
        <item x="140"/>
        <item x="326"/>
        <item x="250"/>
        <item x="265"/>
        <item x="129"/>
        <item x="229"/>
        <item x="88"/>
        <item x="337"/>
        <item x="11"/>
        <item x="304"/>
        <item x="14"/>
        <item x="159"/>
        <item x="370"/>
        <item x="399"/>
        <item x="3"/>
        <item x="81"/>
        <item x="172"/>
        <item x="216"/>
        <item x="7"/>
        <item x="113"/>
        <item x="55"/>
        <item x="275"/>
        <item x="305"/>
        <item x="262"/>
        <item x="252"/>
        <item x="296"/>
        <item x="295"/>
        <item x="98"/>
        <item x="162"/>
        <item x="31"/>
        <item x="34"/>
        <item x="233"/>
        <item x="155"/>
        <item x="76"/>
        <item x="60"/>
        <item x="101"/>
        <item x="313"/>
        <item x="148"/>
        <item x="251"/>
        <item x="258"/>
        <item x="9"/>
        <item x="191"/>
        <item x="50"/>
        <item x="72"/>
        <item x="318"/>
        <item x="238"/>
        <item x="161"/>
        <item x="164"/>
        <item x="65"/>
        <item x="195"/>
        <item x="362"/>
        <item x="150"/>
        <item x="53"/>
        <item x="226"/>
        <item x="276"/>
        <item x="44"/>
        <item x="91"/>
        <item x="16"/>
        <item x="40"/>
        <item x="152"/>
        <item x="363"/>
        <item x="320"/>
        <item x="28"/>
        <item x="43"/>
        <item x="77"/>
        <item x="290"/>
        <item x="260"/>
        <item x="358"/>
        <item x="58"/>
        <item x="127"/>
        <item x="263"/>
        <item x="68"/>
        <item x="94"/>
        <item x="25"/>
        <item x="297"/>
        <item x="377"/>
        <item x="27"/>
        <item x="96"/>
        <item x="345"/>
        <item x="24"/>
        <item x="35"/>
        <item x="169"/>
        <item x="217"/>
        <item x="4"/>
        <item x="309"/>
        <item x="175"/>
        <item x="179"/>
        <item x="378"/>
        <item x="106"/>
        <item x="366"/>
        <item x="21"/>
        <item x="2"/>
        <item x="395"/>
        <item x="336"/>
        <item x="157"/>
        <item x="333"/>
        <item x="247"/>
        <item x="42"/>
        <item x="73"/>
        <item x="114"/>
        <item x="173"/>
        <item x="219"/>
        <item x="338"/>
        <item x="104"/>
        <item x="118"/>
        <item x="90"/>
        <item x="277"/>
        <item x="22"/>
        <item x="138"/>
        <item x="390"/>
        <item x="83"/>
        <item x="156"/>
        <item x="97"/>
        <item x="323"/>
        <item x="186"/>
        <item x="99"/>
        <item x="347"/>
        <item x="151"/>
        <item x="168"/>
        <item x="306"/>
        <item x="239"/>
        <item x="249"/>
        <item x="132"/>
        <item x="254"/>
        <item x="36"/>
        <item x="383"/>
        <item x="342"/>
        <item x="351"/>
        <item x="137"/>
        <item x="384"/>
        <item x="243"/>
        <item x="185"/>
        <item x="136"/>
        <item x="389"/>
        <item x="394"/>
        <item x="51"/>
        <item x="388"/>
        <item x="299"/>
        <item x="253"/>
        <item x="374"/>
        <item x="15"/>
        <item x="103"/>
        <item x="201"/>
        <item x="52"/>
        <item x="120"/>
        <item x="343"/>
        <item x="165"/>
        <item x="230"/>
        <item x="340"/>
        <item x="352"/>
        <item x="385"/>
        <item x="315"/>
        <item x="367"/>
        <item x="387"/>
        <item x="368"/>
        <item t="default"/>
      </items>
    </pivotField>
    <pivotField numFmtId="14" showAll="0">
      <items count="406">
        <item x="341"/>
        <item x="56"/>
        <item x="290"/>
        <item x="74"/>
        <item x="399"/>
        <item x="377"/>
        <item x="44"/>
        <item x="331"/>
        <item x="340"/>
        <item x="361"/>
        <item x="398"/>
        <item x="112"/>
        <item x="400"/>
        <item x="190"/>
        <item x="226"/>
        <item x="17"/>
        <item x="102"/>
        <item x="339"/>
        <item x="12"/>
        <item x="363"/>
        <item x="372"/>
        <item x="275"/>
        <item x="23"/>
        <item x="396"/>
        <item x="332"/>
        <item x="189"/>
        <item x="346"/>
        <item x="110"/>
        <item x="155"/>
        <item x="248"/>
        <item x="253"/>
        <item x="325"/>
        <item x="310"/>
        <item x="165"/>
        <item x="371"/>
        <item x="291"/>
        <item x="376"/>
        <item x="279"/>
        <item x="230"/>
        <item x="149"/>
        <item x="388"/>
        <item x="173"/>
        <item x="80"/>
        <item x="169"/>
        <item x="38"/>
        <item x="115"/>
        <item x="243"/>
        <item x="215"/>
        <item x="213"/>
        <item x="201"/>
        <item x="242"/>
        <item x="347"/>
        <item x="392"/>
        <item x="30"/>
        <item x="72"/>
        <item x="334"/>
        <item x="13"/>
        <item x="237"/>
        <item x="185"/>
        <item x="76"/>
        <item x="328"/>
        <item x="266"/>
        <item x="335"/>
        <item x="120"/>
        <item x="268"/>
        <item x="181"/>
        <item x="160"/>
        <item x="312"/>
        <item x="387"/>
        <item x="379"/>
        <item x="26"/>
        <item x="66"/>
        <item x="1"/>
        <item x="326"/>
        <item x="39"/>
        <item x="231"/>
        <item x="195"/>
        <item x="182"/>
        <item x="241"/>
        <item x="262"/>
        <item x="218"/>
        <item x="364"/>
        <item x="322"/>
        <item x="221"/>
        <item x="131"/>
        <item x="116"/>
        <item x="288"/>
        <item x="362"/>
        <item x="20"/>
        <item x="274"/>
        <item x="126"/>
        <item x="370"/>
        <item x="224"/>
        <item x="309"/>
        <item x="103"/>
        <item x="58"/>
        <item x="344"/>
        <item x="48"/>
        <item x="137"/>
        <item x="295"/>
        <item x="210"/>
        <item x="118"/>
        <item x="338"/>
        <item x="271"/>
        <item x="150"/>
        <item x="269"/>
        <item x="246"/>
        <item x="283"/>
        <item x="183"/>
        <item x="192"/>
        <item x="234"/>
        <item x="296"/>
        <item x="272"/>
        <item x="359"/>
        <item x="240"/>
        <item x="180"/>
        <item x="144"/>
        <item x="216"/>
        <item x="8"/>
        <item x="69"/>
        <item x="139"/>
        <item x="281"/>
        <item x="121"/>
        <item x="152"/>
        <item x="166"/>
        <item x="286"/>
        <item x="206"/>
        <item x="10"/>
        <item x="320"/>
        <item x="292"/>
        <item x="329"/>
        <item x="129"/>
        <item x="108"/>
        <item x="32"/>
        <item x="225"/>
        <item x="18"/>
        <item x="54"/>
        <item x="29"/>
        <item x="265"/>
        <item x="355"/>
        <item x="60"/>
        <item x="49"/>
        <item x="368"/>
        <item x="98"/>
        <item x="33"/>
        <item x="245"/>
        <item x="75"/>
        <item x="36"/>
        <item x="321"/>
        <item x="130"/>
        <item x="65"/>
        <item x="46"/>
        <item x="255"/>
        <item x="345"/>
        <item x="84"/>
        <item x="247"/>
        <item x="141"/>
        <item x="196"/>
        <item x="107"/>
        <item x="186"/>
        <item x="109"/>
        <item x="122"/>
        <item x="227"/>
        <item x="197"/>
        <item x="251"/>
        <item x="278"/>
        <item x="191"/>
        <item x="177"/>
        <item x="156"/>
        <item x="78"/>
        <item x="93"/>
        <item x="235"/>
        <item x="40"/>
        <item x="397"/>
        <item x="264"/>
        <item x="175"/>
        <item x="199"/>
        <item x="90"/>
        <item x="88"/>
        <item x="380"/>
        <item x="114"/>
        <item x="282"/>
        <item x="273"/>
        <item x="127"/>
        <item x="203"/>
        <item x="63"/>
        <item x="228"/>
        <item x="211"/>
        <item x="154"/>
        <item x="45"/>
        <item x="42"/>
        <item x="374"/>
        <item x="343"/>
        <item x="193"/>
        <item x="92"/>
        <item x="308"/>
        <item x="140"/>
        <item x="260"/>
        <item x="204"/>
        <item x="200"/>
        <item x="61"/>
        <item x="123"/>
        <item x="287"/>
        <item x="261"/>
        <item x="67"/>
        <item x="6"/>
        <item x="276"/>
        <item x="316"/>
        <item x="358"/>
        <item x="233"/>
        <item x="351"/>
        <item x="217"/>
        <item x="220"/>
        <item x="354"/>
        <item x="68"/>
        <item x="55"/>
        <item x="104"/>
        <item x="89"/>
        <item x="315"/>
        <item x="293"/>
        <item x="318"/>
        <item x="306"/>
        <item x="333"/>
        <item x="259"/>
        <item x="82"/>
        <item x="337"/>
        <item x="143"/>
        <item x="202"/>
        <item x="239"/>
        <item x="303"/>
        <item x="284"/>
        <item x="300"/>
        <item x="174"/>
        <item x="188"/>
        <item x="194"/>
        <item x="85"/>
        <item x="257"/>
        <item x="79"/>
        <item x="62"/>
        <item x="0"/>
        <item x="298"/>
        <item x="187"/>
        <item x="19"/>
        <item x="41"/>
        <item x="311"/>
        <item x="294"/>
        <item x="229"/>
        <item x="5"/>
        <item x="138"/>
        <item x="249"/>
        <item x="404"/>
        <item x="301"/>
        <item x="125"/>
        <item x="83"/>
        <item x="222"/>
        <item x="209"/>
        <item x="11"/>
        <item x="153"/>
        <item x="353"/>
        <item x="14"/>
        <item x="297"/>
        <item x="3"/>
        <item x="170"/>
        <item x="119"/>
        <item x="232"/>
        <item x="366"/>
        <item x="81"/>
        <item x="7"/>
        <item x="299"/>
        <item x="324"/>
        <item x="254"/>
        <item x="270"/>
        <item x="285"/>
        <item x="96"/>
        <item x="394"/>
        <item x="159"/>
        <item x="327"/>
        <item x="34"/>
        <item x="31"/>
        <item x="113"/>
        <item x="375"/>
        <item x="99"/>
        <item x="277"/>
        <item x="59"/>
        <item x="252"/>
        <item x="207"/>
        <item x="389"/>
        <item x="9"/>
        <item x="304"/>
        <item x="50"/>
        <item x="342"/>
        <item x="350"/>
        <item x="289"/>
        <item x="163"/>
        <item x="168"/>
        <item x="158"/>
        <item x="64"/>
        <item x="53"/>
        <item x="205"/>
        <item x="145"/>
        <item x="365"/>
        <item x="219"/>
        <item x="87"/>
        <item x="280"/>
        <item x="16"/>
        <item x="236"/>
        <item x="71"/>
        <item x="148"/>
        <item x="28"/>
        <item x="105"/>
        <item x="47"/>
        <item x="157"/>
        <item x="73"/>
        <item x="382"/>
        <item x="263"/>
        <item x="57"/>
        <item x="162"/>
        <item x="124"/>
        <item x="91"/>
        <item x="25"/>
        <item x="171"/>
        <item x="27"/>
        <item x="302"/>
        <item x="24"/>
        <item x="214"/>
        <item x="94"/>
        <item x="208"/>
        <item x="258"/>
        <item x="35"/>
        <item x="167"/>
        <item x="4"/>
        <item x="256"/>
        <item x="172"/>
        <item x="176"/>
        <item x="106"/>
        <item x="2"/>
        <item x="402"/>
        <item x="21"/>
        <item x="307"/>
        <item x="151"/>
        <item x="244"/>
        <item x="178"/>
        <item x="43"/>
        <item x="383"/>
        <item x="70"/>
        <item x="142"/>
        <item x="212"/>
        <item x="111"/>
        <item x="319"/>
        <item x="86"/>
        <item x="136"/>
        <item x="101"/>
        <item x="22"/>
        <item x="317"/>
        <item x="134"/>
        <item x="77"/>
        <item x="378"/>
        <item x="360"/>
        <item x="95"/>
        <item x="135"/>
        <item x="179"/>
        <item x="184"/>
        <item x="97"/>
        <item x="146"/>
        <item x="198"/>
        <item x="356"/>
        <item x="128"/>
        <item x="147"/>
        <item x="161"/>
        <item x="37"/>
        <item x="250"/>
        <item x="348"/>
        <item x="357"/>
        <item x="403"/>
        <item x="238"/>
        <item x="385"/>
        <item x="133"/>
        <item x="132"/>
        <item x="267"/>
        <item x="395"/>
        <item x="384"/>
        <item x="401"/>
        <item x="51"/>
        <item x="386"/>
        <item x="390"/>
        <item x="305"/>
        <item x="15"/>
        <item x="373"/>
        <item x="313"/>
        <item x="100"/>
        <item x="336"/>
        <item x="314"/>
        <item x="52"/>
        <item x="117"/>
        <item x="349"/>
        <item x="164"/>
        <item x="330"/>
        <item x="352"/>
        <item x="381"/>
        <item x="223"/>
        <item x="323"/>
        <item x="391"/>
        <item x="393"/>
        <item x="369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3">
        <item x="0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7"/>
  </rowFields>
  <rowItems count="3">
    <i>
      <x/>
    </i>
    <i>
      <x v="1"/>
    </i>
    <i t="grand">
      <x/>
    </i>
  </rowItems>
  <colItems count="1">
    <i/>
  </colItems>
  <dataFields count="1">
    <dataField name="Count of Canceled" fld="16" subtotal="count" baseField="1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244F26-9B8C-4ADF-9F4A-D3FA1E90ABC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  ">
  <location ref="B21:D27" firstHeaderRow="0" firstDataRow="1" firstDataCol="1"/>
  <pivotFields count="27">
    <pivotField showAll="0"/>
    <pivotField showAll="0"/>
    <pivotField numFmtId="14" showAll="0">
      <items count="365">
        <item x="61"/>
        <item x="25"/>
        <item x="164"/>
        <item x="325"/>
        <item x="112"/>
        <item x="261"/>
        <item x="18"/>
        <item x="201"/>
        <item x="46"/>
        <item x="217"/>
        <item x="88"/>
        <item x="289"/>
        <item x="23"/>
        <item x="352"/>
        <item x="344"/>
        <item x="297"/>
        <item x="12"/>
        <item x="146"/>
        <item x="78"/>
        <item x="14"/>
        <item x="316"/>
        <item x="320"/>
        <item x="323"/>
        <item x="263"/>
        <item x="119"/>
        <item x="184"/>
        <item x="38"/>
        <item x="299"/>
        <item x="245"/>
        <item x="271"/>
        <item x="311"/>
        <item x="363"/>
        <item x="291"/>
        <item x="81"/>
        <item x="195"/>
        <item x="354"/>
        <item x="253"/>
        <item x="97"/>
        <item x="13"/>
        <item x="28"/>
        <item x="224"/>
        <item x="172"/>
        <item x="72"/>
        <item x="355"/>
        <item x="348"/>
        <item x="199"/>
        <item x="298"/>
        <item x="206"/>
        <item x="209"/>
        <item x="179"/>
        <item x="183"/>
        <item x="128"/>
        <item x="321"/>
        <item x="244"/>
        <item x="273"/>
        <item x="324"/>
        <item x="235"/>
        <item x="84"/>
        <item x="210"/>
        <item x="330"/>
        <item x="284"/>
        <item x="134"/>
        <item x="63"/>
        <item x="156"/>
        <item x="1"/>
        <item x="234"/>
        <item x="208"/>
        <item x="130"/>
        <item x="230"/>
        <item x="193"/>
        <item x="203"/>
        <item x="135"/>
        <item x="192"/>
        <item x="322"/>
        <item x="122"/>
        <item x="140"/>
        <item x="219"/>
        <item x="267"/>
        <item x="50"/>
        <item x="338"/>
        <item x="147"/>
        <item x="274"/>
        <item x="33"/>
        <item x="165"/>
        <item x="113"/>
        <item x="21"/>
        <item x="318"/>
        <item x="137"/>
        <item x="131"/>
        <item x="347"/>
        <item x="270"/>
        <item x="51"/>
        <item x="360"/>
        <item x="265"/>
        <item x="269"/>
        <item x="278"/>
        <item x="143"/>
        <item x="275"/>
        <item x="19"/>
        <item x="257"/>
        <item x="144"/>
        <item x="280"/>
        <item x="248"/>
        <item x="296"/>
        <item x="187"/>
        <item x="66"/>
        <item x="76"/>
        <item x="228"/>
        <item x="161"/>
        <item x="31"/>
        <item x="292"/>
        <item x="295"/>
        <item x="118"/>
        <item x="247"/>
        <item x="242"/>
        <item x="166"/>
        <item x="48"/>
        <item x="80"/>
        <item x="71"/>
        <item x="65"/>
        <item x="310"/>
        <item x="358"/>
        <item x="175"/>
        <item x="8"/>
        <item x="93"/>
        <item x="336"/>
        <item x="268"/>
        <item x="108"/>
        <item x="34"/>
        <item x="10"/>
        <item x="145"/>
        <item x="57"/>
        <item x="260"/>
        <item x="313"/>
        <item x="120"/>
        <item x="329"/>
        <item x="218"/>
        <item x="302"/>
        <item x="306"/>
        <item x="181"/>
        <item x="127"/>
        <item x="155"/>
        <item x="186"/>
        <item x="36"/>
        <item x="189"/>
        <item x="126"/>
        <item x="301"/>
        <item x="214"/>
        <item x="215"/>
        <item x="103"/>
        <item x="204"/>
        <item x="169"/>
        <item x="168"/>
        <item x="285"/>
        <item x="74"/>
        <item x="109"/>
        <item x="188"/>
        <item x="141"/>
        <item x="216"/>
        <item x="85"/>
        <item x="326"/>
        <item x="39"/>
        <item x="42"/>
        <item x="69"/>
        <item x="259"/>
        <item x="211"/>
        <item x="340"/>
        <item x="136"/>
        <item x="202"/>
        <item x="60"/>
        <item x="196"/>
        <item x="197"/>
        <item x="309"/>
        <item x="67"/>
        <item x="138"/>
        <item x="339"/>
        <item x="100"/>
        <item x="86"/>
        <item x="255"/>
        <item x="89"/>
        <item x="332"/>
        <item x="286"/>
        <item x="99"/>
        <item x="96"/>
        <item x="6"/>
        <item x="362"/>
        <item x="226"/>
        <item x="319"/>
        <item x="256"/>
        <item x="283"/>
        <item x="133"/>
        <item x="115"/>
        <item x="353"/>
        <item x="47"/>
        <item x="231"/>
        <item x="341"/>
        <item x="82"/>
        <item x="157"/>
        <item x="233"/>
        <item x="346"/>
        <item x="212"/>
        <item x="178"/>
        <item x="68"/>
        <item x="333"/>
        <item x="87"/>
        <item x="75"/>
        <item x="205"/>
        <item x="239"/>
        <item x="343"/>
        <item x="303"/>
        <item x="345"/>
        <item x="154"/>
        <item x="200"/>
        <item x="238"/>
        <item x="91"/>
        <item x="94"/>
        <item x="117"/>
        <item x="287"/>
        <item x="132"/>
        <item x="167"/>
        <item x="312"/>
        <item x="98"/>
        <item x="158"/>
        <item x="15"/>
        <item x="213"/>
        <item x="293"/>
        <item x="0"/>
        <item x="40"/>
        <item x="232"/>
        <item x="32"/>
        <item x="121"/>
        <item x="294"/>
        <item x="106"/>
        <item x="315"/>
        <item x="314"/>
        <item x="11"/>
        <item x="266"/>
        <item x="185"/>
        <item x="20"/>
        <item x="194"/>
        <item x="90"/>
        <item x="5"/>
        <item x="258"/>
        <item x="83"/>
        <item x="7"/>
        <item x="300"/>
        <item x="250"/>
        <item x="254"/>
        <item x="334"/>
        <item x="77"/>
        <item x="277"/>
        <item x="264"/>
        <item x="220"/>
        <item x="305"/>
        <item x="262"/>
        <item x="56"/>
        <item x="221"/>
        <item x="236"/>
        <item x="279"/>
        <item x="41"/>
        <item x="3"/>
        <item x="190"/>
        <item x="59"/>
        <item x="163"/>
        <item x="52"/>
        <item x="160"/>
        <item x="9"/>
        <item x="139"/>
        <item x="49"/>
        <item x="171"/>
        <item x="252"/>
        <item x="281"/>
        <item x="357"/>
        <item x="182"/>
        <item x="58"/>
        <item x="180"/>
        <item x="308"/>
        <item x="148"/>
        <item x="225"/>
        <item x="176"/>
        <item x="17"/>
        <item x="317"/>
        <item x="64"/>
        <item x="79"/>
        <item x="241"/>
        <item x="45"/>
        <item x="227"/>
        <item x="125"/>
        <item x="114"/>
        <item x="159"/>
        <item x="177"/>
        <item x="26"/>
        <item x="101"/>
        <item x="4"/>
        <item x="356"/>
        <item x="331"/>
        <item x="22"/>
        <item x="92"/>
        <item x="170"/>
        <item x="43"/>
        <item x="124"/>
        <item x="44"/>
        <item x="129"/>
        <item x="70"/>
        <item x="95"/>
        <item x="342"/>
        <item x="104"/>
        <item x="350"/>
        <item x="153"/>
        <item x="116"/>
        <item x="73"/>
        <item x="62"/>
        <item x="288"/>
        <item x="307"/>
        <item x="30"/>
        <item x="349"/>
        <item x="29"/>
        <item x="327"/>
        <item x="222"/>
        <item x="251"/>
        <item x="359"/>
        <item x="223"/>
        <item x="142"/>
        <item x="27"/>
        <item x="35"/>
        <item x="337"/>
        <item x="123"/>
        <item x="276"/>
        <item x="162"/>
        <item x="151"/>
        <item x="53"/>
        <item x="243"/>
        <item x="24"/>
        <item x="2"/>
        <item x="105"/>
        <item x="304"/>
        <item x="290"/>
        <item x="149"/>
        <item x="102"/>
        <item x="107"/>
        <item x="237"/>
        <item x="173"/>
        <item x="152"/>
        <item x="37"/>
        <item x="361"/>
        <item x="207"/>
        <item x="246"/>
        <item x="272"/>
        <item x="54"/>
        <item x="191"/>
        <item x="110"/>
        <item x="229"/>
        <item x="240"/>
        <item x="16"/>
        <item x="328"/>
        <item x="351"/>
        <item x="111"/>
        <item x="282"/>
        <item x="249"/>
        <item x="55"/>
        <item x="198"/>
        <item x="335"/>
        <item x="174"/>
        <item x="150"/>
        <item t="default"/>
      </items>
    </pivotField>
    <pivotField showAll="0"/>
    <pivotField numFmtId="14" showAll="0">
      <items count="403">
        <item x="330"/>
        <item x="360"/>
        <item x="57"/>
        <item x="78"/>
        <item x="400"/>
        <item x="392"/>
        <item x="324"/>
        <item x="45"/>
        <item x="396"/>
        <item x="373"/>
        <item x="115"/>
        <item x="393"/>
        <item x="307"/>
        <item x="235"/>
        <item x="259"/>
        <item x="134"/>
        <item x="17"/>
        <item x="12"/>
        <item x="203"/>
        <item x="391"/>
        <item x="372"/>
        <item x="23"/>
        <item x="364"/>
        <item x="380"/>
        <item x="379"/>
        <item x="246"/>
        <item x="196"/>
        <item x="271"/>
        <item x="294"/>
        <item x="183"/>
        <item x="111"/>
        <item x="376"/>
        <item x="398"/>
        <item x="292"/>
        <item x="266"/>
        <item x="166"/>
        <item x="274"/>
        <item x="371"/>
        <item x="153"/>
        <item x="287"/>
        <item x="177"/>
        <item x="237"/>
        <item x="86"/>
        <item x="37"/>
        <item x="117"/>
        <item x="171"/>
        <item x="245"/>
        <item x="319"/>
        <item x="207"/>
        <item x="220"/>
        <item x="270"/>
        <item x="244"/>
        <item x="30"/>
        <item x="213"/>
        <item x="75"/>
        <item x="353"/>
        <item x="13"/>
        <item x="369"/>
        <item x="381"/>
        <item x="341"/>
        <item x="194"/>
        <item x="273"/>
        <item x="80"/>
        <item x="122"/>
        <item x="128"/>
        <item x="329"/>
        <item x="204"/>
        <item x="187"/>
        <item x="163"/>
        <item x="279"/>
        <item x="267"/>
        <item x="26"/>
        <item x="67"/>
        <item x="1"/>
        <item x="344"/>
        <item x="317"/>
        <item x="293"/>
        <item x="199"/>
        <item x="202"/>
        <item x="188"/>
        <item x="361"/>
        <item x="382"/>
        <item x="135"/>
        <item x="339"/>
        <item x="119"/>
        <item x="359"/>
        <item x="268"/>
        <item x="146"/>
        <item x="130"/>
        <item x="20"/>
        <item x="82"/>
        <item x="231"/>
        <item x="215"/>
        <item x="176"/>
        <item x="401"/>
        <item x="59"/>
        <item x="283"/>
        <item x="139"/>
        <item x="48"/>
        <item x="121"/>
        <item x="284"/>
        <item x="142"/>
        <item x="257"/>
        <item x="154"/>
        <item x="264"/>
        <item x="291"/>
        <item x="248"/>
        <item x="189"/>
        <item x="198"/>
        <item x="346"/>
        <item x="241"/>
        <item x="350"/>
        <item x="375"/>
        <item x="286"/>
        <item x="149"/>
        <item x="357"/>
        <item x="224"/>
        <item x="8"/>
        <item x="209"/>
        <item x="125"/>
        <item x="143"/>
        <item x="71"/>
        <item x="234"/>
        <item x="167"/>
        <item x="190"/>
        <item x="158"/>
        <item x="10"/>
        <item x="314"/>
        <item x="62"/>
        <item x="321"/>
        <item x="109"/>
        <item x="184"/>
        <item x="32"/>
        <item x="285"/>
        <item x="232"/>
        <item x="29"/>
        <item x="211"/>
        <item x="18"/>
        <item x="54"/>
        <item x="141"/>
        <item x="61"/>
        <item x="49"/>
        <item x="112"/>
        <item x="100"/>
        <item x="79"/>
        <item x="33"/>
        <item x="365"/>
        <item x="278"/>
        <item x="74"/>
        <item x="311"/>
        <item x="133"/>
        <item x="47"/>
        <item x="66"/>
        <item x="102"/>
        <item x="281"/>
        <item x="221"/>
        <item x="269"/>
        <item x="107"/>
        <item x="145"/>
        <item x="200"/>
        <item x="110"/>
        <item x="123"/>
        <item x="197"/>
        <item x="205"/>
        <item x="310"/>
        <item x="328"/>
        <item x="180"/>
        <item x="193"/>
        <item x="160"/>
        <item x="302"/>
        <item x="126"/>
        <item x="38"/>
        <item x="242"/>
        <item x="356"/>
        <item x="214"/>
        <item x="261"/>
        <item x="178"/>
        <item x="92"/>
        <item x="289"/>
        <item x="174"/>
        <item x="222"/>
        <item x="116"/>
        <item x="131"/>
        <item x="316"/>
        <item x="64"/>
        <item x="322"/>
        <item x="218"/>
        <item x="282"/>
        <item x="46"/>
        <item x="335"/>
        <item x="181"/>
        <item x="41"/>
        <item x="84"/>
        <item x="301"/>
        <item x="95"/>
        <item x="144"/>
        <item x="210"/>
        <item x="212"/>
        <item x="206"/>
        <item x="124"/>
        <item x="63"/>
        <item x="182"/>
        <item x="192"/>
        <item x="256"/>
        <item x="69"/>
        <item x="334"/>
        <item x="6"/>
        <item x="272"/>
        <item x="240"/>
        <item x="397"/>
        <item x="348"/>
        <item x="355"/>
        <item x="349"/>
        <item x="225"/>
        <item x="227"/>
        <item x="56"/>
        <item x="70"/>
        <item x="105"/>
        <item x="93"/>
        <item x="312"/>
        <item x="325"/>
        <item x="300"/>
        <item x="386"/>
        <item x="327"/>
        <item x="255"/>
        <item x="87"/>
        <item x="208"/>
        <item x="147"/>
        <item x="308"/>
        <item x="332"/>
        <item x="280"/>
        <item x="288"/>
        <item x="223"/>
        <item x="89"/>
        <item x="170"/>
        <item x="331"/>
        <item x="354"/>
        <item x="85"/>
        <item x="228"/>
        <item x="0"/>
        <item x="19"/>
        <item x="39"/>
        <item x="303"/>
        <item x="298"/>
        <item x="236"/>
        <item x="5"/>
        <item x="108"/>
        <item x="140"/>
        <item x="326"/>
        <item x="250"/>
        <item x="265"/>
        <item x="129"/>
        <item x="229"/>
        <item x="88"/>
        <item x="337"/>
        <item x="11"/>
        <item x="304"/>
        <item x="14"/>
        <item x="159"/>
        <item x="370"/>
        <item x="399"/>
        <item x="3"/>
        <item x="81"/>
        <item x="172"/>
        <item x="216"/>
        <item x="7"/>
        <item x="113"/>
        <item x="55"/>
        <item x="275"/>
        <item x="305"/>
        <item x="262"/>
        <item x="252"/>
        <item x="296"/>
        <item x="295"/>
        <item x="98"/>
        <item x="162"/>
        <item x="31"/>
        <item x="34"/>
        <item x="233"/>
        <item x="155"/>
        <item x="76"/>
        <item x="60"/>
        <item x="101"/>
        <item x="313"/>
        <item x="148"/>
        <item x="251"/>
        <item x="258"/>
        <item x="9"/>
        <item x="191"/>
        <item x="50"/>
        <item x="72"/>
        <item x="318"/>
        <item x="238"/>
        <item x="161"/>
        <item x="164"/>
        <item x="65"/>
        <item x="195"/>
        <item x="362"/>
        <item x="150"/>
        <item x="53"/>
        <item x="226"/>
        <item x="276"/>
        <item x="44"/>
        <item x="91"/>
        <item x="16"/>
        <item x="40"/>
        <item x="152"/>
        <item x="363"/>
        <item x="320"/>
        <item x="28"/>
        <item x="43"/>
        <item x="77"/>
        <item x="290"/>
        <item x="260"/>
        <item x="358"/>
        <item x="58"/>
        <item x="127"/>
        <item x="263"/>
        <item x="68"/>
        <item x="94"/>
        <item x="25"/>
        <item x="297"/>
        <item x="377"/>
        <item x="27"/>
        <item x="96"/>
        <item x="345"/>
        <item x="24"/>
        <item x="35"/>
        <item x="169"/>
        <item x="217"/>
        <item x="4"/>
        <item x="309"/>
        <item x="175"/>
        <item x="179"/>
        <item x="378"/>
        <item x="106"/>
        <item x="366"/>
        <item x="21"/>
        <item x="2"/>
        <item x="395"/>
        <item x="336"/>
        <item x="157"/>
        <item x="333"/>
        <item x="247"/>
        <item x="42"/>
        <item x="73"/>
        <item x="114"/>
        <item x="173"/>
        <item x="219"/>
        <item x="338"/>
        <item x="104"/>
        <item x="118"/>
        <item x="90"/>
        <item x="277"/>
        <item x="22"/>
        <item x="138"/>
        <item x="390"/>
        <item x="83"/>
        <item x="156"/>
        <item x="97"/>
        <item x="323"/>
        <item x="186"/>
        <item x="99"/>
        <item x="347"/>
        <item x="151"/>
        <item x="168"/>
        <item x="306"/>
        <item x="239"/>
        <item x="249"/>
        <item x="132"/>
        <item x="254"/>
        <item x="36"/>
        <item x="383"/>
        <item x="342"/>
        <item x="351"/>
        <item x="137"/>
        <item x="384"/>
        <item x="243"/>
        <item x="185"/>
        <item x="136"/>
        <item x="389"/>
        <item x="394"/>
        <item x="51"/>
        <item x="388"/>
        <item x="299"/>
        <item x="253"/>
        <item x="374"/>
        <item x="15"/>
        <item x="103"/>
        <item x="201"/>
        <item x="52"/>
        <item x="120"/>
        <item x="343"/>
        <item x="165"/>
        <item x="230"/>
        <item x="340"/>
        <item x="352"/>
        <item x="385"/>
        <item x="315"/>
        <item x="367"/>
        <item x="387"/>
        <item x="368"/>
        <item t="default"/>
      </items>
    </pivotField>
    <pivotField numFmtId="14" showAll="0">
      <items count="406">
        <item x="341"/>
        <item x="56"/>
        <item x="290"/>
        <item x="74"/>
        <item x="399"/>
        <item x="377"/>
        <item x="44"/>
        <item x="331"/>
        <item x="340"/>
        <item x="361"/>
        <item x="398"/>
        <item x="112"/>
        <item x="400"/>
        <item x="190"/>
        <item x="226"/>
        <item x="17"/>
        <item x="102"/>
        <item x="339"/>
        <item x="12"/>
        <item x="363"/>
        <item x="372"/>
        <item x="275"/>
        <item x="23"/>
        <item x="396"/>
        <item x="332"/>
        <item x="189"/>
        <item x="346"/>
        <item x="110"/>
        <item x="155"/>
        <item x="248"/>
        <item x="253"/>
        <item x="325"/>
        <item x="310"/>
        <item x="165"/>
        <item x="371"/>
        <item x="291"/>
        <item x="376"/>
        <item x="279"/>
        <item x="230"/>
        <item x="149"/>
        <item x="388"/>
        <item x="173"/>
        <item x="80"/>
        <item x="169"/>
        <item x="38"/>
        <item x="115"/>
        <item x="243"/>
        <item x="215"/>
        <item x="213"/>
        <item x="201"/>
        <item x="242"/>
        <item x="347"/>
        <item x="392"/>
        <item x="30"/>
        <item x="72"/>
        <item x="334"/>
        <item x="13"/>
        <item x="237"/>
        <item x="185"/>
        <item x="76"/>
        <item x="328"/>
        <item x="266"/>
        <item x="335"/>
        <item x="120"/>
        <item x="268"/>
        <item x="181"/>
        <item x="160"/>
        <item x="312"/>
        <item x="387"/>
        <item x="379"/>
        <item x="26"/>
        <item x="66"/>
        <item x="1"/>
        <item x="326"/>
        <item x="39"/>
        <item x="231"/>
        <item x="195"/>
        <item x="182"/>
        <item x="241"/>
        <item x="262"/>
        <item x="218"/>
        <item x="364"/>
        <item x="322"/>
        <item x="221"/>
        <item x="131"/>
        <item x="116"/>
        <item x="288"/>
        <item x="362"/>
        <item x="20"/>
        <item x="274"/>
        <item x="126"/>
        <item x="370"/>
        <item x="224"/>
        <item x="309"/>
        <item x="103"/>
        <item x="58"/>
        <item x="344"/>
        <item x="48"/>
        <item x="137"/>
        <item x="295"/>
        <item x="210"/>
        <item x="118"/>
        <item x="338"/>
        <item x="271"/>
        <item x="150"/>
        <item x="269"/>
        <item x="246"/>
        <item x="283"/>
        <item x="183"/>
        <item x="192"/>
        <item x="234"/>
        <item x="296"/>
        <item x="272"/>
        <item x="359"/>
        <item x="240"/>
        <item x="180"/>
        <item x="144"/>
        <item x="216"/>
        <item x="8"/>
        <item x="69"/>
        <item x="139"/>
        <item x="281"/>
        <item x="121"/>
        <item x="152"/>
        <item x="166"/>
        <item x="286"/>
        <item x="206"/>
        <item x="10"/>
        <item x="320"/>
        <item x="292"/>
        <item x="329"/>
        <item x="129"/>
        <item x="108"/>
        <item x="32"/>
        <item x="225"/>
        <item x="18"/>
        <item x="54"/>
        <item x="29"/>
        <item x="265"/>
        <item x="355"/>
        <item x="60"/>
        <item x="49"/>
        <item x="368"/>
        <item x="98"/>
        <item x="33"/>
        <item x="245"/>
        <item x="75"/>
        <item x="36"/>
        <item x="321"/>
        <item x="130"/>
        <item x="65"/>
        <item x="46"/>
        <item x="255"/>
        <item x="345"/>
        <item x="84"/>
        <item x="247"/>
        <item x="141"/>
        <item x="196"/>
        <item x="107"/>
        <item x="186"/>
        <item x="109"/>
        <item x="122"/>
        <item x="227"/>
        <item x="197"/>
        <item x="251"/>
        <item x="278"/>
        <item x="191"/>
        <item x="177"/>
        <item x="156"/>
        <item x="78"/>
        <item x="93"/>
        <item x="235"/>
        <item x="40"/>
        <item x="397"/>
        <item x="264"/>
        <item x="175"/>
        <item x="199"/>
        <item x="90"/>
        <item x="88"/>
        <item x="380"/>
        <item x="114"/>
        <item x="282"/>
        <item x="273"/>
        <item x="127"/>
        <item x="203"/>
        <item x="63"/>
        <item x="228"/>
        <item x="211"/>
        <item x="154"/>
        <item x="45"/>
        <item x="42"/>
        <item x="374"/>
        <item x="343"/>
        <item x="193"/>
        <item x="92"/>
        <item x="308"/>
        <item x="140"/>
        <item x="260"/>
        <item x="204"/>
        <item x="200"/>
        <item x="61"/>
        <item x="123"/>
        <item x="287"/>
        <item x="261"/>
        <item x="67"/>
        <item x="6"/>
        <item x="276"/>
        <item x="316"/>
        <item x="358"/>
        <item x="233"/>
        <item x="351"/>
        <item x="217"/>
        <item x="220"/>
        <item x="354"/>
        <item x="68"/>
        <item x="55"/>
        <item x="104"/>
        <item x="89"/>
        <item x="315"/>
        <item x="293"/>
        <item x="318"/>
        <item x="306"/>
        <item x="333"/>
        <item x="259"/>
        <item x="82"/>
        <item x="337"/>
        <item x="143"/>
        <item x="202"/>
        <item x="239"/>
        <item x="303"/>
        <item x="284"/>
        <item x="300"/>
        <item x="174"/>
        <item x="188"/>
        <item x="194"/>
        <item x="85"/>
        <item x="257"/>
        <item x="79"/>
        <item x="62"/>
        <item x="0"/>
        <item x="298"/>
        <item x="187"/>
        <item x="19"/>
        <item x="41"/>
        <item x="311"/>
        <item x="294"/>
        <item x="229"/>
        <item x="5"/>
        <item x="138"/>
        <item x="249"/>
        <item x="404"/>
        <item x="301"/>
        <item x="125"/>
        <item x="83"/>
        <item x="222"/>
        <item x="209"/>
        <item x="11"/>
        <item x="153"/>
        <item x="353"/>
        <item x="14"/>
        <item x="297"/>
        <item x="3"/>
        <item x="170"/>
        <item x="119"/>
        <item x="232"/>
        <item x="366"/>
        <item x="81"/>
        <item x="7"/>
        <item x="299"/>
        <item x="324"/>
        <item x="254"/>
        <item x="270"/>
        <item x="285"/>
        <item x="96"/>
        <item x="394"/>
        <item x="159"/>
        <item x="327"/>
        <item x="34"/>
        <item x="31"/>
        <item x="113"/>
        <item x="375"/>
        <item x="99"/>
        <item x="277"/>
        <item x="59"/>
        <item x="252"/>
        <item x="207"/>
        <item x="389"/>
        <item x="9"/>
        <item x="304"/>
        <item x="50"/>
        <item x="342"/>
        <item x="350"/>
        <item x="289"/>
        <item x="163"/>
        <item x="168"/>
        <item x="158"/>
        <item x="64"/>
        <item x="53"/>
        <item x="205"/>
        <item x="145"/>
        <item x="365"/>
        <item x="219"/>
        <item x="87"/>
        <item x="280"/>
        <item x="16"/>
        <item x="236"/>
        <item x="71"/>
        <item x="148"/>
        <item x="28"/>
        <item x="105"/>
        <item x="47"/>
        <item x="157"/>
        <item x="73"/>
        <item x="382"/>
        <item x="263"/>
        <item x="57"/>
        <item x="162"/>
        <item x="124"/>
        <item x="91"/>
        <item x="25"/>
        <item x="171"/>
        <item x="27"/>
        <item x="302"/>
        <item x="24"/>
        <item x="214"/>
        <item x="94"/>
        <item x="208"/>
        <item x="258"/>
        <item x="35"/>
        <item x="167"/>
        <item x="4"/>
        <item x="256"/>
        <item x="172"/>
        <item x="176"/>
        <item x="106"/>
        <item x="2"/>
        <item x="402"/>
        <item x="21"/>
        <item x="307"/>
        <item x="151"/>
        <item x="244"/>
        <item x="178"/>
        <item x="43"/>
        <item x="383"/>
        <item x="70"/>
        <item x="142"/>
        <item x="212"/>
        <item x="111"/>
        <item x="319"/>
        <item x="86"/>
        <item x="136"/>
        <item x="101"/>
        <item x="22"/>
        <item x="317"/>
        <item x="134"/>
        <item x="77"/>
        <item x="378"/>
        <item x="360"/>
        <item x="95"/>
        <item x="135"/>
        <item x="179"/>
        <item x="184"/>
        <item x="97"/>
        <item x="146"/>
        <item x="198"/>
        <item x="356"/>
        <item x="128"/>
        <item x="147"/>
        <item x="161"/>
        <item x="37"/>
        <item x="250"/>
        <item x="348"/>
        <item x="357"/>
        <item x="403"/>
        <item x="238"/>
        <item x="385"/>
        <item x="133"/>
        <item x="132"/>
        <item x="267"/>
        <item x="395"/>
        <item x="384"/>
        <item x="401"/>
        <item x="51"/>
        <item x="386"/>
        <item x="390"/>
        <item x="305"/>
        <item x="15"/>
        <item x="373"/>
        <item x="313"/>
        <item x="100"/>
        <item x="336"/>
        <item x="314"/>
        <item x="52"/>
        <item x="117"/>
        <item x="349"/>
        <item x="164"/>
        <item x="330"/>
        <item x="352"/>
        <item x="381"/>
        <item x="223"/>
        <item x="323"/>
        <item x="391"/>
        <item x="393"/>
        <item x="369"/>
        <item x="367"/>
        <item t="default"/>
      </items>
    </pivotField>
    <pivotField showAll="0"/>
    <pivotField axis="axisRow" showAll="0">
      <items count="6">
        <item x="0"/>
        <item x="3"/>
        <item x="4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Projected Revenue" fld="13" baseField="0" baseItem="0"/>
    <dataField name="Acutal Revenue" fld="14" baseField="0" baseItem="0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43C7-7DA4-4502-946C-48298C811032}">
  <dimension ref="A1:O2001"/>
  <sheetViews>
    <sheetView workbookViewId="0">
      <selection activeCell="O1" sqref="O1:O1048576"/>
    </sheetView>
  </sheetViews>
  <sheetFormatPr defaultRowHeight="14.5" x14ac:dyDescent="0.35"/>
  <cols>
    <col min="1" max="1" width="9.36328125" bestFit="1" customWidth="1"/>
    <col min="3" max="3" width="11.54296875" bestFit="1" customWidth="1"/>
    <col min="4" max="4" width="12.453125" bestFit="1" customWidth="1"/>
    <col min="5" max="5" width="13.7265625" bestFit="1" customWidth="1"/>
  </cols>
  <sheetData>
    <row r="1" spans="1:15" x14ac:dyDescent="0.35">
      <c r="A1" t="s">
        <v>1174</v>
      </c>
      <c r="B1" t="s">
        <v>1175</v>
      </c>
      <c r="C1" t="s">
        <v>1176</v>
      </c>
      <c r="D1" t="s">
        <v>1177</v>
      </c>
      <c r="E1" t="s">
        <v>1178</v>
      </c>
      <c r="F1" t="s">
        <v>1179</v>
      </c>
      <c r="G1" t="s">
        <v>1180</v>
      </c>
      <c r="H1" t="s">
        <v>1181</v>
      </c>
      <c r="I1" t="s">
        <v>1182</v>
      </c>
      <c r="J1" t="s">
        <v>11</v>
      </c>
      <c r="K1" t="s">
        <v>1183</v>
      </c>
      <c r="L1" t="s">
        <v>1184</v>
      </c>
      <c r="M1" t="s">
        <v>1185</v>
      </c>
      <c r="N1" t="s">
        <v>1186</v>
      </c>
      <c r="O1" t="s">
        <v>1187</v>
      </c>
    </row>
    <row r="2" spans="1:15" x14ac:dyDescent="0.35">
      <c r="A2">
        <v>1001</v>
      </c>
      <c r="B2" t="s">
        <v>18</v>
      </c>
      <c r="C2" s="1">
        <v>45519</v>
      </c>
      <c r="D2" s="1">
        <v>45541</v>
      </c>
      <c r="E2" s="1">
        <v>45544</v>
      </c>
      <c r="F2" t="s">
        <v>21</v>
      </c>
      <c r="G2" t="s">
        <v>22</v>
      </c>
      <c r="H2" t="s">
        <v>23</v>
      </c>
      <c r="I2">
        <v>22</v>
      </c>
      <c r="J2">
        <v>3</v>
      </c>
      <c r="K2">
        <v>5867</v>
      </c>
      <c r="L2">
        <v>17601</v>
      </c>
      <c r="M2" t="s">
        <v>24</v>
      </c>
      <c r="N2">
        <v>0</v>
      </c>
      <c r="O2" t="s">
        <v>25</v>
      </c>
    </row>
    <row r="3" spans="1:15" x14ac:dyDescent="0.35">
      <c r="A3">
        <v>1002</v>
      </c>
      <c r="B3" t="s">
        <v>26</v>
      </c>
      <c r="C3" s="1">
        <v>45357</v>
      </c>
      <c r="D3" s="1">
        <v>45375</v>
      </c>
      <c r="E3" s="1">
        <v>45377</v>
      </c>
      <c r="F3" t="s">
        <v>29</v>
      </c>
      <c r="G3" t="s">
        <v>22</v>
      </c>
      <c r="H3" t="s">
        <v>30</v>
      </c>
      <c r="I3">
        <v>18</v>
      </c>
      <c r="J3">
        <v>2</v>
      </c>
      <c r="K3">
        <v>5895</v>
      </c>
      <c r="L3">
        <v>11790</v>
      </c>
      <c r="M3" t="s">
        <v>24</v>
      </c>
      <c r="N3">
        <v>0</v>
      </c>
      <c r="O3" t="s">
        <v>31</v>
      </c>
    </row>
    <row r="4" spans="1:15" x14ac:dyDescent="0.35">
      <c r="A4">
        <v>1003</v>
      </c>
      <c r="B4" t="s">
        <v>32</v>
      </c>
      <c r="C4" s="1">
        <v>45626</v>
      </c>
      <c r="D4" s="1">
        <v>45640</v>
      </c>
      <c r="E4" s="1">
        <v>45641</v>
      </c>
      <c r="F4" t="s">
        <v>35</v>
      </c>
      <c r="G4" t="s">
        <v>22</v>
      </c>
      <c r="H4" t="s">
        <v>30</v>
      </c>
      <c r="I4">
        <v>14</v>
      </c>
      <c r="J4">
        <v>1</v>
      </c>
      <c r="K4">
        <v>3313</v>
      </c>
      <c r="L4">
        <v>3313</v>
      </c>
      <c r="M4" t="s">
        <v>24</v>
      </c>
      <c r="N4">
        <v>0</v>
      </c>
      <c r="O4" t="s">
        <v>25</v>
      </c>
    </row>
    <row r="5" spans="1:15" x14ac:dyDescent="0.35">
      <c r="A5">
        <v>1004</v>
      </c>
      <c r="B5" t="s">
        <v>36</v>
      </c>
      <c r="C5" s="1">
        <v>45553</v>
      </c>
      <c r="D5" s="1">
        <v>45563</v>
      </c>
      <c r="E5" s="1">
        <v>45566</v>
      </c>
      <c r="F5" t="s">
        <v>38</v>
      </c>
      <c r="G5" t="s">
        <v>39</v>
      </c>
      <c r="H5" t="s">
        <v>23</v>
      </c>
      <c r="I5">
        <v>10</v>
      </c>
      <c r="J5">
        <v>3</v>
      </c>
      <c r="K5">
        <v>3345</v>
      </c>
      <c r="L5">
        <v>10035</v>
      </c>
      <c r="M5" t="s">
        <v>24</v>
      </c>
      <c r="N5">
        <v>0</v>
      </c>
      <c r="O5" t="s">
        <v>25</v>
      </c>
    </row>
    <row r="6" spans="1:15" x14ac:dyDescent="0.35">
      <c r="A6">
        <v>1005</v>
      </c>
      <c r="B6" t="s">
        <v>40</v>
      </c>
      <c r="C6" s="1">
        <v>45586</v>
      </c>
      <c r="D6" s="1">
        <v>45632</v>
      </c>
      <c r="E6" s="1">
        <v>45636</v>
      </c>
      <c r="F6" t="s">
        <v>35</v>
      </c>
      <c r="G6" t="s">
        <v>22</v>
      </c>
      <c r="H6" t="s">
        <v>23</v>
      </c>
      <c r="I6">
        <v>46</v>
      </c>
      <c r="J6">
        <v>4</v>
      </c>
      <c r="K6">
        <v>3664</v>
      </c>
      <c r="L6">
        <v>14656</v>
      </c>
      <c r="M6" t="s">
        <v>24</v>
      </c>
      <c r="N6">
        <v>1</v>
      </c>
      <c r="O6" t="s">
        <v>31</v>
      </c>
    </row>
    <row r="7" spans="1:15" x14ac:dyDescent="0.35">
      <c r="A7">
        <v>1006</v>
      </c>
      <c r="B7" t="s">
        <v>43</v>
      </c>
      <c r="C7" s="1">
        <v>45534</v>
      </c>
      <c r="D7" s="1">
        <v>45547</v>
      </c>
      <c r="E7" s="1">
        <v>45552</v>
      </c>
      <c r="F7" t="s">
        <v>29</v>
      </c>
      <c r="G7" t="s">
        <v>39</v>
      </c>
      <c r="H7" t="s">
        <v>46</v>
      </c>
      <c r="I7">
        <v>13</v>
      </c>
      <c r="J7">
        <v>5</v>
      </c>
      <c r="K7">
        <v>7262</v>
      </c>
      <c r="L7">
        <v>36310</v>
      </c>
      <c r="M7" t="s">
        <v>24</v>
      </c>
      <c r="N7">
        <v>0</v>
      </c>
      <c r="O7" t="s">
        <v>31</v>
      </c>
    </row>
    <row r="8" spans="1:15" x14ac:dyDescent="0.35">
      <c r="A8">
        <v>1007</v>
      </c>
      <c r="B8" t="s">
        <v>47</v>
      </c>
      <c r="C8" s="1">
        <v>45477</v>
      </c>
      <c r="D8" s="1">
        <v>45508</v>
      </c>
      <c r="E8" s="1">
        <v>45510</v>
      </c>
      <c r="F8" t="s">
        <v>29</v>
      </c>
      <c r="G8" t="s">
        <v>39</v>
      </c>
      <c r="H8" t="s">
        <v>30</v>
      </c>
      <c r="I8">
        <v>31</v>
      </c>
      <c r="J8">
        <v>2</v>
      </c>
      <c r="K8">
        <v>8905</v>
      </c>
      <c r="L8">
        <v>17810</v>
      </c>
      <c r="M8" t="s">
        <v>24</v>
      </c>
      <c r="N8">
        <v>1</v>
      </c>
      <c r="O8" t="s">
        <v>31</v>
      </c>
    </row>
    <row r="9" spans="1:15" x14ac:dyDescent="0.35">
      <c r="A9">
        <v>1008</v>
      </c>
      <c r="B9" t="s">
        <v>49</v>
      </c>
      <c r="C9" s="1">
        <v>45537</v>
      </c>
      <c r="D9" s="1">
        <v>45567</v>
      </c>
      <c r="E9" s="1">
        <v>45572</v>
      </c>
      <c r="F9" t="s">
        <v>35</v>
      </c>
      <c r="G9" t="s">
        <v>39</v>
      </c>
      <c r="H9" t="s">
        <v>23</v>
      </c>
      <c r="I9">
        <v>30</v>
      </c>
      <c r="J9">
        <v>5</v>
      </c>
      <c r="K9">
        <v>8404</v>
      </c>
      <c r="L9">
        <v>42020</v>
      </c>
      <c r="M9" t="s">
        <v>51</v>
      </c>
      <c r="N9">
        <v>1</v>
      </c>
      <c r="O9" t="s">
        <v>25</v>
      </c>
    </row>
    <row r="10" spans="1:15" x14ac:dyDescent="0.35">
      <c r="A10">
        <v>1009</v>
      </c>
      <c r="B10" t="s">
        <v>52</v>
      </c>
      <c r="C10" s="1">
        <v>45416</v>
      </c>
      <c r="D10" s="1">
        <v>45419</v>
      </c>
      <c r="E10" s="1">
        <v>45423</v>
      </c>
      <c r="F10" t="s">
        <v>38</v>
      </c>
      <c r="G10" t="s">
        <v>39</v>
      </c>
      <c r="H10" t="s">
        <v>30</v>
      </c>
      <c r="I10">
        <v>3</v>
      </c>
      <c r="J10">
        <v>4</v>
      </c>
      <c r="K10">
        <v>8039</v>
      </c>
      <c r="L10">
        <v>32156</v>
      </c>
      <c r="M10" t="s">
        <v>24</v>
      </c>
      <c r="N10">
        <v>1</v>
      </c>
      <c r="O10" t="s">
        <v>31</v>
      </c>
    </row>
    <row r="11" spans="1:15" x14ac:dyDescent="0.35">
      <c r="A11">
        <v>1010</v>
      </c>
      <c r="B11" t="s">
        <v>53</v>
      </c>
      <c r="C11" s="1">
        <v>45559</v>
      </c>
      <c r="D11" s="1">
        <v>45589</v>
      </c>
      <c r="E11" s="1">
        <v>45592</v>
      </c>
      <c r="F11" t="s">
        <v>35</v>
      </c>
      <c r="G11" t="s">
        <v>22</v>
      </c>
      <c r="H11" t="s">
        <v>30</v>
      </c>
      <c r="I11">
        <v>30</v>
      </c>
      <c r="J11">
        <v>3</v>
      </c>
      <c r="K11">
        <v>4267</v>
      </c>
      <c r="L11">
        <v>12801</v>
      </c>
      <c r="M11" t="s">
        <v>51</v>
      </c>
      <c r="N11">
        <v>0</v>
      </c>
      <c r="O11" t="s">
        <v>25</v>
      </c>
    </row>
    <row r="12" spans="1:15" x14ac:dyDescent="0.35">
      <c r="A12">
        <v>1011</v>
      </c>
      <c r="B12" t="s">
        <v>54</v>
      </c>
      <c r="C12" s="1">
        <v>45422</v>
      </c>
      <c r="D12" s="1">
        <v>45428</v>
      </c>
      <c r="E12" s="1">
        <v>45432</v>
      </c>
      <c r="F12" t="s">
        <v>38</v>
      </c>
      <c r="G12" t="s">
        <v>22</v>
      </c>
      <c r="H12" t="s">
        <v>30</v>
      </c>
      <c r="I12">
        <v>6</v>
      </c>
      <c r="J12">
        <v>4</v>
      </c>
      <c r="K12">
        <v>7860</v>
      </c>
      <c r="L12">
        <v>31440</v>
      </c>
      <c r="M12" t="s">
        <v>51</v>
      </c>
      <c r="N12">
        <v>1</v>
      </c>
      <c r="O12" t="s">
        <v>25</v>
      </c>
    </row>
    <row r="13" spans="1:15" x14ac:dyDescent="0.35">
      <c r="A13">
        <v>1012</v>
      </c>
      <c r="B13" t="s">
        <v>56</v>
      </c>
      <c r="C13" s="1">
        <v>45528</v>
      </c>
      <c r="D13" s="1">
        <v>45557</v>
      </c>
      <c r="E13" s="1">
        <v>45561</v>
      </c>
      <c r="F13" t="s">
        <v>38</v>
      </c>
      <c r="G13" t="s">
        <v>39</v>
      </c>
      <c r="H13" t="s">
        <v>46</v>
      </c>
      <c r="I13">
        <v>29</v>
      </c>
      <c r="J13">
        <v>4</v>
      </c>
      <c r="K13">
        <v>2854</v>
      </c>
      <c r="L13">
        <v>11416</v>
      </c>
      <c r="M13" t="s">
        <v>24</v>
      </c>
      <c r="N13">
        <v>0</v>
      </c>
      <c r="O13" t="s">
        <v>31</v>
      </c>
    </row>
    <row r="14" spans="1:15" x14ac:dyDescent="0.35">
      <c r="A14">
        <v>1013</v>
      </c>
      <c r="B14" t="s">
        <v>58</v>
      </c>
      <c r="C14" s="1">
        <v>45309</v>
      </c>
      <c r="D14" s="1">
        <v>45317</v>
      </c>
      <c r="E14" s="1">
        <v>45322</v>
      </c>
      <c r="F14" t="s">
        <v>60</v>
      </c>
      <c r="G14" t="s">
        <v>39</v>
      </c>
      <c r="H14" t="s">
        <v>23</v>
      </c>
      <c r="I14">
        <v>8</v>
      </c>
      <c r="J14">
        <v>5</v>
      </c>
      <c r="K14">
        <v>4372</v>
      </c>
      <c r="L14">
        <v>21860</v>
      </c>
      <c r="M14" t="s">
        <v>24</v>
      </c>
      <c r="N14">
        <v>0</v>
      </c>
      <c r="O14" t="s">
        <v>31</v>
      </c>
    </row>
    <row r="15" spans="1:15" x14ac:dyDescent="0.35">
      <c r="A15">
        <v>1014</v>
      </c>
      <c r="B15" t="s">
        <v>61</v>
      </c>
      <c r="C15" s="1">
        <v>45331</v>
      </c>
      <c r="D15" s="1">
        <v>45375</v>
      </c>
      <c r="E15" s="1">
        <v>45377</v>
      </c>
      <c r="F15" t="s">
        <v>21</v>
      </c>
      <c r="G15" t="s">
        <v>39</v>
      </c>
      <c r="H15" t="s">
        <v>23</v>
      </c>
      <c r="I15">
        <v>44</v>
      </c>
      <c r="J15">
        <v>2</v>
      </c>
      <c r="K15">
        <v>4524</v>
      </c>
      <c r="L15">
        <v>9048</v>
      </c>
      <c r="M15" t="s">
        <v>51</v>
      </c>
      <c r="N15">
        <v>0</v>
      </c>
      <c r="O15" t="s">
        <v>31</v>
      </c>
    </row>
    <row r="16" spans="1:15" x14ac:dyDescent="0.35">
      <c r="A16">
        <v>1015</v>
      </c>
      <c r="B16" t="s">
        <v>63</v>
      </c>
      <c r="C16" s="1">
        <v>45312</v>
      </c>
      <c r="D16" s="1">
        <v>45357</v>
      </c>
      <c r="E16" s="1">
        <v>45361</v>
      </c>
      <c r="F16" t="s">
        <v>21</v>
      </c>
      <c r="G16" t="s">
        <v>22</v>
      </c>
      <c r="H16" t="s">
        <v>30</v>
      </c>
      <c r="I16">
        <v>45</v>
      </c>
      <c r="J16">
        <v>4</v>
      </c>
      <c r="K16">
        <v>5317</v>
      </c>
      <c r="L16">
        <v>21268</v>
      </c>
      <c r="M16" t="s">
        <v>51</v>
      </c>
      <c r="N16">
        <v>1</v>
      </c>
      <c r="O16" t="s">
        <v>31</v>
      </c>
    </row>
    <row r="17" spans="1:15" x14ac:dyDescent="0.35">
      <c r="A17">
        <v>1016</v>
      </c>
      <c r="B17" t="s">
        <v>65</v>
      </c>
      <c r="C17" s="1">
        <v>45516</v>
      </c>
      <c r="D17" s="1">
        <v>45559</v>
      </c>
      <c r="E17" s="1">
        <v>45564</v>
      </c>
      <c r="F17" t="s">
        <v>29</v>
      </c>
      <c r="G17" t="s">
        <v>39</v>
      </c>
      <c r="H17" t="s">
        <v>23</v>
      </c>
      <c r="I17">
        <v>43</v>
      </c>
      <c r="J17">
        <v>5</v>
      </c>
      <c r="K17">
        <v>6332</v>
      </c>
      <c r="L17">
        <v>31660</v>
      </c>
      <c r="M17" t="s">
        <v>24</v>
      </c>
      <c r="N17">
        <v>0</v>
      </c>
      <c r="O17" t="s">
        <v>31</v>
      </c>
    </row>
    <row r="18" spans="1:15" x14ac:dyDescent="0.35">
      <c r="A18">
        <v>1017</v>
      </c>
      <c r="B18" t="s">
        <v>67</v>
      </c>
      <c r="C18" s="1">
        <v>45646</v>
      </c>
      <c r="D18" s="1">
        <v>45690</v>
      </c>
      <c r="E18" s="1">
        <v>45692</v>
      </c>
      <c r="F18" t="s">
        <v>60</v>
      </c>
      <c r="G18" t="s">
        <v>39</v>
      </c>
      <c r="H18" t="s">
        <v>46</v>
      </c>
      <c r="I18">
        <v>44</v>
      </c>
      <c r="J18">
        <v>2</v>
      </c>
      <c r="K18">
        <v>6775</v>
      </c>
      <c r="L18">
        <v>13550</v>
      </c>
      <c r="M18" t="s">
        <v>24</v>
      </c>
      <c r="N18">
        <v>1</v>
      </c>
      <c r="O18" t="s">
        <v>25</v>
      </c>
    </row>
    <row r="19" spans="1:15" x14ac:dyDescent="0.35">
      <c r="A19">
        <v>1018</v>
      </c>
      <c r="B19" t="s">
        <v>68</v>
      </c>
      <c r="C19" s="1">
        <v>45573</v>
      </c>
      <c r="D19" s="1">
        <v>45606</v>
      </c>
      <c r="E19" s="1">
        <v>45609</v>
      </c>
      <c r="F19" t="s">
        <v>21</v>
      </c>
      <c r="G19" t="s">
        <v>22</v>
      </c>
      <c r="H19" t="s">
        <v>30</v>
      </c>
      <c r="I19">
        <v>33</v>
      </c>
      <c r="J19">
        <v>3</v>
      </c>
      <c r="K19">
        <v>2565</v>
      </c>
      <c r="L19">
        <v>7695</v>
      </c>
      <c r="M19" t="s">
        <v>51</v>
      </c>
      <c r="N19">
        <v>0</v>
      </c>
      <c r="O19" t="s">
        <v>25</v>
      </c>
    </row>
    <row r="20" spans="1:15" x14ac:dyDescent="0.35">
      <c r="A20">
        <v>1019</v>
      </c>
      <c r="B20" t="s">
        <v>70</v>
      </c>
      <c r="C20" s="1">
        <v>45299</v>
      </c>
      <c r="D20" s="1">
        <v>45316</v>
      </c>
      <c r="E20" s="1">
        <v>45319</v>
      </c>
      <c r="F20" t="s">
        <v>38</v>
      </c>
      <c r="G20" t="s">
        <v>39</v>
      </c>
      <c r="H20" t="s">
        <v>46</v>
      </c>
      <c r="I20">
        <v>17</v>
      </c>
      <c r="J20">
        <v>3</v>
      </c>
      <c r="K20">
        <v>7415</v>
      </c>
      <c r="L20">
        <v>22245</v>
      </c>
      <c r="M20" t="s">
        <v>51</v>
      </c>
      <c r="N20">
        <v>0</v>
      </c>
      <c r="O20" t="s">
        <v>25</v>
      </c>
    </row>
    <row r="21" spans="1:15" x14ac:dyDescent="0.35">
      <c r="A21">
        <v>1020</v>
      </c>
      <c r="B21" t="s">
        <v>72</v>
      </c>
      <c r="C21" s="1">
        <v>45391</v>
      </c>
      <c r="D21" s="1">
        <v>45439</v>
      </c>
      <c r="E21" s="1">
        <v>45440</v>
      </c>
      <c r="F21" t="s">
        <v>38</v>
      </c>
      <c r="G21" t="s">
        <v>22</v>
      </c>
      <c r="H21" t="s">
        <v>46</v>
      </c>
      <c r="I21">
        <v>48</v>
      </c>
      <c r="J21">
        <v>1</v>
      </c>
      <c r="K21">
        <v>7967</v>
      </c>
      <c r="L21">
        <v>7967</v>
      </c>
      <c r="M21" t="s">
        <v>24</v>
      </c>
      <c r="N21">
        <v>1</v>
      </c>
      <c r="O21" t="s">
        <v>31</v>
      </c>
    </row>
    <row r="22" spans="1:15" x14ac:dyDescent="0.35">
      <c r="A22">
        <v>1021</v>
      </c>
      <c r="B22" t="s">
        <v>74</v>
      </c>
      <c r="C22" s="1">
        <v>45531</v>
      </c>
      <c r="D22" s="1">
        <v>45542</v>
      </c>
      <c r="E22" s="1">
        <v>45547</v>
      </c>
      <c r="F22" t="s">
        <v>35</v>
      </c>
      <c r="G22" t="s">
        <v>22</v>
      </c>
      <c r="H22" t="s">
        <v>23</v>
      </c>
      <c r="I22">
        <v>11</v>
      </c>
      <c r="J22">
        <v>5</v>
      </c>
      <c r="K22">
        <v>6766</v>
      </c>
      <c r="L22">
        <v>33830</v>
      </c>
      <c r="M22" t="s">
        <v>51</v>
      </c>
      <c r="N22">
        <v>1</v>
      </c>
      <c r="O22" t="s">
        <v>25</v>
      </c>
    </row>
    <row r="23" spans="1:15" x14ac:dyDescent="0.35">
      <c r="A23">
        <v>1022</v>
      </c>
      <c r="B23" t="s">
        <v>76</v>
      </c>
      <c r="C23" s="1">
        <v>45378</v>
      </c>
      <c r="D23" s="1">
        <v>45391</v>
      </c>
      <c r="E23" s="1">
        <v>45393</v>
      </c>
      <c r="F23" t="s">
        <v>35</v>
      </c>
      <c r="G23" t="s">
        <v>39</v>
      </c>
      <c r="H23" t="s">
        <v>23</v>
      </c>
      <c r="I23">
        <v>13</v>
      </c>
      <c r="J23">
        <v>2</v>
      </c>
      <c r="K23">
        <v>6590</v>
      </c>
      <c r="L23">
        <v>13180</v>
      </c>
      <c r="M23" t="s">
        <v>51</v>
      </c>
      <c r="N23">
        <v>0</v>
      </c>
      <c r="O23" t="s">
        <v>31</v>
      </c>
    </row>
    <row r="24" spans="1:15" x14ac:dyDescent="0.35">
      <c r="A24">
        <v>1023</v>
      </c>
      <c r="B24" t="s">
        <v>77</v>
      </c>
      <c r="C24" s="1">
        <v>45589</v>
      </c>
      <c r="D24" s="1">
        <v>45639</v>
      </c>
      <c r="E24" s="1">
        <v>45643</v>
      </c>
      <c r="F24" t="s">
        <v>38</v>
      </c>
      <c r="G24" t="s">
        <v>39</v>
      </c>
      <c r="H24" t="s">
        <v>46</v>
      </c>
      <c r="I24">
        <v>50</v>
      </c>
      <c r="J24">
        <v>4</v>
      </c>
      <c r="K24">
        <v>5021</v>
      </c>
      <c r="L24">
        <v>20084</v>
      </c>
      <c r="M24" t="s">
        <v>24</v>
      </c>
      <c r="N24">
        <v>0</v>
      </c>
      <c r="O24" t="s">
        <v>31</v>
      </c>
    </row>
    <row r="25" spans="1:15" x14ac:dyDescent="0.35">
      <c r="A25">
        <v>1024</v>
      </c>
      <c r="B25" t="s">
        <v>79</v>
      </c>
      <c r="C25" s="1">
        <v>45305</v>
      </c>
      <c r="D25" s="1">
        <v>45316</v>
      </c>
      <c r="E25" s="1">
        <v>45319</v>
      </c>
      <c r="F25" t="s">
        <v>38</v>
      </c>
      <c r="G25" t="s">
        <v>39</v>
      </c>
      <c r="H25" t="s">
        <v>23</v>
      </c>
      <c r="I25">
        <v>11</v>
      </c>
      <c r="J25">
        <v>3</v>
      </c>
      <c r="K25">
        <v>5081</v>
      </c>
      <c r="L25">
        <v>15243</v>
      </c>
      <c r="M25" t="s">
        <v>51</v>
      </c>
      <c r="N25">
        <v>0</v>
      </c>
      <c r="O25" t="s">
        <v>25</v>
      </c>
    </row>
    <row r="26" spans="1:15" x14ac:dyDescent="0.35">
      <c r="A26">
        <v>1025</v>
      </c>
      <c r="B26" t="s">
        <v>80</v>
      </c>
      <c r="C26" s="1">
        <v>45625</v>
      </c>
      <c r="D26" s="1">
        <v>45656</v>
      </c>
      <c r="E26" s="1">
        <v>45658</v>
      </c>
      <c r="F26" t="s">
        <v>35</v>
      </c>
      <c r="G26" t="s">
        <v>22</v>
      </c>
      <c r="H26" t="s">
        <v>46</v>
      </c>
      <c r="I26">
        <v>31</v>
      </c>
      <c r="J26">
        <v>2</v>
      </c>
      <c r="K26">
        <v>3890</v>
      </c>
      <c r="L26">
        <v>7780</v>
      </c>
      <c r="M26" t="s">
        <v>24</v>
      </c>
      <c r="N26">
        <v>1</v>
      </c>
      <c r="O26" t="s">
        <v>25</v>
      </c>
    </row>
    <row r="27" spans="1:15" x14ac:dyDescent="0.35">
      <c r="A27">
        <v>1026</v>
      </c>
      <c r="B27" t="s">
        <v>81</v>
      </c>
      <c r="C27" s="1">
        <v>45293</v>
      </c>
      <c r="D27" s="1">
        <v>45321</v>
      </c>
      <c r="E27" s="1">
        <v>45326</v>
      </c>
      <c r="F27" t="s">
        <v>21</v>
      </c>
      <c r="G27" t="s">
        <v>22</v>
      </c>
      <c r="H27" t="s">
        <v>46</v>
      </c>
      <c r="I27">
        <v>28</v>
      </c>
      <c r="J27">
        <v>5</v>
      </c>
      <c r="K27">
        <v>3630</v>
      </c>
      <c r="L27">
        <v>18150</v>
      </c>
      <c r="M27" t="s">
        <v>24</v>
      </c>
      <c r="N27">
        <v>1</v>
      </c>
      <c r="O27" t="s">
        <v>31</v>
      </c>
    </row>
    <row r="28" spans="1:15" x14ac:dyDescent="0.35">
      <c r="A28">
        <v>1027</v>
      </c>
      <c r="B28" t="s">
        <v>83</v>
      </c>
      <c r="C28" s="1">
        <v>45584</v>
      </c>
      <c r="D28" s="1">
        <v>45628</v>
      </c>
      <c r="E28" s="1">
        <v>45629</v>
      </c>
      <c r="F28" t="s">
        <v>29</v>
      </c>
      <c r="G28" t="s">
        <v>22</v>
      </c>
      <c r="H28" t="s">
        <v>30</v>
      </c>
      <c r="I28">
        <v>44</v>
      </c>
      <c r="J28">
        <v>1</v>
      </c>
      <c r="K28">
        <v>4986</v>
      </c>
      <c r="L28">
        <v>4986</v>
      </c>
      <c r="M28" t="s">
        <v>24</v>
      </c>
      <c r="N28">
        <v>1</v>
      </c>
      <c r="O28" t="s">
        <v>25</v>
      </c>
    </row>
    <row r="29" spans="1:15" x14ac:dyDescent="0.35">
      <c r="A29">
        <v>1028</v>
      </c>
      <c r="B29" t="s">
        <v>84</v>
      </c>
      <c r="C29" s="1">
        <v>45616</v>
      </c>
      <c r="D29" s="1">
        <v>45622</v>
      </c>
      <c r="E29" s="1">
        <v>45625</v>
      </c>
      <c r="F29" t="s">
        <v>35</v>
      </c>
      <c r="G29" t="s">
        <v>39</v>
      </c>
      <c r="H29" t="s">
        <v>46</v>
      </c>
      <c r="I29">
        <v>6</v>
      </c>
      <c r="J29">
        <v>3</v>
      </c>
      <c r="K29">
        <v>3334</v>
      </c>
      <c r="L29">
        <v>10002</v>
      </c>
      <c r="M29" t="s">
        <v>51</v>
      </c>
      <c r="N29">
        <v>0</v>
      </c>
      <c r="O29" t="s">
        <v>31</v>
      </c>
    </row>
    <row r="30" spans="1:15" x14ac:dyDescent="0.35">
      <c r="A30">
        <v>1029</v>
      </c>
      <c r="B30" t="s">
        <v>85</v>
      </c>
      <c r="C30" s="1">
        <v>45332</v>
      </c>
      <c r="D30" s="1">
        <v>45373</v>
      </c>
      <c r="E30" s="1">
        <v>45375</v>
      </c>
      <c r="F30" t="s">
        <v>21</v>
      </c>
      <c r="G30" t="s">
        <v>39</v>
      </c>
      <c r="H30" t="s">
        <v>46</v>
      </c>
      <c r="I30">
        <v>41</v>
      </c>
      <c r="J30">
        <v>2</v>
      </c>
      <c r="K30">
        <v>2726</v>
      </c>
      <c r="L30">
        <v>5452</v>
      </c>
      <c r="M30" t="s">
        <v>24</v>
      </c>
      <c r="N30">
        <v>1</v>
      </c>
      <c r="O30" t="s">
        <v>25</v>
      </c>
    </row>
    <row r="31" spans="1:15" x14ac:dyDescent="0.35">
      <c r="A31">
        <v>1030</v>
      </c>
      <c r="B31" t="s">
        <v>87</v>
      </c>
      <c r="C31" s="1">
        <v>45609</v>
      </c>
      <c r="D31" s="1">
        <v>45625</v>
      </c>
      <c r="E31" s="1">
        <v>45627</v>
      </c>
      <c r="F31" t="s">
        <v>21</v>
      </c>
      <c r="G31" t="s">
        <v>39</v>
      </c>
      <c r="H31" t="s">
        <v>23</v>
      </c>
      <c r="I31">
        <v>16</v>
      </c>
      <c r="J31">
        <v>2</v>
      </c>
      <c r="K31">
        <v>6015</v>
      </c>
      <c r="L31">
        <v>12030</v>
      </c>
      <c r="M31" t="s">
        <v>51</v>
      </c>
      <c r="N31">
        <v>0</v>
      </c>
      <c r="O31" t="s">
        <v>25</v>
      </c>
    </row>
    <row r="32" spans="1:15" x14ac:dyDescent="0.35">
      <c r="A32">
        <v>1031</v>
      </c>
      <c r="B32" t="s">
        <v>89</v>
      </c>
      <c r="C32" s="1">
        <v>45607</v>
      </c>
      <c r="D32" s="1">
        <v>45611</v>
      </c>
      <c r="E32" s="1">
        <v>45613</v>
      </c>
      <c r="F32" t="s">
        <v>21</v>
      </c>
      <c r="G32" t="s">
        <v>39</v>
      </c>
      <c r="H32" t="s">
        <v>30</v>
      </c>
      <c r="I32">
        <v>4</v>
      </c>
      <c r="J32">
        <v>2</v>
      </c>
      <c r="K32">
        <v>7037</v>
      </c>
      <c r="L32">
        <v>14074</v>
      </c>
      <c r="M32" t="s">
        <v>24</v>
      </c>
      <c r="N32">
        <v>0</v>
      </c>
      <c r="O32" t="s">
        <v>25</v>
      </c>
    </row>
    <row r="33" spans="1:15" x14ac:dyDescent="0.35">
      <c r="A33">
        <v>1032</v>
      </c>
      <c r="B33" t="s">
        <v>90</v>
      </c>
      <c r="C33" s="1">
        <v>45402</v>
      </c>
      <c r="D33" s="1">
        <v>45437</v>
      </c>
      <c r="E33" s="1">
        <v>45442</v>
      </c>
      <c r="F33" t="s">
        <v>60</v>
      </c>
      <c r="G33" t="s">
        <v>39</v>
      </c>
      <c r="H33" t="s">
        <v>23</v>
      </c>
      <c r="I33">
        <v>35</v>
      </c>
      <c r="J33">
        <v>5</v>
      </c>
      <c r="K33">
        <v>4943</v>
      </c>
      <c r="L33">
        <v>24715</v>
      </c>
      <c r="M33" t="s">
        <v>24</v>
      </c>
      <c r="N33">
        <v>1</v>
      </c>
      <c r="O33" t="s">
        <v>25</v>
      </c>
    </row>
    <row r="34" spans="1:15" x14ac:dyDescent="0.35">
      <c r="A34">
        <v>1033</v>
      </c>
      <c r="B34" t="s">
        <v>92</v>
      </c>
      <c r="C34" s="1">
        <v>45305</v>
      </c>
      <c r="D34" s="1">
        <v>45353</v>
      </c>
      <c r="E34" s="1">
        <v>45358</v>
      </c>
      <c r="F34" t="s">
        <v>60</v>
      </c>
      <c r="G34" t="s">
        <v>39</v>
      </c>
      <c r="H34" t="s">
        <v>30</v>
      </c>
      <c r="I34">
        <v>48</v>
      </c>
      <c r="J34">
        <v>5</v>
      </c>
      <c r="K34">
        <v>3227</v>
      </c>
      <c r="L34">
        <v>16135</v>
      </c>
      <c r="M34" t="s">
        <v>51</v>
      </c>
      <c r="N34">
        <v>1</v>
      </c>
      <c r="O34" t="s">
        <v>25</v>
      </c>
    </row>
    <row r="35" spans="1:15" x14ac:dyDescent="0.35">
      <c r="A35">
        <v>1034</v>
      </c>
      <c r="B35" t="s">
        <v>93</v>
      </c>
      <c r="C35" s="1">
        <v>45522</v>
      </c>
      <c r="D35" s="1">
        <v>45578</v>
      </c>
      <c r="E35" s="1">
        <v>45583</v>
      </c>
      <c r="F35" t="s">
        <v>21</v>
      </c>
      <c r="G35" t="s">
        <v>22</v>
      </c>
      <c r="H35" t="s">
        <v>23</v>
      </c>
      <c r="I35">
        <v>56</v>
      </c>
      <c r="J35">
        <v>5</v>
      </c>
      <c r="K35">
        <v>8200</v>
      </c>
      <c r="L35">
        <v>41000</v>
      </c>
      <c r="M35" t="s">
        <v>51</v>
      </c>
      <c r="N35">
        <v>1</v>
      </c>
      <c r="O35" t="s">
        <v>31</v>
      </c>
    </row>
    <row r="36" spans="1:15" x14ac:dyDescent="0.35">
      <c r="A36">
        <v>1035</v>
      </c>
      <c r="B36" t="s">
        <v>95</v>
      </c>
      <c r="C36" s="1">
        <v>45375</v>
      </c>
      <c r="D36" s="1">
        <v>45434</v>
      </c>
      <c r="E36" s="1">
        <v>45438</v>
      </c>
      <c r="F36" t="s">
        <v>38</v>
      </c>
      <c r="G36" t="s">
        <v>22</v>
      </c>
      <c r="H36" t="s">
        <v>46</v>
      </c>
      <c r="I36">
        <v>59</v>
      </c>
      <c r="J36">
        <v>4</v>
      </c>
      <c r="K36">
        <v>8727</v>
      </c>
      <c r="L36">
        <v>34908</v>
      </c>
      <c r="M36" t="s">
        <v>51</v>
      </c>
      <c r="N36">
        <v>1</v>
      </c>
      <c r="O36" t="s">
        <v>25</v>
      </c>
    </row>
    <row r="37" spans="1:15" x14ac:dyDescent="0.35">
      <c r="A37">
        <v>1036</v>
      </c>
      <c r="B37" t="s">
        <v>97</v>
      </c>
      <c r="C37" s="1">
        <v>45421</v>
      </c>
      <c r="D37" s="1">
        <v>45447</v>
      </c>
      <c r="E37" s="1">
        <v>45449</v>
      </c>
      <c r="F37" t="s">
        <v>60</v>
      </c>
      <c r="G37" t="s">
        <v>22</v>
      </c>
      <c r="H37" t="s">
        <v>30</v>
      </c>
      <c r="I37">
        <v>26</v>
      </c>
      <c r="J37">
        <v>2</v>
      </c>
      <c r="K37">
        <v>6186</v>
      </c>
      <c r="L37">
        <v>12372</v>
      </c>
      <c r="M37" t="s">
        <v>24</v>
      </c>
      <c r="N37">
        <v>1</v>
      </c>
      <c r="O37" t="s">
        <v>25</v>
      </c>
    </row>
    <row r="38" spans="1:15" x14ac:dyDescent="0.35">
      <c r="A38">
        <v>1037</v>
      </c>
      <c r="B38" t="s">
        <v>99</v>
      </c>
      <c r="C38" s="1">
        <v>45522</v>
      </c>
      <c r="D38" s="1">
        <v>45579</v>
      </c>
      <c r="E38" s="1">
        <v>45582</v>
      </c>
      <c r="F38" t="s">
        <v>35</v>
      </c>
      <c r="G38" t="s">
        <v>39</v>
      </c>
      <c r="H38" t="s">
        <v>30</v>
      </c>
      <c r="I38">
        <v>57</v>
      </c>
      <c r="J38">
        <v>3</v>
      </c>
      <c r="K38">
        <v>6122</v>
      </c>
      <c r="L38">
        <v>18366</v>
      </c>
      <c r="M38" t="s">
        <v>51</v>
      </c>
      <c r="N38">
        <v>1</v>
      </c>
      <c r="O38" t="s">
        <v>25</v>
      </c>
    </row>
    <row r="39" spans="1:15" x14ac:dyDescent="0.35">
      <c r="A39">
        <v>1038</v>
      </c>
      <c r="B39" t="s">
        <v>101</v>
      </c>
      <c r="C39" s="1">
        <v>45617</v>
      </c>
      <c r="D39" s="1">
        <v>45629</v>
      </c>
      <c r="E39" s="1">
        <v>45634</v>
      </c>
      <c r="F39" t="s">
        <v>60</v>
      </c>
      <c r="G39" t="s">
        <v>22</v>
      </c>
      <c r="H39" t="s">
        <v>30</v>
      </c>
      <c r="I39">
        <v>12</v>
      </c>
      <c r="J39">
        <v>5</v>
      </c>
      <c r="K39">
        <v>3536</v>
      </c>
      <c r="L39">
        <v>17680</v>
      </c>
      <c r="M39" t="s">
        <v>24</v>
      </c>
      <c r="N39">
        <v>1</v>
      </c>
      <c r="O39" t="s">
        <v>31</v>
      </c>
    </row>
    <row r="40" spans="1:15" x14ac:dyDescent="0.35">
      <c r="A40">
        <v>1039</v>
      </c>
      <c r="B40" t="s">
        <v>103</v>
      </c>
      <c r="C40" s="1">
        <v>45436</v>
      </c>
      <c r="D40" s="1">
        <v>45447</v>
      </c>
      <c r="E40" s="1">
        <v>45452</v>
      </c>
      <c r="F40" t="s">
        <v>38</v>
      </c>
      <c r="G40" t="s">
        <v>22</v>
      </c>
      <c r="H40" t="s">
        <v>30</v>
      </c>
      <c r="I40">
        <v>11</v>
      </c>
      <c r="J40">
        <v>5</v>
      </c>
      <c r="K40">
        <v>4332</v>
      </c>
      <c r="L40">
        <v>21660</v>
      </c>
      <c r="M40" t="s">
        <v>51</v>
      </c>
      <c r="N40">
        <v>0</v>
      </c>
      <c r="O40" t="s">
        <v>31</v>
      </c>
    </row>
    <row r="41" spans="1:15" x14ac:dyDescent="0.35">
      <c r="A41">
        <v>1040</v>
      </c>
      <c r="B41" t="s">
        <v>104</v>
      </c>
      <c r="C41" s="1">
        <v>45636</v>
      </c>
      <c r="D41" s="1">
        <v>45673</v>
      </c>
      <c r="E41" s="1">
        <v>45675</v>
      </c>
      <c r="F41" t="s">
        <v>29</v>
      </c>
      <c r="G41" t="s">
        <v>22</v>
      </c>
      <c r="H41" t="s">
        <v>23</v>
      </c>
      <c r="I41">
        <v>37</v>
      </c>
      <c r="J41">
        <v>2</v>
      </c>
      <c r="K41">
        <v>8444</v>
      </c>
      <c r="L41">
        <v>16888</v>
      </c>
      <c r="M41" t="s">
        <v>24</v>
      </c>
      <c r="N41">
        <v>0</v>
      </c>
      <c r="O41" t="s">
        <v>31</v>
      </c>
    </row>
    <row r="42" spans="1:15" x14ac:dyDescent="0.35">
      <c r="A42">
        <v>1041</v>
      </c>
      <c r="B42" t="s">
        <v>106</v>
      </c>
      <c r="C42" s="1">
        <v>45319</v>
      </c>
      <c r="D42" s="1">
        <v>45344</v>
      </c>
      <c r="E42" s="1">
        <v>45349</v>
      </c>
      <c r="F42" t="s">
        <v>60</v>
      </c>
      <c r="G42" t="s">
        <v>39</v>
      </c>
      <c r="H42" t="s">
        <v>23</v>
      </c>
      <c r="I42">
        <v>25</v>
      </c>
      <c r="J42">
        <v>5</v>
      </c>
      <c r="K42">
        <v>5240</v>
      </c>
      <c r="L42">
        <v>26200</v>
      </c>
      <c r="M42" t="s">
        <v>24</v>
      </c>
      <c r="N42">
        <v>1</v>
      </c>
      <c r="O42" t="s">
        <v>31</v>
      </c>
    </row>
    <row r="43" spans="1:15" x14ac:dyDescent="0.35">
      <c r="A43">
        <v>1042</v>
      </c>
      <c r="B43" t="s">
        <v>104</v>
      </c>
      <c r="C43" s="1">
        <v>45357</v>
      </c>
      <c r="D43" s="1">
        <v>45375</v>
      </c>
      <c r="E43" s="1">
        <v>45379</v>
      </c>
      <c r="F43" t="s">
        <v>21</v>
      </c>
      <c r="G43" t="s">
        <v>39</v>
      </c>
      <c r="H43" t="s">
        <v>30</v>
      </c>
      <c r="I43">
        <v>18</v>
      </c>
      <c r="J43">
        <v>4</v>
      </c>
      <c r="K43">
        <v>2992</v>
      </c>
      <c r="L43">
        <v>11968</v>
      </c>
      <c r="M43" t="s">
        <v>24</v>
      </c>
      <c r="N43">
        <v>0</v>
      </c>
      <c r="O43" t="s">
        <v>31</v>
      </c>
    </row>
    <row r="44" spans="1:15" x14ac:dyDescent="0.35">
      <c r="A44">
        <v>1043</v>
      </c>
      <c r="B44" t="s">
        <v>108</v>
      </c>
      <c r="C44" s="1">
        <v>45454</v>
      </c>
      <c r="D44" s="1">
        <v>45473</v>
      </c>
      <c r="E44" s="1">
        <v>45477</v>
      </c>
      <c r="F44" t="s">
        <v>21</v>
      </c>
      <c r="G44" t="s">
        <v>22</v>
      </c>
      <c r="H44" t="s">
        <v>30</v>
      </c>
      <c r="I44">
        <v>19</v>
      </c>
      <c r="J44">
        <v>4</v>
      </c>
      <c r="K44">
        <v>4048</v>
      </c>
      <c r="L44">
        <v>16192</v>
      </c>
      <c r="M44" t="s">
        <v>24</v>
      </c>
      <c r="N44">
        <v>1</v>
      </c>
      <c r="O44" t="s">
        <v>25</v>
      </c>
    </row>
    <row r="45" spans="1:15" x14ac:dyDescent="0.35">
      <c r="A45">
        <v>1044</v>
      </c>
      <c r="B45" t="s">
        <v>110</v>
      </c>
      <c r="C45" s="1">
        <v>45520</v>
      </c>
      <c r="D45" s="1">
        <v>45543</v>
      </c>
      <c r="E45" s="1">
        <v>45548</v>
      </c>
      <c r="F45" t="s">
        <v>21</v>
      </c>
      <c r="G45" t="s">
        <v>39</v>
      </c>
      <c r="H45" t="s">
        <v>30</v>
      </c>
      <c r="I45">
        <v>23</v>
      </c>
      <c r="J45">
        <v>5</v>
      </c>
      <c r="K45">
        <v>3643</v>
      </c>
      <c r="L45">
        <v>18215</v>
      </c>
      <c r="M45" t="s">
        <v>51</v>
      </c>
      <c r="N45">
        <v>0</v>
      </c>
      <c r="O45" t="s">
        <v>25</v>
      </c>
    </row>
    <row r="46" spans="1:15" x14ac:dyDescent="0.35">
      <c r="A46">
        <v>1045</v>
      </c>
      <c r="B46" t="s">
        <v>112</v>
      </c>
      <c r="C46" s="1">
        <v>45552</v>
      </c>
      <c r="D46" s="1">
        <v>45607</v>
      </c>
      <c r="E46" s="1">
        <v>45609</v>
      </c>
      <c r="F46" t="s">
        <v>29</v>
      </c>
      <c r="G46" t="s">
        <v>39</v>
      </c>
      <c r="H46" t="s">
        <v>23</v>
      </c>
      <c r="I46">
        <v>55</v>
      </c>
      <c r="J46">
        <v>2</v>
      </c>
      <c r="K46">
        <v>7565</v>
      </c>
      <c r="L46">
        <v>15130</v>
      </c>
      <c r="M46" t="s">
        <v>51</v>
      </c>
      <c r="N46">
        <v>1</v>
      </c>
      <c r="O46" t="s">
        <v>25</v>
      </c>
    </row>
    <row r="47" spans="1:15" x14ac:dyDescent="0.35">
      <c r="A47">
        <v>1046</v>
      </c>
      <c r="B47" t="s">
        <v>114</v>
      </c>
      <c r="C47" s="1">
        <v>45455</v>
      </c>
      <c r="D47" s="1">
        <v>45493</v>
      </c>
      <c r="E47" s="1">
        <v>45495</v>
      </c>
      <c r="F47" t="s">
        <v>38</v>
      </c>
      <c r="G47" t="s">
        <v>39</v>
      </c>
      <c r="H47" t="s">
        <v>30</v>
      </c>
      <c r="I47">
        <v>38</v>
      </c>
      <c r="J47">
        <v>2</v>
      </c>
      <c r="K47">
        <v>8996</v>
      </c>
      <c r="L47">
        <v>17992</v>
      </c>
      <c r="M47" t="s">
        <v>24</v>
      </c>
      <c r="N47">
        <v>0</v>
      </c>
      <c r="O47" t="s">
        <v>31</v>
      </c>
    </row>
    <row r="48" spans="1:15" x14ac:dyDescent="0.35">
      <c r="A48">
        <v>1047</v>
      </c>
      <c r="B48" t="s">
        <v>116</v>
      </c>
      <c r="C48" s="1">
        <v>45592</v>
      </c>
      <c r="D48" s="1">
        <v>45646</v>
      </c>
      <c r="E48" s="1">
        <v>45648</v>
      </c>
      <c r="F48" t="s">
        <v>35</v>
      </c>
      <c r="G48" t="s">
        <v>39</v>
      </c>
      <c r="H48" t="s">
        <v>30</v>
      </c>
      <c r="I48">
        <v>54</v>
      </c>
      <c r="J48">
        <v>2</v>
      </c>
      <c r="K48">
        <v>8683</v>
      </c>
      <c r="L48">
        <v>17366</v>
      </c>
      <c r="M48" t="s">
        <v>24</v>
      </c>
      <c r="N48">
        <v>1</v>
      </c>
      <c r="O48" t="s">
        <v>31</v>
      </c>
    </row>
    <row r="49" spans="1:15" x14ac:dyDescent="0.35">
      <c r="A49">
        <v>1048</v>
      </c>
      <c r="B49" t="s">
        <v>118</v>
      </c>
      <c r="C49" s="1">
        <v>45594</v>
      </c>
      <c r="D49" s="1">
        <v>45612</v>
      </c>
      <c r="E49" s="1">
        <v>45613</v>
      </c>
      <c r="F49" t="s">
        <v>38</v>
      </c>
      <c r="G49" t="s">
        <v>22</v>
      </c>
      <c r="H49" t="s">
        <v>30</v>
      </c>
      <c r="I49">
        <v>18</v>
      </c>
      <c r="J49">
        <v>1</v>
      </c>
      <c r="K49">
        <v>6457</v>
      </c>
      <c r="L49">
        <v>6457</v>
      </c>
      <c r="M49" t="s">
        <v>51</v>
      </c>
      <c r="N49">
        <v>1</v>
      </c>
      <c r="O49" t="s">
        <v>25</v>
      </c>
    </row>
    <row r="50" spans="1:15" x14ac:dyDescent="0.35">
      <c r="A50">
        <v>1049</v>
      </c>
      <c r="B50" t="s">
        <v>119</v>
      </c>
      <c r="C50" s="1">
        <v>45578</v>
      </c>
      <c r="D50" s="1">
        <v>45604</v>
      </c>
      <c r="E50" s="1">
        <v>45609</v>
      </c>
      <c r="F50" t="s">
        <v>29</v>
      </c>
      <c r="G50" t="s">
        <v>39</v>
      </c>
      <c r="H50" t="s">
        <v>23</v>
      </c>
      <c r="I50">
        <v>26</v>
      </c>
      <c r="J50">
        <v>5</v>
      </c>
      <c r="K50">
        <v>5907</v>
      </c>
      <c r="L50">
        <v>29535</v>
      </c>
      <c r="M50" t="s">
        <v>51</v>
      </c>
      <c r="N50">
        <v>1</v>
      </c>
      <c r="O50" t="s">
        <v>31</v>
      </c>
    </row>
    <row r="51" spans="1:15" x14ac:dyDescent="0.35">
      <c r="A51">
        <v>1050</v>
      </c>
      <c r="B51" t="s">
        <v>120</v>
      </c>
      <c r="C51" s="1">
        <v>45301</v>
      </c>
      <c r="D51" s="1">
        <v>45307</v>
      </c>
      <c r="E51" s="1">
        <v>45309</v>
      </c>
      <c r="F51" t="s">
        <v>21</v>
      </c>
      <c r="G51" t="s">
        <v>22</v>
      </c>
      <c r="H51" t="s">
        <v>46</v>
      </c>
      <c r="I51">
        <v>6</v>
      </c>
      <c r="J51">
        <v>2</v>
      </c>
      <c r="K51">
        <v>3139</v>
      </c>
      <c r="L51">
        <v>6278</v>
      </c>
      <c r="M51" t="s">
        <v>51</v>
      </c>
      <c r="N51">
        <v>0</v>
      </c>
      <c r="O51" t="s">
        <v>31</v>
      </c>
    </row>
    <row r="52" spans="1:15" x14ac:dyDescent="0.35">
      <c r="A52">
        <v>1051</v>
      </c>
      <c r="B52" t="s">
        <v>121</v>
      </c>
      <c r="C52" s="1">
        <v>45486</v>
      </c>
      <c r="D52" s="1">
        <v>45490</v>
      </c>
      <c r="E52" s="1">
        <v>45494</v>
      </c>
      <c r="F52" t="s">
        <v>38</v>
      </c>
      <c r="G52" t="s">
        <v>22</v>
      </c>
      <c r="H52" t="s">
        <v>46</v>
      </c>
      <c r="I52">
        <v>4</v>
      </c>
      <c r="J52">
        <v>4</v>
      </c>
      <c r="K52">
        <v>2672</v>
      </c>
      <c r="L52">
        <v>10688</v>
      </c>
      <c r="M52" t="s">
        <v>51</v>
      </c>
      <c r="N52">
        <v>0</v>
      </c>
      <c r="O52" t="s">
        <v>31</v>
      </c>
    </row>
    <row r="53" spans="1:15" x14ac:dyDescent="0.35">
      <c r="A53">
        <v>1052</v>
      </c>
      <c r="B53" t="s">
        <v>122</v>
      </c>
      <c r="C53" s="1">
        <v>45409</v>
      </c>
      <c r="D53" s="1">
        <v>45453</v>
      </c>
      <c r="E53" s="1">
        <v>45456</v>
      </c>
      <c r="F53" t="s">
        <v>35</v>
      </c>
      <c r="G53" t="s">
        <v>39</v>
      </c>
      <c r="H53" t="s">
        <v>23</v>
      </c>
      <c r="I53">
        <v>44</v>
      </c>
      <c r="J53">
        <v>3</v>
      </c>
      <c r="K53">
        <v>8166</v>
      </c>
      <c r="L53">
        <v>24498</v>
      </c>
      <c r="M53" t="s">
        <v>51</v>
      </c>
      <c r="N53">
        <v>0</v>
      </c>
      <c r="O53" t="s">
        <v>25</v>
      </c>
    </row>
    <row r="54" spans="1:15" x14ac:dyDescent="0.35">
      <c r="A54">
        <v>1053</v>
      </c>
      <c r="B54" t="s">
        <v>123</v>
      </c>
      <c r="C54" s="1">
        <v>45561</v>
      </c>
      <c r="D54" s="1">
        <v>45612</v>
      </c>
      <c r="E54" s="1">
        <v>45615</v>
      </c>
      <c r="F54" t="s">
        <v>21</v>
      </c>
      <c r="G54" t="s">
        <v>39</v>
      </c>
      <c r="H54" t="s">
        <v>46</v>
      </c>
      <c r="I54">
        <v>51</v>
      </c>
      <c r="J54">
        <v>3</v>
      </c>
      <c r="K54">
        <v>6854</v>
      </c>
      <c r="L54">
        <v>20562</v>
      </c>
      <c r="M54" t="s">
        <v>51</v>
      </c>
      <c r="N54">
        <v>0</v>
      </c>
      <c r="O54" t="s">
        <v>25</v>
      </c>
    </row>
    <row r="55" spans="1:15" x14ac:dyDescent="0.35">
      <c r="A55">
        <v>1054</v>
      </c>
      <c r="B55" t="s">
        <v>125</v>
      </c>
      <c r="C55" s="1">
        <v>45371</v>
      </c>
      <c r="D55" s="1">
        <v>45400</v>
      </c>
      <c r="E55" s="1">
        <v>45402</v>
      </c>
      <c r="F55" t="s">
        <v>35</v>
      </c>
      <c r="G55" t="s">
        <v>39</v>
      </c>
      <c r="H55" t="s">
        <v>30</v>
      </c>
      <c r="I55">
        <v>29</v>
      </c>
      <c r="J55">
        <v>2</v>
      </c>
      <c r="K55">
        <v>6459</v>
      </c>
      <c r="L55">
        <v>12918</v>
      </c>
      <c r="M55" t="s">
        <v>24</v>
      </c>
      <c r="N55">
        <v>1</v>
      </c>
      <c r="O55" t="s">
        <v>31</v>
      </c>
    </row>
    <row r="56" spans="1:15" x14ac:dyDescent="0.35">
      <c r="A56">
        <v>1055</v>
      </c>
      <c r="B56" t="s">
        <v>126</v>
      </c>
      <c r="C56" s="1">
        <v>45384</v>
      </c>
      <c r="D56" s="1">
        <v>45443</v>
      </c>
      <c r="E56" s="1">
        <v>45446</v>
      </c>
      <c r="F56" t="s">
        <v>60</v>
      </c>
      <c r="G56" t="s">
        <v>22</v>
      </c>
      <c r="H56" t="s">
        <v>30</v>
      </c>
      <c r="I56">
        <v>59</v>
      </c>
      <c r="J56">
        <v>3</v>
      </c>
      <c r="K56">
        <v>3016</v>
      </c>
      <c r="L56">
        <v>9048</v>
      </c>
      <c r="M56" t="s">
        <v>51</v>
      </c>
      <c r="N56">
        <v>1</v>
      </c>
      <c r="O56" t="s">
        <v>31</v>
      </c>
    </row>
    <row r="57" spans="1:15" x14ac:dyDescent="0.35">
      <c r="A57">
        <v>1056</v>
      </c>
      <c r="B57" t="s">
        <v>127</v>
      </c>
      <c r="C57" s="1">
        <v>45557</v>
      </c>
      <c r="D57" s="1">
        <v>45591</v>
      </c>
      <c r="E57" s="1">
        <v>45594</v>
      </c>
      <c r="F57" t="s">
        <v>35</v>
      </c>
      <c r="G57" t="s">
        <v>22</v>
      </c>
      <c r="H57" t="s">
        <v>23</v>
      </c>
      <c r="I57">
        <v>34</v>
      </c>
      <c r="J57">
        <v>3</v>
      </c>
      <c r="K57">
        <v>3022</v>
      </c>
      <c r="L57">
        <v>9066</v>
      </c>
      <c r="M57" t="s">
        <v>51</v>
      </c>
      <c r="N57">
        <v>1</v>
      </c>
      <c r="O57" t="s">
        <v>31</v>
      </c>
    </row>
    <row r="58" spans="1:15" x14ac:dyDescent="0.35">
      <c r="A58">
        <v>1057</v>
      </c>
      <c r="B58" t="s">
        <v>129</v>
      </c>
      <c r="C58" s="1">
        <v>45623</v>
      </c>
      <c r="D58" s="1">
        <v>45640</v>
      </c>
      <c r="E58" s="1">
        <v>45641</v>
      </c>
      <c r="F58" t="s">
        <v>21</v>
      </c>
      <c r="G58" t="s">
        <v>22</v>
      </c>
      <c r="H58" t="s">
        <v>23</v>
      </c>
      <c r="I58">
        <v>17</v>
      </c>
      <c r="J58">
        <v>1</v>
      </c>
      <c r="K58">
        <v>4417</v>
      </c>
      <c r="L58">
        <v>4417</v>
      </c>
      <c r="M58" t="s">
        <v>24</v>
      </c>
      <c r="N58">
        <v>0</v>
      </c>
      <c r="O58" t="s">
        <v>31</v>
      </c>
    </row>
    <row r="59" spans="1:15" x14ac:dyDescent="0.35">
      <c r="A59">
        <v>1058</v>
      </c>
      <c r="B59" t="s">
        <v>130</v>
      </c>
      <c r="C59" s="1">
        <v>45641</v>
      </c>
      <c r="D59" s="1">
        <v>45684</v>
      </c>
      <c r="E59" s="1">
        <v>45688</v>
      </c>
      <c r="F59" t="s">
        <v>60</v>
      </c>
      <c r="G59" t="s">
        <v>22</v>
      </c>
      <c r="H59" t="s">
        <v>46</v>
      </c>
      <c r="I59">
        <v>43</v>
      </c>
      <c r="J59">
        <v>4</v>
      </c>
      <c r="K59">
        <v>5386</v>
      </c>
      <c r="L59">
        <v>21544</v>
      </c>
      <c r="M59" t="s">
        <v>51</v>
      </c>
      <c r="N59">
        <v>0</v>
      </c>
      <c r="O59" t="s">
        <v>25</v>
      </c>
    </row>
    <row r="60" spans="1:15" x14ac:dyDescent="0.35">
      <c r="A60">
        <v>1059</v>
      </c>
      <c r="B60" t="s">
        <v>131</v>
      </c>
      <c r="C60" s="1">
        <v>45652</v>
      </c>
      <c r="D60" s="1">
        <v>45695</v>
      </c>
      <c r="E60" s="1">
        <v>45699</v>
      </c>
      <c r="F60" t="s">
        <v>21</v>
      </c>
      <c r="G60" t="s">
        <v>22</v>
      </c>
      <c r="H60" t="s">
        <v>46</v>
      </c>
      <c r="I60">
        <v>43</v>
      </c>
      <c r="J60">
        <v>4</v>
      </c>
      <c r="K60">
        <v>4664</v>
      </c>
      <c r="L60">
        <v>18656</v>
      </c>
      <c r="M60" t="s">
        <v>51</v>
      </c>
      <c r="N60">
        <v>0</v>
      </c>
      <c r="O60" t="s">
        <v>31</v>
      </c>
    </row>
    <row r="61" spans="1:15" x14ac:dyDescent="0.35">
      <c r="A61">
        <v>1060</v>
      </c>
      <c r="B61" t="s">
        <v>132</v>
      </c>
      <c r="C61" s="1">
        <v>45548</v>
      </c>
      <c r="D61" s="1">
        <v>45601</v>
      </c>
      <c r="E61" s="1">
        <v>45602</v>
      </c>
      <c r="F61" t="s">
        <v>21</v>
      </c>
      <c r="G61" t="s">
        <v>22</v>
      </c>
      <c r="H61" t="s">
        <v>30</v>
      </c>
      <c r="I61">
        <v>53</v>
      </c>
      <c r="J61">
        <v>1</v>
      </c>
      <c r="K61">
        <v>8827</v>
      </c>
      <c r="L61">
        <v>8827</v>
      </c>
      <c r="M61" t="s">
        <v>51</v>
      </c>
      <c r="N61">
        <v>1</v>
      </c>
      <c r="O61" t="s">
        <v>25</v>
      </c>
    </row>
    <row r="62" spans="1:15" x14ac:dyDescent="0.35">
      <c r="A62">
        <v>1061</v>
      </c>
      <c r="B62" t="s">
        <v>134</v>
      </c>
      <c r="C62" s="1">
        <v>45424</v>
      </c>
      <c r="D62" s="1">
        <v>45440</v>
      </c>
      <c r="E62" s="1">
        <v>45441</v>
      </c>
      <c r="F62" t="s">
        <v>60</v>
      </c>
      <c r="G62" t="s">
        <v>22</v>
      </c>
      <c r="H62" t="s">
        <v>23</v>
      </c>
      <c r="I62">
        <v>16</v>
      </c>
      <c r="J62">
        <v>1</v>
      </c>
      <c r="K62">
        <v>4429</v>
      </c>
      <c r="L62">
        <v>4429</v>
      </c>
      <c r="M62" t="s">
        <v>24</v>
      </c>
      <c r="N62">
        <v>1</v>
      </c>
      <c r="O62" t="s">
        <v>25</v>
      </c>
    </row>
    <row r="63" spans="1:15" x14ac:dyDescent="0.35">
      <c r="A63">
        <v>1062</v>
      </c>
      <c r="B63" t="s">
        <v>135</v>
      </c>
      <c r="C63" s="1">
        <v>45567</v>
      </c>
      <c r="D63" s="1">
        <v>45569</v>
      </c>
      <c r="E63" s="1">
        <v>45572</v>
      </c>
      <c r="F63" t="s">
        <v>35</v>
      </c>
      <c r="G63" t="s">
        <v>39</v>
      </c>
      <c r="H63" t="s">
        <v>46</v>
      </c>
      <c r="I63">
        <v>2</v>
      </c>
      <c r="J63">
        <v>3</v>
      </c>
      <c r="K63">
        <v>6445</v>
      </c>
      <c r="L63">
        <v>19335</v>
      </c>
      <c r="M63" t="s">
        <v>51</v>
      </c>
      <c r="N63">
        <v>0</v>
      </c>
      <c r="O63" t="s">
        <v>25</v>
      </c>
    </row>
    <row r="64" spans="1:15" x14ac:dyDescent="0.35">
      <c r="A64">
        <v>1063</v>
      </c>
      <c r="B64" t="s">
        <v>136</v>
      </c>
      <c r="C64" s="1">
        <v>45555</v>
      </c>
      <c r="D64" s="1">
        <v>45589</v>
      </c>
      <c r="E64" s="1">
        <v>45594</v>
      </c>
      <c r="F64" t="s">
        <v>29</v>
      </c>
      <c r="G64" t="s">
        <v>22</v>
      </c>
      <c r="H64" t="s">
        <v>46</v>
      </c>
      <c r="I64">
        <v>34</v>
      </c>
      <c r="J64">
        <v>5</v>
      </c>
      <c r="K64">
        <v>7735</v>
      </c>
      <c r="L64">
        <v>38675</v>
      </c>
      <c r="M64" t="s">
        <v>24</v>
      </c>
      <c r="N64">
        <v>1</v>
      </c>
      <c r="O64" t="s">
        <v>31</v>
      </c>
    </row>
    <row r="65" spans="1:15" x14ac:dyDescent="0.35">
      <c r="A65">
        <v>1064</v>
      </c>
      <c r="B65" t="s">
        <v>80</v>
      </c>
      <c r="C65" s="1">
        <v>45462</v>
      </c>
      <c r="D65" s="1">
        <v>45517</v>
      </c>
      <c r="E65" s="1">
        <v>45520</v>
      </c>
      <c r="F65" t="s">
        <v>29</v>
      </c>
      <c r="G65" t="s">
        <v>22</v>
      </c>
      <c r="H65" t="s">
        <v>30</v>
      </c>
      <c r="I65">
        <v>55</v>
      </c>
      <c r="J65">
        <v>3</v>
      </c>
      <c r="K65">
        <v>4709</v>
      </c>
      <c r="L65">
        <v>14127</v>
      </c>
      <c r="M65" t="s">
        <v>51</v>
      </c>
      <c r="N65">
        <v>1</v>
      </c>
      <c r="O65" t="s">
        <v>25</v>
      </c>
    </row>
    <row r="66" spans="1:15" x14ac:dyDescent="0.35">
      <c r="A66">
        <v>1065</v>
      </c>
      <c r="B66" t="s">
        <v>137</v>
      </c>
      <c r="C66" s="1">
        <v>45292</v>
      </c>
      <c r="D66" s="1">
        <v>45300</v>
      </c>
      <c r="E66" s="1">
        <v>45301</v>
      </c>
      <c r="F66" t="s">
        <v>29</v>
      </c>
      <c r="G66" t="s">
        <v>22</v>
      </c>
      <c r="H66" t="s">
        <v>30</v>
      </c>
      <c r="I66">
        <v>8</v>
      </c>
      <c r="J66">
        <v>1</v>
      </c>
      <c r="K66">
        <v>6283</v>
      </c>
      <c r="L66">
        <v>6283</v>
      </c>
      <c r="M66" t="s">
        <v>24</v>
      </c>
      <c r="N66">
        <v>0</v>
      </c>
      <c r="O66" t="s">
        <v>25</v>
      </c>
    </row>
    <row r="67" spans="1:15" x14ac:dyDescent="0.35">
      <c r="A67">
        <v>1066</v>
      </c>
      <c r="B67" t="s">
        <v>138</v>
      </c>
      <c r="C67" s="1">
        <v>45604</v>
      </c>
      <c r="D67" s="1">
        <v>45617</v>
      </c>
      <c r="E67" s="1">
        <v>45621</v>
      </c>
      <c r="F67" t="s">
        <v>29</v>
      </c>
      <c r="G67" t="s">
        <v>22</v>
      </c>
      <c r="H67" t="s">
        <v>30</v>
      </c>
      <c r="I67">
        <v>13</v>
      </c>
      <c r="J67">
        <v>4</v>
      </c>
      <c r="K67">
        <v>5090</v>
      </c>
      <c r="L67">
        <v>20360</v>
      </c>
      <c r="M67" t="s">
        <v>51</v>
      </c>
      <c r="N67">
        <v>0</v>
      </c>
      <c r="O67" t="s">
        <v>31</v>
      </c>
    </row>
    <row r="68" spans="1:15" x14ac:dyDescent="0.35">
      <c r="A68">
        <v>1067</v>
      </c>
      <c r="B68" t="s">
        <v>139</v>
      </c>
      <c r="C68" s="1">
        <v>45355</v>
      </c>
      <c r="D68" s="1">
        <v>45397</v>
      </c>
      <c r="E68" s="1">
        <v>45400</v>
      </c>
      <c r="F68" t="s">
        <v>38</v>
      </c>
      <c r="G68" t="s">
        <v>39</v>
      </c>
      <c r="H68" t="s">
        <v>30</v>
      </c>
      <c r="I68">
        <v>42</v>
      </c>
      <c r="J68">
        <v>3</v>
      </c>
      <c r="K68">
        <v>7434</v>
      </c>
      <c r="L68">
        <v>22302</v>
      </c>
      <c r="M68" t="s">
        <v>51</v>
      </c>
      <c r="N68">
        <v>1</v>
      </c>
      <c r="O68" t="s">
        <v>31</v>
      </c>
    </row>
    <row r="69" spans="1:15" x14ac:dyDescent="0.35">
      <c r="A69">
        <v>1068</v>
      </c>
      <c r="B69" t="s">
        <v>141</v>
      </c>
      <c r="C69" s="1">
        <v>45575</v>
      </c>
      <c r="D69" s="1">
        <v>45583</v>
      </c>
      <c r="E69" s="1">
        <v>45588</v>
      </c>
      <c r="F69" t="s">
        <v>29</v>
      </c>
      <c r="G69" t="s">
        <v>22</v>
      </c>
      <c r="H69" t="s">
        <v>46</v>
      </c>
      <c r="I69">
        <v>8</v>
      </c>
      <c r="J69">
        <v>5</v>
      </c>
      <c r="K69">
        <v>6576</v>
      </c>
      <c r="L69">
        <v>32880</v>
      </c>
      <c r="M69" t="s">
        <v>51</v>
      </c>
      <c r="N69">
        <v>0</v>
      </c>
      <c r="O69" t="s">
        <v>31</v>
      </c>
    </row>
    <row r="70" spans="1:15" x14ac:dyDescent="0.35">
      <c r="A70">
        <v>1069</v>
      </c>
      <c r="B70" t="s">
        <v>142</v>
      </c>
      <c r="C70" s="1">
        <v>45412</v>
      </c>
      <c r="D70" s="1">
        <v>45442</v>
      </c>
      <c r="E70" s="1">
        <v>45445</v>
      </c>
      <c r="F70" t="s">
        <v>60</v>
      </c>
      <c r="G70" t="s">
        <v>22</v>
      </c>
      <c r="H70" t="s">
        <v>23</v>
      </c>
      <c r="I70">
        <v>30</v>
      </c>
      <c r="J70">
        <v>3</v>
      </c>
      <c r="K70">
        <v>7685</v>
      </c>
      <c r="L70">
        <v>23055</v>
      </c>
      <c r="M70" t="s">
        <v>24</v>
      </c>
      <c r="N70">
        <v>1</v>
      </c>
      <c r="O70" t="s">
        <v>25</v>
      </c>
    </row>
    <row r="71" spans="1:15" x14ac:dyDescent="0.35">
      <c r="A71">
        <v>1070</v>
      </c>
      <c r="B71" t="s">
        <v>143</v>
      </c>
      <c r="C71" s="1">
        <v>45398</v>
      </c>
      <c r="D71" s="1">
        <v>45430</v>
      </c>
      <c r="E71" s="1">
        <v>45432</v>
      </c>
      <c r="F71" t="s">
        <v>29</v>
      </c>
      <c r="G71" t="s">
        <v>39</v>
      </c>
      <c r="H71" t="s">
        <v>23</v>
      </c>
      <c r="I71">
        <v>32</v>
      </c>
      <c r="J71">
        <v>2</v>
      </c>
      <c r="K71">
        <v>3593</v>
      </c>
      <c r="L71">
        <v>7186</v>
      </c>
      <c r="M71" t="s">
        <v>51</v>
      </c>
      <c r="N71">
        <v>1</v>
      </c>
      <c r="O71" t="s">
        <v>31</v>
      </c>
    </row>
    <row r="72" spans="1:15" x14ac:dyDescent="0.35">
      <c r="A72">
        <v>1071</v>
      </c>
      <c r="B72" t="s">
        <v>145</v>
      </c>
      <c r="C72" s="1">
        <v>45466</v>
      </c>
      <c r="D72" s="1">
        <v>45502</v>
      </c>
      <c r="E72" s="1">
        <v>45505</v>
      </c>
      <c r="F72" t="s">
        <v>21</v>
      </c>
      <c r="G72" t="s">
        <v>39</v>
      </c>
      <c r="H72" t="s">
        <v>30</v>
      </c>
      <c r="I72">
        <v>36</v>
      </c>
      <c r="J72">
        <v>3</v>
      </c>
      <c r="K72">
        <v>6380</v>
      </c>
      <c r="L72">
        <v>19140</v>
      </c>
      <c r="M72" t="s">
        <v>51</v>
      </c>
      <c r="N72">
        <v>1</v>
      </c>
      <c r="O72" t="s">
        <v>25</v>
      </c>
    </row>
    <row r="73" spans="1:15" x14ac:dyDescent="0.35">
      <c r="A73">
        <v>1072</v>
      </c>
      <c r="B73" t="s">
        <v>147</v>
      </c>
      <c r="C73" s="1">
        <v>45495</v>
      </c>
      <c r="D73" s="1">
        <v>45542</v>
      </c>
      <c r="E73" s="1">
        <v>45543</v>
      </c>
      <c r="F73" t="s">
        <v>29</v>
      </c>
      <c r="G73" t="s">
        <v>22</v>
      </c>
      <c r="H73" t="s">
        <v>30</v>
      </c>
      <c r="I73">
        <v>47</v>
      </c>
      <c r="J73">
        <v>1</v>
      </c>
      <c r="K73">
        <v>4994</v>
      </c>
      <c r="L73">
        <v>4994</v>
      </c>
      <c r="M73" t="s">
        <v>24</v>
      </c>
      <c r="N73">
        <v>0</v>
      </c>
      <c r="O73" t="s">
        <v>25</v>
      </c>
    </row>
    <row r="74" spans="1:15" x14ac:dyDescent="0.35">
      <c r="A74">
        <v>1073</v>
      </c>
      <c r="B74" t="s">
        <v>149</v>
      </c>
      <c r="C74" s="1">
        <v>45456</v>
      </c>
      <c r="D74" s="1">
        <v>45486</v>
      </c>
      <c r="E74" s="1">
        <v>45490</v>
      </c>
      <c r="F74" t="s">
        <v>35</v>
      </c>
      <c r="G74" t="s">
        <v>22</v>
      </c>
      <c r="H74" t="s">
        <v>46</v>
      </c>
      <c r="I74">
        <v>30</v>
      </c>
      <c r="J74">
        <v>4</v>
      </c>
      <c r="K74">
        <v>5079</v>
      </c>
      <c r="L74">
        <v>20316</v>
      </c>
      <c r="M74" t="s">
        <v>24</v>
      </c>
      <c r="N74">
        <v>0</v>
      </c>
      <c r="O74" t="s">
        <v>31</v>
      </c>
    </row>
    <row r="75" spans="1:15" x14ac:dyDescent="0.35">
      <c r="A75">
        <v>1074</v>
      </c>
      <c r="B75" t="s">
        <v>150</v>
      </c>
      <c r="C75" s="1">
        <v>45596</v>
      </c>
      <c r="D75" s="1">
        <v>45597</v>
      </c>
      <c r="E75" s="1">
        <v>45601</v>
      </c>
      <c r="F75" t="s">
        <v>60</v>
      </c>
      <c r="G75" t="s">
        <v>22</v>
      </c>
      <c r="H75" t="s">
        <v>30</v>
      </c>
      <c r="I75">
        <v>1</v>
      </c>
      <c r="J75">
        <v>4</v>
      </c>
      <c r="K75">
        <v>4988</v>
      </c>
      <c r="L75">
        <v>19952</v>
      </c>
      <c r="M75" t="s">
        <v>24</v>
      </c>
      <c r="N75">
        <v>0</v>
      </c>
      <c r="O75" t="s">
        <v>25</v>
      </c>
    </row>
    <row r="76" spans="1:15" x14ac:dyDescent="0.35">
      <c r="A76">
        <v>1075</v>
      </c>
      <c r="B76" t="s">
        <v>151</v>
      </c>
      <c r="C76" s="1">
        <v>45411</v>
      </c>
      <c r="D76" s="1">
        <v>45454</v>
      </c>
      <c r="E76" s="1">
        <v>45455</v>
      </c>
      <c r="F76" t="s">
        <v>60</v>
      </c>
      <c r="G76" t="s">
        <v>22</v>
      </c>
      <c r="H76" t="s">
        <v>23</v>
      </c>
      <c r="I76">
        <v>43</v>
      </c>
      <c r="J76">
        <v>1</v>
      </c>
      <c r="K76">
        <v>5285</v>
      </c>
      <c r="L76">
        <v>5285</v>
      </c>
      <c r="M76" t="s">
        <v>51</v>
      </c>
      <c r="N76">
        <v>1</v>
      </c>
      <c r="O76" t="s">
        <v>25</v>
      </c>
    </row>
    <row r="77" spans="1:15" x14ac:dyDescent="0.35">
      <c r="A77">
        <v>1076</v>
      </c>
      <c r="B77" t="s">
        <v>152</v>
      </c>
      <c r="C77" s="1">
        <v>45335</v>
      </c>
      <c r="D77" s="1">
        <v>45374</v>
      </c>
      <c r="E77" s="1">
        <v>45376</v>
      </c>
      <c r="F77" t="s">
        <v>38</v>
      </c>
      <c r="G77" t="s">
        <v>22</v>
      </c>
      <c r="H77" t="s">
        <v>30</v>
      </c>
      <c r="I77">
        <v>39</v>
      </c>
      <c r="J77">
        <v>2</v>
      </c>
      <c r="K77">
        <v>8565</v>
      </c>
      <c r="L77">
        <v>17130</v>
      </c>
      <c r="M77" t="s">
        <v>24</v>
      </c>
      <c r="N77">
        <v>1</v>
      </c>
      <c r="O77" t="s">
        <v>25</v>
      </c>
    </row>
    <row r="78" spans="1:15" x14ac:dyDescent="0.35">
      <c r="A78">
        <v>1077</v>
      </c>
      <c r="B78" t="s">
        <v>154</v>
      </c>
      <c r="C78" s="1">
        <v>45603</v>
      </c>
      <c r="D78" s="1">
        <v>45620</v>
      </c>
      <c r="E78" s="1">
        <v>45621</v>
      </c>
      <c r="F78" t="s">
        <v>21</v>
      </c>
      <c r="G78" t="s">
        <v>22</v>
      </c>
      <c r="H78" t="s">
        <v>23</v>
      </c>
      <c r="I78">
        <v>17</v>
      </c>
      <c r="J78">
        <v>1</v>
      </c>
      <c r="K78">
        <v>5258</v>
      </c>
      <c r="L78">
        <v>5258</v>
      </c>
      <c r="M78" t="s">
        <v>51</v>
      </c>
      <c r="N78">
        <v>0</v>
      </c>
      <c r="O78" t="s">
        <v>25</v>
      </c>
    </row>
    <row r="79" spans="1:15" x14ac:dyDescent="0.35">
      <c r="A79">
        <v>1078</v>
      </c>
      <c r="B79" t="s">
        <v>155</v>
      </c>
      <c r="C79" s="1">
        <v>45447</v>
      </c>
      <c r="D79" s="1">
        <v>45506</v>
      </c>
      <c r="E79" s="1">
        <v>45509</v>
      </c>
      <c r="F79" t="s">
        <v>60</v>
      </c>
      <c r="G79" t="s">
        <v>39</v>
      </c>
      <c r="H79" t="s">
        <v>30</v>
      </c>
      <c r="I79">
        <v>59</v>
      </c>
      <c r="J79">
        <v>3</v>
      </c>
      <c r="K79">
        <v>4074</v>
      </c>
      <c r="L79">
        <v>12222</v>
      </c>
      <c r="M79" t="s">
        <v>24</v>
      </c>
      <c r="N79">
        <v>1</v>
      </c>
      <c r="O79" t="s">
        <v>31</v>
      </c>
    </row>
    <row r="80" spans="1:15" x14ac:dyDescent="0.35">
      <c r="A80">
        <v>1079</v>
      </c>
      <c r="B80" t="s">
        <v>156</v>
      </c>
      <c r="C80" s="1">
        <v>45498</v>
      </c>
      <c r="D80" s="1">
        <v>45518</v>
      </c>
      <c r="E80" s="1">
        <v>45519</v>
      </c>
      <c r="F80" t="s">
        <v>35</v>
      </c>
      <c r="G80" t="s">
        <v>39</v>
      </c>
      <c r="H80" t="s">
        <v>30</v>
      </c>
      <c r="I80">
        <v>20</v>
      </c>
      <c r="J80">
        <v>1</v>
      </c>
      <c r="K80">
        <v>8176</v>
      </c>
      <c r="L80">
        <v>8176</v>
      </c>
      <c r="M80" t="s">
        <v>24</v>
      </c>
      <c r="N80">
        <v>0</v>
      </c>
      <c r="O80" t="s">
        <v>25</v>
      </c>
    </row>
    <row r="81" spans="1:15" x14ac:dyDescent="0.35">
      <c r="A81">
        <v>1080</v>
      </c>
      <c r="B81" t="s">
        <v>158</v>
      </c>
      <c r="C81" s="1">
        <v>45399</v>
      </c>
      <c r="D81" s="1">
        <v>45423</v>
      </c>
      <c r="E81" s="1">
        <v>45424</v>
      </c>
      <c r="F81" t="s">
        <v>29</v>
      </c>
      <c r="G81" t="s">
        <v>22</v>
      </c>
      <c r="H81" t="s">
        <v>23</v>
      </c>
      <c r="I81">
        <v>24</v>
      </c>
      <c r="J81">
        <v>1</v>
      </c>
      <c r="K81">
        <v>4873</v>
      </c>
      <c r="L81">
        <v>4873</v>
      </c>
      <c r="M81" t="s">
        <v>51</v>
      </c>
      <c r="N81">
        <v>0</v>
      </c>
      <c r="O81" t="s">
        <v>31</v>
      </c>
    </row>
    <row r="82" spans="1:15" x14ac:dyDescent="0.35">
      <c r="A82">
        <v>1081</v>
      </c>
      <c r="B82" t="s">
        <v>160</v>
      </c>
      <c r="C82" s="1">
        <v>45542</v>
      </c>
      <c r="D82" s="1">
        <v>45592</v>
      </c>
      <c r="E82" s="1">
        <v>45594</v>
      </c>
      <c r="F82" t="s">
        <v>60</v>
      </c>
      <c r="G82" t="s">
        <v>22</v>
      </c>
      <c r="H82" t="s">
        <v>46</v>
      </c>
      <c r="I82">
        <v>50</v>
      </c>
      <c r="J82">
        <v>2</v>
      </c>
      <c r="K82">
        <v>6490</v>
      </c>
      <c r="L82">
        <v>12980</v>
      </c>
      <c r="M82" t="s">
        <v>51</v>
      </c>
      <c r="N82">
        <v>1</v>
      </c>
      <c r="O82" t="s">
        <v>25</v>
      </c>
    </row>
    <row r="83" spans="1:15" x14ac:dyDescent="0.35">
      <c r="A83">
        <v>1082</v>
      </c>
      <c r="B83" t="s">
        <v>161</v>
      </c>
      <c r="C83" s="1">
        <v>45625</v>
      </c>
      <c r="D83" s="1">
        <v>45647</v>
      </c>
      <c r="E83" s="1">
        <v>45650</v>
      </c>
      <c r="F83" t="s">
        <v>35</v>
      </c>
      <c r="G83" t="s">
        <v>22</v>
      </c>
      <c r="H83" t="s">
        <v>46</v>
      </c>
      <c r="I83">
        <v>22</v>
      </c>
      <c r="J83">
        <v>3</v>
      </c>
      <c r="K83">
        <v>7710</v>
      </c>
      <c r="L83">
        <v>23130</v>
      </c>
      <c r="M83" t="s">
        <v>51</v>
      </c>
      <c r="N83">
        <v>0</v>
      </c>
      <c r="O83" t="s">
        <v>25</v>
      </c>
    </row>
    <row r="84" spans="1:15" x14ac:dyDescent="0.35">
      <c r="A84">
        <v>1083</v>
      </c>
      <c r="B84" t="s">
        <v>162</v>
      </c>
      <c r="C84" s="1">
        <v>45421</v>
      </c>
      <c r="D84" s="1">
        <v>45450</v>
      </c>
      <c r="E84" s="1">
        <v>45455</v>
      </c>
      <c r="F84" t="s">
        <v>29</v>
      </c>
      <c r="G84" t="s">
        <v>39</v>
      </c>
      <c r="H84" t="s">
        <v>30</v>
      </c>
      <c r="I84">
        <v>29</v>
      </c>
      <c r="J84">
        <v>5</v>
      </c>
      <c r="K84">
        <v>7345</v>
      </c>
      <c r="L84">
        <v>36725</v>
      </c>
      <c r="M84" t="s">
        <v>51</v>
      </c>
      <c r="N84">
        <v>1</v>
      </c>
      <c r="O84" t="s">
        <v>31</v>
      </c>
    </row>
    <row r="85" spans="1:15" x14ac:dyDescent="0.35">
      <c r="A85">
        <v>1084</v>
      </c>
      <c r="B85" t="s">
        <v>163</v>
      </c>
      <c r="C85" s="1">
        <v>45584</v>
      </c>
      <c r="D85" s="1">
        <v>45606</v>
      </c>
      <c r="E85" s="1">
        <v>45611</v>
      </c>
      <c r="F85" t="s">
        <v>38</v>
      </c>
      <c r="G85" t="s">
        <v>22</v>
      </c>
      <c r="H85" t="s">
        <v>30</v>
      </c>
      <c r="I85">
        <v>22</v>
      </c>
      <c r="J85">
        <v>5</v>
      </c>
      <c r="K85">
        <v>3593</v>
      </c>
      <c r="L85">
        <v>17965</v>
      </c>
      <c r="M85" t="s">
        <v>24</v>
      </c>
      <c r="N85">
        <v>0</v>
      </c>
      <c r="O85" t="s">
        <v>25</v>
      </c>
    </row>
    <row r="86" spans="1:15" x14ac:dyDescent="0.35">
      <c r="A86">
        <v>1085</v>
      </c>
      <c r="B86" t="s">
        <v>164</v>
      </c>
      <c r="C86" s="1">
        <v>45311</v>
      </c>
      <c r="D86" s="1">
        <v>45355</v>
      </c>
      <c r="E86" s="1">
        <v>45359</v>
      </c>
      <c r="F86" t="s">
        <v>60</v>
      </c>
      <c r="G86" t="s">
        <v>39</v>
      </c>
      <c r="H86" t="s">
        <v>23</v>
      </c>
      <c r="I86">
        <v>44</v>
      </c>
      <c r="J86">
        <v>4</v>
      </c>
      <c r="K86">
        <v>3689</v>
      </c>
      <c r="L86">
        <v>14756</v>
      </c>
      <c r="M86" t="s">
        <v>24</v>
      </c>
      <c r="N86">
        <v>1</v>
      </c>
      <c r="O86" t="s">
        <v>25</v>
      </c>
    </row>
    <row r="87" spans="1:15" x14ac:dyDescent="0.35">
      <c r="A87">
        <v>1086</v>
      </c>
      <c r="B87" t="s">
        <v>36</v>
      </c>
      <c r="C87" s="1">
        <v>45573</v>
      </c>
      <c r="D87" s="1">
        <v>45582</v>
      </c>
      <c r="E87" s="1">
        <v>45583</v>
      </c>
      <c r="F87" t="s">
        <v>60</v>
      </c>
      <c r="G87" t="s">
        <v>39</v>
      </c>
      <c r="H87" t="s">
        <v>23</v>
      </c>
      <c r="I87">
        <v>9</v>
      </c>
      <c r="J87">
        <v>1</v>
      </c>
      <c r="K87">
        <v>5189</v>
      </c>
      <c r="L87">
        <v>5189</v>
      </c>
      <c r="M87" t="s">
        <v>24</v>
      </c>
      <c r="N87">
        <v>1</v>
      </c>
      <c r="O87" t="s">
        <v>25</v>
      </c>
    </row>
    <row r="88" spans="1:15" x14ac:dyDescent="0.35">
      <c r="A88">
        <v>1087</v>
      </c>
      <c r="B88" t="s">
        <v>166</v>
      </c>
      <c r="C88" s="1">
        <v>45576</v>
      </c>
      <c r="D88" s="1">
        <v>45613</v>
      </c>
      <c r="E88" s="1">
        <v>45617</v>
      </c>
      <c r="F88" t="s">
        <v>35</v>
      </c>
      <c r="G88" t="s">
        <v>22</v>
      </c>
      <c r="H88" t="s">
        <v>30</v>
      </c>
      <c r="I88">
        <v>37</v>
      </c>
      <c r="J88">
        <v>4</v>
      </c>
      <c r="K88">
        <v>6595</v>
      </c>
      <c r="L88">
        <v>26380</v>
      </c>
      <c r="M88" t="s">
        <v>51</v>
      </c>
      <c r="N88">
        <v>1</v>
      </c>
      <c r="O88" t="s">
        <v>25</v>
      </c>
    </row>
    <row r="89" spans="1:15" x14ac:dyDescent="0.35">
      <c r="A89">
        <v>1088</v>
      </c>
      <c r="B89" t="s">
        <v>167</v>
      </c>
      <c r="C89" s="1">
        <v>45292</v>
      </c>
      <c r="D89" s="1">
        <v>45302</v>
      </c>
      <c r="E89" s="1">
        <v>45304</v>
      </c>
      <c r="F89" t="s">
        <v>21</v>
      </c>
      <c r="G89" t="s">
        <v>39</v>
      </c>
      <c r="H89" t="s">
        <v>23</v>
      </c>
      <c r="I89">
        <v>10</v>
      </c>
      <c r="J89">
        <v>2</v>
      </c>
      <c r="K89">
        <v>8857</v>
      </c>
      <c r="L89">
        <v>17714</v>
      </c>
      <c r="M89" t="s">
        <v>51</v>
      </c>
      <c r="N89">
        <v>0</v>
      </c>
      <c r="O89" t="s">
        <v>25</v>
      </c>
    </row>
    <row r="90" spans="1:15" x14ac:dyDescent="0.35">
      <c r="A90">
        <v>1089</v>
      </c>
      <c r="B90" t="s">
        <v>168</v>
      </c>
      <c r="C90" s="1">
        <v>45410</v>
      </c>
      <c r="D90" s="1">
        <v>45446</v>
      </c>
      <c r="E90" s="1">
        <v>45451</v>
      </c>
      <c r="F90" t="s">
        <v>38</v>
      </c>
      <c r="G90" t="s">
        <v>22</v>
      </c>
      <c r="H90" t="s">
        <v>46</v>
      </c>
      <c r="I90">
        <v>36</v>
      </c>
      <c r="J90">
        <v>5</v>
      </c>
      <c r="K90">
        <v>4375</v>
      </c>
      <c r="L90">
        <v>21875</v>
      </c>
      <c r="M90" t="s">
        <v>24</v>
      </c>
      <c r="N90">
        <v>0</v>
      </c>
      <c r="O90" t="s">
        <v>25</v>
      </c>
    </row>
    <row r="91" spans="1:15" x14ac:dyDescent="0.35">
      <c r="A91">
        <v>1090</v>
      </c>
      <c r="B91" t="s">
        <v>169</v>
      </c>
      <c r="C91" s="1">
        <v>45326</v>
      </c>
      <c r="D91" s="1">
        <v>45363</v>
      </c>
      <c r="E91" s="1">
        <v>45364</v>
      </c>
      <c r="F91" t="s">
        <v>21</v>
      </c>
      <c r="G91" t="s">
        <v>39</v>
      </c>
      <c r="H91" t="s">
        <v>46</v>
      </c>
      <c r="I91">
        <v>37</v>
      </c>
      <c r="J91">
        <v>1</v>
      </c>
      <c r="K91">
        <v>5906</v>
      </c>
      <c r="L91">
        <v>5906</v>
      </c>
      <c r="M91" t="s">
        <v>24</v>
      </c>
      <c r="N91">
        <v>1</v>
      </c>
      <c r="O91" t="s">
        <v>31</v>
      </c>
    </row>
    <row r="92" spans="1:15" x14ac:dyDescent="0.35">
      <c r="A92">
        <v>1091</v>
      </c>
      <c r="B92" t="s">
        <v>170</v>
      </c>
      <c r="C92" s="1">
        <v>45489</v>
      </c>
      <c r="D92" s="1">
        <v>45517</v>
      </c>
      <c r="E92" s="1">
        <v>45519</v>
      </c>
      <c r="F92" t="s">
        <v>60</v>
      </c>
      <c r="G92" t="s">
        <v>22</v>
      </c>
      <c r="H92" t="s">
        <v>23</v>
      </c>
      <c r="I92">
        <v>28</v>
      </c>
      <c r="J92">
        <v>2</v>
      </c>
      <c r="K92">
        <v>4287</v>
      </c>
      <c r="L92">
        <v>8574</v>
      </c>
      <c r="M92" t="s">
        <v>51</v>
      </c>
      <c r="N92">
        <v>0</v>
      </c>
      <c r="O92" t="s">
        <v>31</v>
      </c>
    </row>
    <row r="93" spans="1:15" x14ac:dyDescent="0.35">
      <c r="A93">
        <v>1092</v>
      </c>
      <c r="B93" t="s">
        <v>171</v>
      </c>
      <c r="C93" s="1">
        <v>45536</v>
      </c>
      <c r="D93" s="1">
        <v>45564</v>
      </c>
      <c r="E93" s="1">
        <v>45566</v>
      </c>
      <c r="F93" t="s">
        <v>21</v>
      </c>
      <c r="G93" t="s">
        <v>22</v>
      </c>
      <c r="H93" t="s">
        <v>23</v>
      </c>
      <c r="I93">
        <v>28</v>
      </c>
      <c r="J93">
        <v>2</v>
      </c>
      <c r="K93">
        <v>6432</v>
      </c>
      <c r="L93">
        <v>12864</v>
      </c>
      <c r="M93" t="s">
        <v>24</v>
      </c>
      <c r="N93">
        <v>1</v>
      </c>
      <c r="O93" t="s">
        <v>31</v>
      </c>
    </row>
    <row r="94" spans="1:15" x14ac:dyDescent="0.35">
      <c r="A94">
        <v>1093</v>
      </c>
      <c r="B94" t="s">
        <v>172</v>
      </c>
      <c r="C94" s="1">
        <v>45350</v>
      </c>
      <c r="D94" s="1">
        <v>45392</v>
      </c>
      <c r="E94" s="1">
        <v>45393</v>
      </c>
      <c r="F94" t="s">
        <v>29</v>
      </c>
      <c r="G94" t="s">
        <v>39</v>
      </c>
      <c r="H94" t="s">
        <v>23</v>
      </c>
      <c r="I94">
        <v>42</v>
      </c>
      <c r="J94">
        <v>1</v>
      </c>
      <c r="K94">
        <v>4107</v>
      </c>
      <c r="L94">
        <v>4107</v>
      </c>
      <c r="M94" t="s">
        <v>24</v>
      </c>
      <c r="N94">
        <v>1</v>
      </c>
      <c r="O94" t="s">
        <v>25</v>
      </c>
    </row>
    <row r="95" spans="1:15" x14ac:dyDescent="0.35">
      <c r="A95">
        <v>1094</v>
      </c>
      <c r="B95" t="s">
        <v>173</v>
      </c>
      <c r="C95" s="1">
        <v>45616</v>
      </c>
      <c r="D95" s="1">
        <v>45659</v>
      </c>
      <c r="E95" s="1">
        <v>45661</v>
      </c>
      <c r="F95" t="s">
        <v>38</v>
      </c>
      <c r="G95" t="s">
        <v>39</v>
      </c>
      <c r="H95" t="s">
        <v>46</v>
      </c>
      <c r="I95">
        <v>43</v>
      </c>
      <c r="J95">
        <v>2</v>
      </c>
      <c r="K95">
        <v>6248</v>
      </c>
      <c r="L95">
        <v>12496</v>
      </c>
      <c r="M95" t="s">
        <v>24</v>
      </c>
      <c r="N95">
        <v>1</v>
      </c>
      <c r="O95" t="s">
        <v>25</v>
      </c>
    </row>
    <row r="96" spans="1:15" x14ac:dyDescent="0.35">
      <c r="A96">
        <v>1095</v>
      </c>
      <c r="B96" t="s">
        <v>174</v>
      </c>
      <c r="C96" s="1">
        <v>45452</v>
      </c>
      <c r="D96" s="1">
        <v>45473</v>
      </c>
      <c r="E96" s="1">
        <v>45474</v>
      </c>
      <c r="F96" t="s">
        <v>21</v>
      </c>
      <c r="G96" t="s">
        <v>39</v>
      </c>
      <c r="H96" t="s">
        <v>30</v>
      </c>
      <c r="I96">
        <v>21</v>
      </c>
      <c r="J96">
        <v>1</v>
      </c>
      <c r="K96">
        <v>2548</v>
      </c>
      <c r="L96">
        <v>2548</v>
      </c>
      <c r="M96" t="s">
        <v>51</v>
      </c>
      <c r="N96">
        <v>1</v>
      </c>
      <c r="O96" t="s">
        <v>25</v>
      </c>
    </row>
    <row r="97" spans="1:15" x14ac:dyDescent="0.35">
      <c r="A97">
        <v>1096</v>
      </c>
      <c r="B97" t="s">
        <v>176</v>
      </c>
      <c r="C97" s="1">
        <v>45470</v>
      </c>
      <c r="D97" s="1">
        <v>45494</v>
      </c>
      <c r="E97" s="1">
        <v>45495</v>
      </c>
      <c r="F97" t="s">
        <v>29</v>
      </c>
      <c r="G97" t="s">
        <v>22</v>
      </c>
      <c r="H97" t="s">
        <v>23</v>
      </c>
      <c r="I97">
        <v>24</v>
      </c>
      <c r="J97">
        <v>1</v>
      </c>
      <c r="K97">
        <v>7671</v>
      </c>
      <c r="L97">
        <v>7671</v>
      </c>
      <c r="M97" t="s">
        <v>24</v>
      </c>
      <c r="N97">
        <v>1</v>
      </c>
      <c r="O97" t="s">
        <v>31</v>
      </c>
    </row>
    <row r="98" spans="1:15" x14ac:dyDescent="0.35">
      <c r="A98">
        <v>1097</v>
      </c>
      <c r="B98" t="s">
        <v>177</v>
      </c>
      <c r="C98" s="1">
        <v>45497</v>
      </c>
      <c r="D98" s="1">
        <v>45539</v>
      </c>
      <c r="E98" s="1">
        <v>45542</v>
      </c>
      <c r="F98" t="s">
        <v>35</v>
      </c>
      <c r="G98" t="s">
        <v>39</v>
      </c>
      <c r="H98" t="s">
        <v>23</v>
      </c>
      <c r="I98">
        <v>42</v>
      </c>
      <c r="J98">
        <v>3</v>
      </c>
      <c r="K98">
        <v>7908</v>
      </c>
      <c r="L98">
        <v>23724</v>
      </c>
      <c r="M98" t="s">
        <v>51</v>
      </c>
      <c r="N98">
        <v>0</v>
      </c>
      <c r="O98" t="s">
        <v>25</v>
      </c>
    </row>
    <row r="99" spans="1:15" x14ac:dyDescent="0.35">
      <c r="A99">
        <v>1098</v>
      </c>
      <c r="B99" t="s">
        <v>178</v>
      </c>
      <c r="C99" s="1">
        <v>45303</v>
      </c>
      <c r="D99" s="1">
        <v>45343</v>
      </c>
      <c r="E99" s="1">
        <v>45347</v>
      </c>
      <c r="F99" t="s">
        <v>21</v>
      </c>
      <c r="G99" t="s">
        <v>39</v>
      </c>
      <c r="H99" t="s">
        <v>23</v>
      </c>
      <c r="I99">
        <v>40</v>
      </c>
      <c r="J99">
        <v>4</v>
      </c>
      <c r="K99">
        <v>6361</v>
      </c>
      <c r="L99">
        <v>25444</v>
      </c>
      <c r="M99" t="s">
        <v>24</v>
      </c>
      <c r="N99">
        <v>1</v>
      </c>
      <c r="O99" t="s">
        <v>31</v>
      </c>
    </row>
    <row r="100" spans="1:15" x14ac:dyDescent="0.35">
      <c r="A100">
        <v>1099</v>
      </c>
      <c r="B100" t="s">
        <v>180</v>
      </c>
      <c r="C100" s="1">
        <v>45567</v>
      </c>
      <c r="D100" s="1">
        <v>45569</v>
      </c>
      <c r="E100" s="1">
        <v>45571</v>
      </c>
      <c r="F100" t="s">
        <v>38</v>
      </c>
      <c r="G100" t="s">
        <v>22</v>
      </c>
      <c r="H100" t="s">
        <v>30</v>
      </c>
      <c r="I100">
        <v>2</v>
      </c>
      <c r="J100">
        <v>2</v>
      </c>
      <c r="K100">
        <v>8245</v>
      </c>
      <c r="L100">
        <v>16490</v>
      </c>
      <c r="M100" t="s">
        <v>51</v>
      </c>
      <c r="N100">
        <v>1</v>
      </c>
      <c r="O100" t="s">
        <v>25</v>
      </c>
    </row>
    <row r="101" spans="1:15" x14ac:dyDescent="0.35">
      <c r="A101">
        <v>1100</v>
      </c>
      <c r="B101" t="s">
        <v>181</v>
      </c>
      <c r="C101" s="1">
        <v>45472</v>
      </c>
      <c r="D101" s="1">
        <v>45527</v>
      </c>
      <c r="E101" s="1">
        <v>45529</v>
      </c>
      <c r="F101" t="s">
        <v>29</v>
      </c>
      <c r="G101" t="s">
        <v>22</v>
      </c>
      <c r="H101" t="s">
        <v>23</v>
      </c>
      <c r="I101">
        <v>55</v>
      </c>
      <c r="J101">
        <v>2</v>
      </c>
      <c r="K101">
        <v>4680</v>
      </c>
      <c r="L101">
        <v>9360</v>
      </c>
      <c r="M101" t="s">
        <v>24</v>
      </c>
      <c r="N101">
        <v>1</v>
      </c>
      <c r="O101" t="s">
        <v>25</v>
      </c>
    </row>
    <row r="102" spans="1:15" x14ac:dyDescent="0.35">
      <c r="A102">
        <v>1101</v>
      </c>
      <c r="B102" t="s">
        <v>182</v>
      </c>
      <c r="C102" s="1">
        <v>45533</v>
      </c>
      <c r="D102" s="1">
        <v>45541</v>
      </c>
      <c r="E102" s="1">
        <v>45544</v>
      </c>
      <c r="F102" t="s">
        <v>21</v>
      </c>
      <c r="G102" t="s">
        <v>39</v>
      </c>
      <c r="H102" t="s">
        <v>23</v>
      </c>
      <c r="I102">
        <v>8</v>
      </c>
      <c r="J102">
        <v>3</v>
      </c>
      <c r="K102">
        <v>5546</v>
      </c>
      <c r="L102">
        <v>16638</v>
      </c>
      <c r="M102" t="s">
        <v>24</v>
      </c>
      <c r="N102">
        <v>0</v>
      </c>
      <c r="O102" t="s">
        <v>25</v>
      </c>
    </row>
    <row r="103" spans="1:15" x14ac:dyDescent="0.35">
      <c r="A103">
        <v>1102</v>
      </c>
      <c r="B103" t="s">
        <v>183</v>
      </c>
      <c r="C103" s="1">
        <v>45507</v>
      </c>
      <c r="D103" s="1">
        <v>45555</v>
      </c>
      <c r="E103" s="1">
        <v>45558</v>
      </c>
      <c r="F103" t="s">
        <v>35</v>
      </c>
      <c r="G103" t="s">
        <v>39</v>
      </c>
      <c r="H103" t="s">
        <v>46</v>
      </c>
      <c r="I103">
        <v>48</v>
      </c>
      <c r="J103">
        <v>3</v>
      </c>
      <c r="K103">
        <v>5333</v>
      </c>
      <c r="L103">
        <v>15999</v>
      </c>
      <c r="M103" t="s">
        <v>24</v>
      </c>
      <c r="N103">
        <v>0</v>
      </c>
      <c r="O103" t="s">
        <v>31</v>
      </c>
    </row>
    <row r="104" spans="1:15" x14ac:dyDescent="0.35">
      <c r="A104">
        <v>1103</v>
      </c>
      <c r="B104" t="s">
        <v>184</v>
      </c>
      <c r="C104" s="1">
        <v>45542</v>
      </c>
      <c r="D104" s="1">
        <v>45569</v>
      </c>
      <c r="E104" s="1">
        <v>45572</v>
      </c>
      <c r="F104" t="s">
        <v>21</v>
      </c>
      <c r="G104" t="s">
        <v>39</v>
      </c>
      <c r="H104" t="s">
        <v>23</v>
      </c>
      <c r="I104">
        <v>27</v>
      </c>
      <c r="J104">
        <v>3</v>
      </c>
      <c r="K104">
        <v>7785</v>
      </c>
      <c r="L104">
        <v>23355</v>
      </c>
      <c r="M104" t="s">
        <v>51</v>
      </c>
      <c r="N104">
        <v>1</v>
      </c>
      <c r="O104" t="s">
        <v>25</v>
      </c>
    </row>
    <row r="105" spans="1:15" x14ac:dyDescent="0.35">
      <c r="A105">
        <v>1104</v>
      </c>
      <c r="B105" t="s">
        <v>186</v>
      </c>
      <c r="C105" s="1">
        <v>45590</v>
      </c>
      <c r="D105" s="1">
        <v>45612</v>
      </c>
      <c r="E105" s="1">
        <v>45617</v>
      </c>
      <c r="F105" t="s">
        <v>29</v>
      </c>
      <c r="G105" t="s">
        <v>22</v>
      </c>
      <c r="H105" t="s">
        <v>46</v>
      </c>
      <c r="I105">
        <v>22</v>
      </c>
      <c r="J105">
        <v>5</v>
      </c>
      <c r="K105">
        <v>3897</v>
      </c>
      <c r="L105">
        <v>19485</v>
      </c>
      <c r="M105" t="s">
        <v>24</v>
      </c>
      <c r="N105">
        <v>1</v>
      </c>
      <c r="O105" t="s">
        <v>31</v>
      </c>
    </row>
    <row r="106" spans="1:15" x14ac:dyDescent="0.35">
      <c r="A106">
        <v>1105</v>
      </c>
      <c r="B106" t="s">
        <v>187</v>
      </c>
      <c r="C106" s="1">
        <v>45417</v>
      </c>
      <c r="D106" s="1">
        <v>45454</v>
      </c>
      <c r="E106" s="1">
        <v>45459</v>
      </c>
      <c r="F106" t="s">
        <v>21</v>
      </c>
      <c r="G106" t="s">
        <v>22</v>
      </c>
      <c r="H106" t="s">
        <v>30</v>
      </c>
      <c r="I106">
        <v>37</v>
      </c>
      <c r="J106">
        <v>5</v>
      </c>
      <c r="K106">
        <v>8424</v>
      </c>
      <c r="L106">
        <v>42120</v>
      </c>
      <c r="M106" t="s">
        <v>24</v>
      </c>
      <c r="N106">
        <v>1</v>
      </c>
      <c r="O106" t="s">
        <v>25</v>
      </c>
    </row>
    <row r="107" spans="1:15" x14ac:dyDescent="0.35">
      <c r="A107">
        <v>1106</v>
      </c>
      <c r="B107" t="s">
        <v>188</v>
      </c>
      <c r="C107" s="1">
        <v>45508</v>
      </c>
      <c r="D107" s="1">
        <v>45535</v>
      </c>
      <c r="E107" s="1">
        <v>45540</v>
      </c>
      <c r="F107" t="s">
        <v>38</v>
      </c>
      <c r="G107" t="s">
        <v>39</v>
      </c>
      <c r="H107" t="s">
        <v>23</v>
      </c>
      <c r="I107">
        <v>27</v>
      </c>
      <c r="J107">
        <v>5</v>
      </c>
      <c r="K107">
        <v>6326</v>
      </c>
      <c r="L107">
        <v>31630</v>
      </c>
      <c r="M107" t="s">
        <v>51</v>
      </c>
      <c r="N107">
        <v>1</v>
      </c>
      <c r="O107" t="s">
        <v>25</v>
      </c>
    </row>
    <row r="108" spans="1:15" x14ac:dyDescent="0.35">
      <c r="A108">
        <v>1107</v>
      </c>
      <c r="B108" t="s">
        <v>189</v>
      </c>
      <c r="C108" s="1">
        <v>45597</v>
      </c>
      <c r="D108" s="1">
        <v>45654</v>
      </c>
      <c r="E108" s="1">
        <v>45655</v>
      </c>
      <c r="F108" t="s">
        <v>60</v>
      </c>
      <c r="G108" t="s">
        <v>22</v>
      </c>
      <c r="H108" t="s">
        <v>23</v>
      </c>
      <c r="I108">
        <v>57</v>
      </c>
      <c r="J108">
        <v>1</v>
      </c>
      <c r="K108">
        <v>7074</v>
      </c>
      <c r="L108">
        <v>7074</v>
      </c>
      <c r="M108" t="s">
        <v>51</v>
      </c>
      <c r="N108">
        <v>1</v>
      </c>
      <c r="O108" t="s">
        <v>31</v>
      </c>
    </row>
    <row r="109" spans="1:15" x14ac:dyDescent="0.35">
      <c r="A109">
        <v>1108</v>
      </c>
      <c r="B109" t="s">
        <v>190</v>
      </c>
      <c r="C109" s="1">
        <v>45576</v>
      </c>
      <c r="D109" s="1">
        <v>45605</v>
      </c>
      <c r="E109" s="1">
        <v>45607</v>
      </c>
      <c r="F109" t="s">
        <v>29</v>
      </c>
      <c r="G109" t="s">
        <v>39</v>
      </c>
      <c r="H109" t="s">
        <v>46</v>
      </c>
      <c r="I109">
        <v>29</v>
      </c>
      <c r="J109">
        <v>2</v>
      </c>
      <c r="K109">
        <v>3331</v>
      </c>
      <c r="L109">
        <v>6662</v>
      </c>
      <c r="M109" t="s">
        <v>24</v>
      </c>
      <c r="N109">
        <v>1</v>
      </c>
      <c r="O109" t="s">
        <v>25</v>
      </c>
    </row>
    <row r="110" spans="1:15" x14ac:dyDescent="0.35">
      <c r="A110">
        <v>1109</v>
      </c>
      <c r="B110" t="s">
        <v>191</v>
      </c>
      <c r="C110" s="1">
        <v>45476</v>
      </c>
      <c r="D110" s="1">
        <v>45479</v>
      </c>
      <c r="E110" s="1">
        <v>45483</v>
      </c>
      <c r="F110" t="s">
        <v>29</v>
      </c>
      <c r="G110" t="s">
        <v>39</v>
      </c>
      <c r="H110" t="s">
        <v>30</v>
      </c>
      <c r="I110">
        <v>3</v>
      </c>
      <c r="J110">
        <v>4</v>
      </c>
      <c r="K110">
        <v>5197</v>
      </c>
      <c r="L110">
        <v>20788</v>
      </c>
      <c r="M110" t="s">
        <v>24</v>
      </c>
      <c r="N110">
        <v>1</v>
      </c>
      <c r="O110" t="s">
        <v>25</v>
      </c>
    </row>
    <row r="111" spans="1:15" x14ac:dyDescent="0.35">
      <c r="A111">
        <v>1110</v>
      </c>
      <c r="B111" t="s">
        <v>192</v>
      </c>
      <c r="C111" s="1">
        <v>45330</v>
      </c>
      <c r="D111" s="1">
        <v>45374</v>
      </c>
      <c r="E111" s="1">
        <v>45375</v>
      </c>
      <c r="F111" t="s">
        <v>29</v>
      </c>
      <c r="G111" t="s">
        <v>22</v>
      </c>
      <c r="H111" t="s">
        <v>30</v>
      </c>
      <c r="I111">
        <v>44</v>
      </c>
      <c r="J111">
        <v>1</v>
      </c>
      <c r="K111">
        <v>8210</v>
      </c>
      <c r="L111">
        <v>8210</v>
      </c>
      <c r="M111" t="s">
        <v>24</v>
      </c>
      <c r="N111">
        <v>1</v>
      </c>
      <c r="O111" t="s">
        <v>25</v>
      </c>
    </row>
    <row r="112" spans="1:15" x14ac:dyDescent="0.35">
      <c r="A112">
        <v>1111</v>
      </c>
      <c r="B112" t="s">
        <v>193</v>
      </c>
      <c r="C112" s="1">
        <v>45514</v>
      </c>
      <c r="D112" s="1">
        <v>45527</v>
      </c>
      <c r="E112" s="1">
        <v>45529</v>
      </c>
      <c r="F112" t="s">
        <v>29</v>
      </c>
      <c r="G112" t="s">
        <v>39</v>
      </c>
      <c r="H112" t="s">
        <v>46</v>
      </c>
      <c r="I112">
        <v>13</v>
      </c>
      <c r="J112">
        <v>2</v>
      </c>
      <c r="K112">
        <v>7277</v>
      </c>
      <c r="L112">
        <v>14554</v>
      </c>
      <c r="M112" t="s">
        <v>24</v>
      </c>
      <c r="N112">
        <v>1</v>
      </c>
      <c r="O112" t="s">
        <v>25</v>
      </c>
    </row>
    <row r="113" spans="1:15" x14ac:dyDescent="0.35">
      <c r="A113">
        <v>1112</v>
      </c>
      <c r="B113" t="s">
        <v>194</v>
      </c>
      <c r="C113" s="1">
        <v>45475</v>
      </c>
      <c r="D113" s="1">
        <v>45520</v>
      </c>
      <c r="E113" s="1">
        <v>45522</v>
      </c>
      <c r="F113" t="s">
        <v>21</v>
      </c>
      <c r="G113" t="s">
        <v>39</v>
      </c>
      <c r="H113" t="s">
        <v>30</v>
      </c>
      <c r="I113">
        <v>45</v>
      </c>
      <c r="J113">
        <v>2</v>
      </c>
      <c r="K113">
        <v>5235</v>
      </c>
      <c r="L113">
        <v>10470</v>
      </c>
      <c r="M113" t="s">
        <v>24</v>
      </c>
      <c r="N113">
        <v>0</v>
      </c>
      <c r="O113" t="s">
        <v>31</v>
      </c>
    </row>
    <row r="114" spans="1:15" x14ac:dyDescent="0.35">
      <c r="A114">
        <v>1113</v>
      </c>
      <c r="B114" t="s">
        <v>195</v>
      </c>
      <c r="C114" s="1">
        <v>45469</v>
      </c>
      <c r="D114" s="1">
        <v>45479</v>
      </c>
      <c r="E114" s="1">
        <v>45482</v>
      </c>
      <c r="F114" t="s">
        <v>38</v>
      </c>
      <c r="G114" t="s">
        <v>22</v>
      </c>
      <c r="H114" t="s">
        <v>30</v>
      </c>
      <c r="I114">
        <v>10</v>
      </c>
      <c r="J114">
        <v>3</v>
      </c>
      <c r="K114">
        <v>7919</v>
      </c>
      <c r="L114">
        <v>23757</v>
      </c>
      <c r="M114" t="s">
        <v>51</v>
      </c>
      <c r="N114">
        <v>0</v>
      </c>
      <c r="O114" t="s">
        <v>31</v>
      </c>
    </row>
    <row r="115" spans="1:15" x14ac:dyDescent="0.35">
      <c r="A115">
        <v>1114</v>
      </c>
      <c r="B115" t="s">
        <v>196</v>
      </c>
      <c r="C115" s="1">
        <v>45585</v>
      </c>
      <c r="D115" s="1">
        <v>45621</v>
      </c>
      <c r="E115" s="1">
        <v>45624</v>
      </c>
      <c r="F115" t="s">
        <v>35</v>
      </c>
      <c r="G115" t="s">
        <v>39</v>
      </c>
      <c r="H115" t="s">
        <v>30</v>
      </c>
      <c r="I115">
        <v>36</v>
      </c>
      <c r="J115">
        <v>3</v>
      </c>
      <c r="K115">
        <v>2581</v>
      </c>
      <c r="L115">
        <v>7743</v>
      </c>
      <c r="M115" t="s">
        <v>24</v>
      </c>
      <c r="N115">
        <v>1</v>
      </c>
      <c r="O115" t="s">
        <v>25</v>
      </c>
    </row>
    <row r="116" spans="1:15" x14ac:dyDescent="0.35">
      <c r="A116">
        <v>1115</v>
      </c>
      <c r="B116" t="s">
        <v>197</v>
      </c>
      <c r="C116" s="1">
        <v>45631</v>
      </c>
      <c r="D116" s="1">
        <v>45640</v>
      </c>
      <c r="E116" s="1">
        <v>45641</v>
      </c>
      <c r="F116" t="s">
        <v>38</v>
      </c>
      <c r="G116" t="s">
        <v>39</v>
      </c>
      <c r="H116" t="s">
        <v>30</v>
      </c>
      <c r="I116">
        <v>9</v>
      </c>
      <c r="J116">
        <v>1</v>
      </c>
      <c r="K116">
        <v>2586</v>
      </c>
      <c r="L116">
        <v>2586</v>
      </c>
      <c r="M116" t="s">
        <v>51</v>
      </c>
      <c r="N116">
        <v>0</v>
      </c>
      <c r="O116" t="s">
        <v>25</v>
      </c>
    </row>
    <row r="117" spans="1:15" x14ac:dyDescent="0.35">
      <c r="A117">
        <v>1116</v>
      </c>
      <c r="B117" t="s">
        <v>198</v>
      </c>
      <c r="C117" s="1">
        <v>45442</v>
      </c>
      <c r="D117" s="1">
        <v>45496</v>
      </c>
      <c r="E117" s="1">
        <v>45499</v>
      </c>
      <c r="F117" t="s">
        <v>29</v>
      </c>
      <c r="G117" t="s">
        <v>22</v>
      </c>
      <c r="H117" t="s">
        <v>30</v>
      </c>
      <c r="I117">
        <v>54</v>
      </c>
      <c r="J117">
        <v>3</v>
      </c>
      <c r="K117">
        <v>8868</v>
      </c>
      <c r="L117">
        <v>26604</v>
      </c>
      <c r="M117" t="s">
        <v>51</v>
      </c>
      <c r="N117">
        <v>1</v>
      </c>
      <c r="O117" t="s">
        <v>31</v>
      </c>
    </row>
    <row r="118" spans="1:15" x14ac:dyDescent="0.35">
      <c r="A118">
        <v>1117</v>
      </c>
      <c r="B118" t="s">
        <v>199</v>
      </c>
      <c r="C118" s="1">
        <v>45417</v>
      </c>
      <c r="D118" s="1">
        <v>45473</v>
      </c>
      <c r="E118" s="1">
        <v>45475</v>
      </c>
      <c r="F118" t="s">
        <v>21</v>
      </c>
      <c r="G118" t="s">
        <v>39</v>
      </c>
      <c r="H118" t="s">
        <v>30</v>
      </c>
      <c r="I118">
        <v>56</v>
      </c>
      <c r="J118">
        <v>2</v>
      </c>
      <c r="K118">
        <v>4563</v>
      </c>
      <c r="L118">
        <v>9126</v>
      </c>
      <c r="M118" t="s">
        <v>24</v>
      </c>
      <c r="N118">
        <v>1</v>
      </c>
      <c r="O118" t="s">
        <v>25</v>
      </c>
    </row>
    <row r="119" spans="1:15" x14ac:dyDescent="0.35">
      <c r="A119">
        <v>1118</v>
      </c>
      <c r="B119" t="s">
        <v>200</v>
      </c>
      <c r="C119" s="1">
        <v>45592</v>
      </c>
      <c r="D119" s="1">
        <v>45647</v>
      </c>
      <c r="E119" s="1">
        <v>45650</v>
      </c>
      <c r="F119" t="s">
        <v>21</v>
      </c>
      <c r="G119" t="s">
        <v>39</v>
      </c>
      <c r="H119" t="s">
        <v>30</v>
      </c>
      <c r="I119">
        <v>55</v>
      </c>
      <c r="J119">
        <v>3</v>
      </c>
      <c r="K119">
        <v>3321</v>
      </c>
      <c r="L119">
        <v>9963</v>
      </c>
      <c r="M119" t="s">
        <v>51</v>
      </c>
      <c r="N119">
        <v>1</v>
      </c>
      <c r="O119" t="s">
        <v>31</v>
      </c>
    </row>
    <row r="120" spans="1:15" x14ac:dyDescent="0.35">
      <c r="A120">
        <v>1119</v>
      </c>
      <c r="B120" t="s">
        <v>201</v>
      </c>
      <c r="C120" s="1">
        <v>45599</v>
      </c>
      <c r="D120" s="1">
        <v>45626</v>
      </c>
      <c r="E120" s="1">
        <v>45631</v>
      </c>
      <c r="F120" t="s">
        <v>29</v>
      </c>
      <c r="G120" t="s">
        <v>22</v>
      </c>
      <c r="H120" t="s">
        <v>30</v>
      </c>
      <c r="I120">
        <v>27</v>
      </c>
      <c r="J120">
        <v>5</v>
      </c>
      <c r="K120">
        <v>2662</v>
      </c>
      <c r="L120">
        <v>13310</v>
      </c>
      <c r="M120" t="s">
        <v>24</v>
      </c>
      <c r="N120">
        <v>1</v>
      </c>
      <c r="O120" t="s">
        <v>25</v>
      </c>
    </row>
    <row r="121" spans="1:15" x14ac:dyDescent="0.35">
      <c r="A121">
        <v>1120</v>
      </c>
      <c r="B121" t="s">
        <v>202</v>
      </c>
      <c r="C121" s="1">
        <v>45627</v>
      </c>
      <c r="D121" s="1">
        <v>45661</v>
      </c>
      <c r="E121" s="1">
        <v>45664</v>
      </c>
      <c r="F121" t="s">
        <v>21</v>
      </c>
      <c r="G121" t="s">
        <v>22</v>
      </c>
      <c r="H121" t="s">
        <v>23</v>
      </c>
      <c r="I121">
        <v>34</v>
      </c>
      <c r="J121">
        <v>3</v>
      </c>
      <c r="K121">
        <v>6239</v>
      </c>
      <c r="L121">
        <v>18717</v>
      </c>
      <c r="M121" t="s">
        <v>51</v>
      </c>
      <c r="N121">
        <v>0</v>
      </c>
      <c r="O121" t="s">
        <v>31</v>
      </c>
    </row>
    <row r="122" spans="1:15" x14ac:dyDescent="0.35">
      <c r="A122">
        <v>1121</v>
      </c>
      <c r="B122" t="s">
        <v>203</v>
      </c>
      <c r="C122" s="1">
        <v>45525</v>
      </c>
      <c r="D122" s="1">
        <v>45576</v>
      </c>
      <c r="E122" s="1">
        <v>45578</v>
      </c>
      <c r="F122" t="s">
        <v>29</v>
      </c>
      <c r="G122" t="s">
        <v>22</v>
      </c>
      <c r="H122" t="s">
        <v>46</v>
      </c>
      <c r="I122">
        <v>51</v>
      </c>
      <c r="J122">
        <v>2</v>
      </c>
      <c r="K122">
        <v>4897</v>
      </c>
      <c r="L122">
        <v>9794</v>
      </c>
      <c r="M122" t="s">
        <v>51</v>
      </c>
      <c r="N122">
        <v>0</v>
      </c>
      <c r="O122" t="s">
        <v>31</v>
      </c>
    </row>
    <row r="123" spans="1:15" x14ac:dyDescent="0.35">
      <c r="A123">
        <v>1122</v>
      </c>
      <c r="B123" t="s">
        <v>204</v>
      </c>
      <c r="C123" s="1">
        <v>45299</v>
      </c>
      <c r="D123" s="1">
        <v>45300</v>
      </c>
      <c r="E123" s="1">
        <v>45301</v>
      </c>
      <c r="F123" t="s">
        <v>38</v>
      </c>
      <c r="G123" t="s">
        <v>39</v>
      </c>
      <c r="H123" t="s">
        <v>30</v>
      </c>
      <c r="I123">
        <v>1</v>
      </c>
      <c r="J123">
        <v>1</v>
      </c>
      <c r="K123">
        <v>4432</v>
      </c>
      <c r="L123">
        <v>4432</v>
      </c>
      <c r="M123" t="s">
        <v>24</v>
      </c>
      <c r="N123">
        <v>0</v>
      </c>
      <c r="O123" t="s">
        <v>31</v>
      </c>
    </row>
    <row r="124" spans="1:15" x14ac:dyDescent="0.35">
      <c r="A124">
        <v>1123</v>
      </c>
      <c r="B124" t="s">
        <v>205</v>
      </c>
      <c r="C124" s="1">
        <v>45632</v>
      </c>
      <c r="D124" s="1">
        <v>45664</v>
      </c>
      <c r="E124" s="1">
        <v>45668</v>
      </c>
      <c r="F124" t="s">
        <v>60</v>
      </c>
      <c r="G124" t="s">
        <v>22</v>
      </c>
      <c r="H124" t="s">
        <v>46</v>
      </c>
      <c r="I124">
        <v>32</v>
      </c>
      <c r="J124">
        <v>4</v>
      </c>
      <c r="K124">
        <v>5228</v>
      </c>
      <c r="L124">
        <v>20912</v>
      </c>
      <c r="M124" t="s">
        <v>24</v>
      </c>
      <c r="N124">
        <v>0</v>
      </c>
      <c r="O124" t="s">
        <v>31</v>
      </c>
    </row>
    <row r="125" spans="1:15" x14ac:dyDescent="0.35">
      <c r="A125">
        <v>1124</v>
      </c>
      <c r="B125" t="s">
        <v>206</v>
      </c>
      <c r="C125" s="1">
        <v>45420</v>
      </c>
      <c r="D125" s="1">
        <v>45445</v>
      </c>
      <c r="E125" s="1">
        <v>45448</v>
      </c>
      <c r="F125" t="s">
        <v>21</v>
      </c>
      <c r="G125" t="s">
        <v>39</v>
      </c>
      <c r="H125" t="s">
        <v>30</v>
      </c>
      <c r="I125">
        <v>25</v>
      </c>
      <c r="J125">
        <v>3</v>
      </c>
      <c r="K125">
        <v>6035</v>
      </c>
      <c r="L125">
        <v>18105</v>
      </c>
      <c r="M125" t="s">
        <v>51</v>
      </c>
      <c r="N125">
        <v>1</v>
      </c>
      <c r="O125" t="s">
        <v>25</v>
      </c>
    </row>
    <row r="126" spans="1:15" x14ac:dyDescent="0.35">
      <c r="A126">
        <v>1125</v>
      </c>
      <c r="B126" t="s">
        <v>207</v>
      </c>
      <c r="C126" s="1">
        <v>45555</v>
      </c>
      <c r="D126" s="1">
        <v>45584</v>
      </c>
      <c r="E126" s="1">
        <v>45586</v>
      </c>
      <c r="F126" t="s">
        <v>29</v>
      </c>
      <c r="G126" t="s">
        <v>22</v>
      </c>
      <c r="H126" t="s">
        <v>30</v>
      </c>
      <c r="I126">
        <v>29</v>
      </c>
      <c r="J126">
        <v>2</v>
      </c>
      <c r="K126">
        <v>8446</v>
      </c>
      <c r="L126">
        <v>16892</v>
      </c>
      <c r="M126" t="s">
        <v>24</v>
      </c>
      <c r="N126">
        <v>1</v>
      </c>
      <c r="O126" t="s">
        <v>25</v>
      </c>
    </row>
    <row r="127" spans="1:15" x14ac:dyDescent="0.35">
      <c r="A127">
        <v>1126</v>
      </c>
      <c r="B127" t="s">
        <v>208</v>
      </c>
      <c r="C127" s="1">
        <v>45448</v>
      </c>
      <c r="D127" s="1">
        <v>45455</v>
      </c>
      <c r="E127" s="1">
        <v>45459</v>
      </c>
      <c r="F127" t="s">
        <v>29</v>
      </c>
      <c r="G127" t="s">
        <v>39</v>
      </c>
      <c r="H127" t="s">
        <v>23</v>
      </c>
      <c r="I127">
        <v>7</v>
      </c>
      <c r="J127">
        <v>4</v>
      </c>
      <c r="K127">
        <v>8456</v>
      </c>
      <c r="L127">
        <v>33824</v>
      </c>
      <c r="M127" t="s">
        <v>24</v>
      </c>
      <c r="N127">
        <v>0</v>
      </c>
      <c r="O127" t="s">
        <v>31</v>
      </c>
    </row>
    <row r="128" spans="1:15" x14ac:dyDescent="0.35">
      <c r="A128">
        <v>1127</v>
      </c>
      <c r="B128" t="s">
        <v>210</v>
      </c>
      <c r="C128" s="1">
        <v>45643</v>
      </c>
      <c r="D128" s="1">
        <v>45692</v>
      </c>
      <c r="E128" s="1">
        <v>45696</v>
      </c>
      <c r="F128" t="s">
        <v>21</v>
      </c>
      <c r="G128" t="s">
        <v>39</v>
      </c>
      <c r="H128" t="s">
        <v>46</v>
      </c>
      <c r="I128">
        <v>49</v>
      </c>
      <c r="J128">
        <v>4</v>
      </c>
      <c r="K128">
        <v>5946</v>
      </c>
      <c r="L128">
        <v>23784</v>
      </c>
      <c r="M128" t="s">
        <v>51</v>
      </c>
      <c r="N128">
        <v>1</v>
      </c>
      <c r="O128" t="s">
        <v>31</v>
      </c>
    </row>
    <row r="129" spans="1:15" x14ac:dyDescent="0.35">
      <c r="A129">
        <v>1128</v>
      </c>
      <c r="B129" t="s">
        <v>212</v>
      </c>
      <c r="C129" s="1">
        <v>45649</v>
      </c>
      <c r="D129" s="1">
        <v>45652</v>
      </c>
      <c r="E129" s="1">
        <v>45657</v>
      </c>
      <c r="F129" t="s">
        <v>35</v>
      </c>
      <c r="G129" t="s">
        <v>22</v>
      </c>
      <c r="H129" t="s">
        <v>46</v>
      </c>
      <c r="I129">
        <v>3</v>
      </c>
      <c r="J129">
        <v>5</v>
      </c>
      <c r="K129">
        <v>7711</v>
      </c>
      <c r="L129">
        <v>38555</v>
      </c>
      <c r="M129" t="s">
        <v>51</v>
      </c>
      <c r="N129">
        <v>0</v>
      </c>
      <c r="O129" t="s">
        <v>31</v>
      </c>
    </row>
    <row r="130" spans="1:15" x14ac:dyDescent="0.35">
      <c r="A130">
        <v>1129</v>
      </c>
      <c r="B130" t="s">
        <v>213</v>
      </c>
      <c r="C130" s="1">
        <v>45296</v>
      </c>
      <c r="D130" s="1">
        <v>45316</v>
      </c>
      <c r="E130" s="1">
        <v>45320</v>
      </c>
      <c r="F130" t="s">
        <v>29</v>
      </c>
      <c r="G130" t="s">
        <v>39</v>
      </c>
      <c r="H130" t="s">
        <v>23</v>
      </c>
      <c r="I130">
        <v>20</v>
      </c>
      <c r="J130">
        <v>4</v>
      </c>
      <c r="K130">
        <v>8824</v>
      </c>
      <c r="L130">
        <v>35296</v>
      </c>
      <c r="M130" t="s">
        <v>51</v>
      </c>
      <c r="N130">
        <v>1</v>
      </c>
      <c r="O130" t="s">
        <v>31</v>
      </c>
    </row>
    <row r="131" spans="1:15" x14ac:dyDescent="0.35">
      <c r="A131">
        <v>1130</v>
      </c>
      <c r="B131" t="s">
        <v>214</v>
      </c>
      <c r="C131" s="1">
        <v>45377</v>
      </c>
      <c r="D131" s="1">
        <v>45397</v>
      </c>
      <c r="E131" s="1">
        <v>45399</v>
      </c>
      <c r="F131" t="s">
        <v>21</v>
      </c>
      <c r="G131" t="s">
        <v>39</v>
      </c>
      <c r="H131" t="s">
        <v>23</v>
      </c>
      <c r="I131">
        <v>20</v>
      </c>
      <c r="J131">
        <v>2</v>
      </c>
      <c r="K131">
        <v>5290</v>
      </c>
      <c r="L131">
        <v>10580</v>
      </c>
      <c r="M131" t="s">
        <v>24</v>
      </c>
      <c r="N131">
        <v>0</v>
      </c>
      <c r="O131" t="s">
        <v>25</v>
      </c>
    </row>
    <row r="132" spans="1:15" x14ac:dyDescent="0.35">
      <c r="A132">
        <v>1131</v>
      </c>
      <c r="B132" t="s">
        <v>215</v>
      </c>
      <c r="C132" s="1">
        <v>45466</v>
      </c>
      <c r="D132" s="1">
        <v>45519</v>
      </c>
      <c r="E132" s="1">
        <v>45521</v>
      </c>
      <c r="F132" t="s">
        <v>29</v>
      </c>
      <c r="G132" t="s">
        <v>22</v>
      </c>
      <c r="H132" t="s">
        <v>46</v>
      </c>
      <c r="I132">
        <v>53</v>
      </c>
      <c r="J132">
        <v>2</v>
      </c>
      <c r="K132">
        <v>5207</v>
      </c>
      <c r="L132">
        <v>10414</v>
      </c>
      <c r="M132" t="s">
        <v>24</v>
      </c>
      <c r="N132">
        <v>1</v>
      </c>
      <c r="O132" t="s">
        <v>31</v>
      </c>
    </row>
    <row r="133" spans="1:15" x14ac:dyDescent="0.35">
      <c r="A133">
        <v>1132</v>
      </c>
      <c r="B133" t="s">
        <v>216</v>
      </c>
      <c r="C133" s="1">
        <v>45581</v>
      </c>
      <c r="D133" s="1">
        <v>45611</v>
      </c>
      <c r="E133" s="1">
        <v>45614</v>
      </c>
      <c r="F133" t="s">
        <v>35</v>
      </c>
      <c r="G133" t="s">
        <v>39</v>
      </c>
      <c r="H133" t="s">
        <v>30</v>
      </c>
      <c r="I133">
        <v>30</v>
      </c>
      <c r="J133">
        <v>3</v>
      </c>
      <c r="K133">
        <v>8478</v>
      </c>
      <c r="L133">
        <v>25434</v>
      </c>
      <c r="M133" t="s">
        <v>24</v>
      </c>
      <c r="N133">
        <v>0</v>
      </c>
      <c r="O133" t="s">
        <v>31</v>
      </c>
    </row>
    <row r="134" spans="1:15" x14ac:dyDescent="0.35">
      <c r="A134">
        <v>1133</v>
      </c>
      <c r="B134" t="s">
        <v>217</v>
      </c>
      <c r="C134" s="1">
        <v>45484</v>
      </c>
      <c r="D134" s="1">
        <v>45519</v>
      </c>
      <c r="E134" s="1">
        <v>45522</v>
      </c>
      <c r="F134" t="s">
        <v>60</v>
      </c>
      <c r="G134" t="s">
        <v>39</v>
      </c>
      <c r="H134" t="s">
        <v>30</v>
      </c>
      <c r="I134">
        <v>35</v>
      </c>
      <c r="J134">
        <v>3</v>
      </c>
      <c r="K134">
        <v>6433</v>
      </c>
      <c r="L134">
        <v>19299</v>
      </c>
      <c r="M134" t="s">
        <v>51</v>
      </c>
      <c r="N134">
        <v>1</v>
      </c>
      <c r="O134" t="s">
        <v>31</v>
      </c>
    </row>
    <row r="135" spans="1:15" x14ac:dyDescent="0.35">
      <c r="A135">
        <v>1134</v>
      </c>
      <c r="B135" t="s">
        <v>218</v>
      </c>
      <c r="C135" s="1">
        <v>45602</v>
      </c>
      <c r="D135" s="1">
        <v>45637</v>
      </c>
      <c r="E135" s="1">
        <v>45640</v>
      </c>
      <c r="F135" t="s">
        <v>35</v>
      </c>
      <c r="G135" t="s">
        <v>39</v>
      </c>
      <c r="H135" t="s">
        <v>46</v>
      </c>
      <c r="I135">
        <v>35</v>
      </c>
      <c r="J135">
        <v>3</v>
      </c>
      <c r="K135">
        <v>5885</v>
      </c>
      <c r="L135">
        <v>17655</v>
      </c>
      <c r="M135" t="s">
        <v>24</v>
      </c>
      <c r="N135">
        <v>0</v>
      </c>
      <c r="O135" t="s">
        <v>31</v>
      </c>
    </row>
    <row r="136" spans="1:15" x14ac:dyDescent="0.35">
      <c r="A136">
        <v>1135</v>
      </c>
      <c r="B136" t="s">
        <v>219</v>
      </c>
      <c r="C136" s="1">
        <v>45410</v>
      </c>
      <c r="D136" s="1">
        <v>45459</v>
      </c>
      <c r="E136" s="1">
        <v>45463</v>
      </c>
      <c r="F136" t="s">
        <v>38</v>
      </c>
      <c r="G136" t="s">
        <v>22</v>
      </c>
      <c r="H136" t="s">
        <v>30</v>
      </c>
      <c r="I136">
        <v>49</v>
      </c>
      <c r="J136">
        <v>4</v>
      </c>
      <c r="K136">
        <v>3422</v>
      </c>
      <c r="L136">
        <v>13688</v>
      </c>
      <c r="M136" t="s">
        <v>51</v>
      </c>
      <c r="N136">
        <v>1</v>
      </c>
      <c r="O136" t="s">
        <v>31</v>
      </c>
    </row>
    <row r="137" spans="1:15" x14ac:dyDescent="0.35">
      <c r="A137">
        <v>1136</v>
      </c>
      <c r="B137" t="s">
        <v>167</v>
      </c>
      <c r="C137" s="1">
        <v>45509</v>
      </c>
      <c r="D137" s="1">
        <v>45548</v>
      </c>
      <c r="E137" s="1">
        <v>45552</v>
      </c>
      <c r="F137" t="s">
        <v>21</v>
      </c>
      <c r="G137" t="s">
        <v>22</v>
      </c>
      <c r="H137" t="s">
        <v>23</v>
      </c>
      <c r="I137">
        <v>39</v>
      </c>
      <c r="J137">
        <v>4</v>
      </c>
      <c r="K137">
        <v>4675</v>
      </c>
      <c r="L137">
        <v>18700</v>
      </c>
      <c r="M137" t="s">
        <v>51</v>
      </c>
      <c r="N137">
        <v>1</v>
      </c>
      <c r="O137" t="s">
        <v>31</v>
      </c>
    </row>
    <row r="138" spans="1:15" x14ac:dyDescent="0.35">
      <c r="A138">
        <v>1137</v>
      </c>
      <c r="B138" t="s">
        <v>220</v>
      </c>
      <c r="C138" s="1">
        <v>45405</v>
      </c>
      <c r="D138" s="1">
        <v>45432</v>
      </c>
      <c r="E138" s="1">
        <v>45437</v>
      </c>
      <c r="F138" t="s">
        <v>35</v>
      </c>
      <c r="G138" t="s">
        <v>22</v>
      </c>
      <c r="H138" t="s">
        <v>23</v>
      </c>
      <c r="I138">
        <v>27</v>
      </c>
      <c r="J138">
        <v>5</v>
      </c>
      <c r="K138">
        <v>8045</v>
      </c>
      <c r="L138">
        <v>40225</v>
      </c>
      <c r="M138" t="s">
        <v>51</v>
      </c>
      <c r="N138">
        <v>1</v>
      </c>
      <c r="O138" t="s">
        <v>31</v>
      </c>
    </row>
    <row r="139" spans="1:15" x14ac:dyDescent="0.35">
      <c r="A139">
        <v>1138</v>
      </c>
      <c r="B139" t="s">
        <v>221</v>
      </c>
      <c r="C139" s="1">
        <v>45436</v>
      </c>
      <c r="D139" s="1">
        <v>45462</v>
      </c>
      <c r="E139" s="1">
        <v>45465</v>
      </c>
      <c r="F139" t="s">
        <v>60</v>
      </c>
      <c r="G139" t="s">
        <v>22</v>
      </c>
      <c r="H139" t="s">
        <v>23</v>
      </c>
      <c r="I139">
        <v>26</v>
      </c>
      <c r="J139">
        <v>3</v>
      </c>
      <c r="K139">
        <v>4082</v>
      </c>
      <c r="L139">
        <v>12246</v>
      </c>
      <c r="M139" t="s">
        <v>51</v>
      </c>
      <c r="N139">
        <v>1</v>
      </c>
      <c r="O139" t="s">
        <v>25</v>
      </c>
    </row>
    <row r="140" spans="1:15" x14ac:dyDescent="0.35">
      <c r="A140">
        <v>1139</v>
      </c>
      <c r="B140" t="s">
        <v>222</v>
      </c>
      <c r="C140" s="1">
        <v>45317</v>
      </c>
      <c r="D140" s="1">
        <v>45331</v>
      </c>
      <c r="E140" s="1">
        <v>45332</v>
      </c>
      <c r="F140" t="s">
        <v>29</v>
      </c>
      <c r="G140" t="s">
        <v>22</v>
      </c>
      <c r="H140" t="s">
        <v>46</v>
      </c>
      <c r="I140">
        <v>14</v>
      </c>
      <c r="J140">
        <v>1</v>
      </c>
      <c r="K140">
        <v>3064</v>
      </c>
      <c r="L140">
        <v>3064</v>
      </c>
      <c r="M140" t="s">
        <v>51</v>
      </c>
      <c r="N140">
        <v>0</v>
      </c>
      <c r="O140" t="s">
        <v>31</v>
      </c>
    </row>
    <row r="141" spans="1:15" x14ac:dyDescent="0.35">
      <c r="A141">
        <v>1140</v>
      </c>
      <c r="B141" t="s">
        <v>212</v>
      </c>
      <c r="C141" s="1">
        <v>45427</v>
      </c>
      <c r="D141" s="1">
        <v>45444</v>
      </c>
      <c r="E141" s="1">
        <v>45449</v>
      </c>
      <c r="F141" t="s">
        <v>21</v>
      </c>
      <c r="G141" t="s">
        <v>22</v>
      </c>
      <c r="H141" t="s">
        <v>46</v>
      </c>
      <c r="I141">
        <v>17</v>
      </c>
      <c r="J141">
        <v>5</v>
      </c>
      <c r="K141">
        <v>5758</v>
      </c>
      <c r="L141">
        <v>28790</v>
      </c>
      <c r="M141" t="s">
        <v>51</v>
      </c>
      <c r="N141">
        <v>0</v>
      </c>
      <c r="O141" t="s">
        <v>31</v>
      </c>
    </row>
    <row r="142" spans="1:15" x14ac:dyDescent="0.35">
      <c r="A142">
        <v>1141</v>
      </c>
      <c r="B142" t="s">
        <v>223</v>
      </c>
      <c r="C142" s="1">
        <v>45594</v>
      </c>
      <c r="D142" s="1">
        <v>45612</v>
      </c>
      <c r="E142" s="1">
        <v>45613</v>
      </c>
      <c r="F142" t="s">
        <v>35</v>
      </c>
      <c r="G142" t="s">
        <v>22</v>
      </c>
      <c r="H142" t="s">
        <v>46</v>
      </c>
      <c r="I142">
        <v>18</v>
      </c>
      <c r="J142">
        <v>1</v>
      </c>
      <c r="K142">
        <v>5097</v>
      </c>
      <c r="L142">
        <v>5097</v>
      </c>
      <c r="M142" t="s">
        <v>51</v>
      </c>
      <c r="N142">
        <v>0</v>
      </c>
      <c r="O142" t="s">
        <v>31</v>
      </c>
    </row>
    <row r="143" spans="1:15" x14ac:dyDescent="0.35">
      <c r="A143">
        <v>1142</v>
      </c>
      <c r="B143" t="s">
        <v>224</v>
      </c>
      <c r="C143" s="1">
        <v>45523</v>
      </c>
      <c r="D143" s="1">
        <v>45568</v>
      </c>
      <c r="E143" s="1">
        <v>45572</v>
      </c>
      <c r="F143" t="s">
        <v>60</v>
      </c>
      <c r="G143" t="s">
        <v>22</v>
      </c>
      <c r="H143" t="s">
        <v>30</v>
      </c>
      <c r="I143">
        <v>45</v>
      </c>
      <c r="J143">
        <v>4</v>
      </c>
      <c r="K143">
        <v>5000</v>
      </c>
      <c r="L143">
        <v>20000</v>
      </c>
      <c r="M143" t="s">
        <v>24</v>
      </c>
      <c r="N143">
        <v>1</v>
      </c>
      <c r="O143" t="s">
        <v>25</v>
      </c>
    </row>
    <row r="144" spans="1:15" x14ac:dyDescent="0.35">
      <c r="A144">
        <v>1143</v>
      </c>
      <c r="B144" t="s">
        <v>225</v>
      </c>
      <c r="C144" s="1">
        <v>45367</v>
      </c>
      <c r="D144" s="1">
        <v>45419</v>
      </c>
      <c r="E144" s="1">
        <v>45424</v>
      </c>
      <c r="F144" t="s">
        <v>35</v>
      </c>
      <c r="G144" t="s">
        <v>39</v>
      </c>
      <c r="H144" t="s">
        <v>46</v>
      </c>
      <c r="I144">
        <v>52</v>
      </c>
      <c r="J144">
        <v>5</v>
      </c>
      <c r="K144">
        <v>7066</v>
      </c>
      <c r="L144">
        <v>35330</v>
      </c>
      <c r="M144" t="s">
        <v>51</v>
      </c>
      <c r="N144">
        <v>1</v>
      </c>
      <c r="O144" t="s">
        <v>25</v>
      </c>
    </row>
    <row r="145" spans="1:15" x14ac:dyDescent="0.35">
      <c r="A145">
        <v>1144</v>
      </c>
      <c r="B145" t="s">
        <v>227</v>
      </c>
      <c r="C145" s="1">
        <v>45619</v>
      </c>
      <c r="D145" s="1">
        <v>45648</v>
      </c>
      <c r="E145" s="1">
        <v>45653</v>
      </c>
      <c r="F145" t="s">
        <v>38</v>
      </c>
      <c r="G145" t="s">
        <v>39</v>
      </c>
      <c r="H145" t="s">
        <v>46</v>
      </c>
      <c r="I145">
        <v>29</v>
      </c>
      <c r="J145">
        <v>5</v>
      </c>
      <c r="K145">
        <v>3487</v>
      </c>
      <c r="L145">
        <v>17435</v>
      </c>
      <c r="M145" t="s">
        <v>24</v>
      </c>
      <c r="N145">
        <v>1</v>
      </c>
      <c r="O145" t="s">
        <v>25</v>
      </c>
    </row>
    <row r="146" spans="1:15" x14ac:dyDescent="0.35">
      <c r="A146">
        <v>1145</v>
      </c>
      <c r="B146" t="s">
        <v>228</v>
      </c>
      <c r="C146" s="1">
        <v>45636</v>
      </c>
      <c r="D146" s="1">
        <v>45656</v>
      </c>
      <c r="E146" s="1">
        <v>45658</v>
      </c>
      <c r="F146" t="s">
        <v>21</v>
      </c>
      <c r="G146" t="s">
        <v>39</v>
      </c>
      <c r="H146" t="s">
        <v>23</v>
      </c>
      <c r="I146">
        <v>20</v>
      </c>
      <c r="J146">
        <v>2</v>
      </c>
      <c r="K146">
        <v>6136</v>
      </c>
      <c r="L146">
        <v>12272</v>
      </c>
      <c r="M146" t="s">
        <v>24</v>
      </c>
      <c r="N146">
        <v>1</v>
      </c>
      <c r="O146" t="s">
        <v>31</v>
      </c>
    </row>
    <row r="147" spans="1:15" x14ac:dyDescent="0.35">
      <c r="A147">
        <v>1146</v>
      </c>
      <c r="B147" t="s">
        <v>229</v>
      </c>
      <c r="C147" s="1">
        <v>45593</v>
      </c>
      <c r="D147" s="1">
        <v>45646</v>
      </c>
      <c r="E147" s="1">
        <v>45650</v>
      </c>
      <c r="F147" t="s">
        <v>29</v>
      </c>
      <c r="G147" t="s">
        <v>39</v>
      </c>
      <c r="H147" t="s">
        <v>30</v>
      </c>
      <c r="I147">
        <v>53</v>
      </c>
      <c r="J147">
        <v>4</v>
      </c>
      <c r="K147">
        <v>8530</v>
      </c>
      <c r="L147">
        <v>34120</v>
      </c>
      <c r="M147" t="s">
        <v>24</v>
      </c>
      <c r="N147">
        <v>1</v>
      </c>
      <c r="O147" t="s">
        <v>31</v>
      </c>
    </row>
    <row r="148" spans="1:15" x14ac:dyDescent="0.35">
      <c r="A148">
        <v>1147</v>
      </c>
      <c r="B148" t="s">
        <v>230</v>
      </c>
      <c r="C148" s="1">
        <v>45580</v>
      </c>
      <c r="D148" s="1">
        <v>45607</v>
      </c>
      <c r="E148" s="1">
        <v>45611</v>
      </c>
      <c r="F148" t="s">
        <v>60</v>
      </c>
      <c r="G148" t="s">
        <v>22</v>
      </c>
      <c r="H148" t="s">
        <v>30</v>
      </c>
      <c r="I148">
        <v>27</v>
      </c>
      <c r="J148">
        <v>4</v>
      </c>
      <c r="K148">
        <v>2723</v>
      </c>
      <c r="L148">
        <v>10892</v>
      </c>
      <c r="M148" t="s">
        <v>24</v>
      </c>
      <c r="N148">
        <v>0</v>
      </c>
      <c r="O148" t="s">
        <v>31</v>
      </c>
    </row>
    <row r="149" spans="1:15" x14ac:dyDescent="0.35">
      <c r="A149">
        <v>1148</v>
      </c>
      <c r="B149" t="s">
        <v>231</v>
      </c>
      <c r="C149" s="1">
        <v>45292</v>
      </c>
      <c r="D149" s="1">
        <v>45310</v>
      </c>
      <c r="E149" s="1">
        <v>45315</v>
      </c>
      <c r="F149" t="s">
        <v>35</v>
      </c>
      <c r="G149" t="s">
        <v>39</v>
      </c>
      <c r="H149" t="s">
        <v>23</v>
      </c>
      <c r="I149">
        <v>18</v>
      </c>
      <c r="J149">
        <v>5</v>
      </c>
      <c r="K149">
        <v>8797</v>
      </c>
      <c r="L149">
        <v>43985</v>
      </c>
      <c r="M149" t="s">
        <v>24</v>
      </c>
      <c r="N149">
        <v>1</v>
      </c>
      <c r="O149" t="s">
        <v>25</v>
      </c>
    </row>
    <row r="150" spans="1:15" x14ac:dyDescent="0.35">
      <c r="A150">
        <v>1149</v>
      </c>
      <c r="B150" t="s">
        <v>232</v>
      </c>
      <c r="C150" s="1">
        <v>45438</v>
      </c>
      <c r="D150" s="1">
        <v>45442</v>
      </c>
      <c r="E150" s="1">
        <v>45446</v>
      </c>
      <c r="F150" t="s">
        <v>21</v>
      </c>
      <c r="G150" t="s">
        <v>39</v>
      </c>
      <c r="H150" t="s">
        <v>30</v>
      </c>
      <c r="I150">
        <v>4</v>
      </c>
      <c r="J150">
        <v>4</v>
      </c>
      <c r="K150">
        <v>2850</v>
      </c>
      <c r="L150">
        <v>11400</v>
      </c>
      <c r="M150" t="s">
        <v>51</v>
      </c>
      <c r="N150">
        <v>0</v>
      </c>
      <c r="O150" t="s">
        <v>31</v>
      </c>
    </row>
    <row r="151" spans="1:15" x14ac:dyDescent="0.35">
      <c r="A151">
        <v>1150</v>
      </c>
      <c r="B151" t="s">
        <v>233</v>
      </c>
      <c r="C151" s="1">
        <v>45578</v>
      </c>
      <c r="D151" s="1">
        <v>45579</v>
      </c>
      <c r="E151" s="1">
        <v>45584</v>
      </c>
      <c r="F151" t="s">
        <v>35</v>
      </c>
      <c r="G151" t="s">
        <v>39</v>
      </c>
      <c r="H151" t="s">
        <v>46</v>
      </c>
      <c r="I151">
        <v>1</v>
      </c>
      <c r="J151">
        <v>5</v>
      </c>
      <c r="K151">
        <v>4428</v>
      </c>
      <c r="L151">
        <v>22140</v>
      </c>
      <c r="M151" t="s">
        <v>24</v>
      </c>
      <c r="N151">
        <v>0</v>
      </c>
      <c r="O151" t="s">
        <v>25</v>
      </c>
    </row>
    <row r="152" spans="1:15" x14ac:dyDescent="0.35">
      <c r="A152">
        <v>1151</v>
      </c>
      <c r="B152" t="s">
        <v>234</v>
      </c>
      <c r="C152" s="1">
        <v>45433</v>
      </c>
      <c r="D152" s="1">
        <v>45483</v>
      </c>
      <c r="E152" s="1">
        <v>45485</v>
      </c>
      <c r="F152" t="s">
        <v>21</v>
      </c>
      <c r="G152" t="s">
        <v>39</v>
      </c>
      <c r="H152" t="s">
        <v>30</v>
      </c>
      <c r="I152">
        <v>50</v>
      </c>
      <c r="J152">
        <v>2</v>
      </c>
      <c r="K152">
        <v>2848</v>
      </c>
      <c r="L152">
        <v>5696</v>
      </c>
      <c r="M152" t="s">
        <v>24</v>
      </c>
      <c r="N152">
        <v>1</v>
      </c>
      <c r="O152" t="s">
        <v>25</v>
      </c>
    </row>
    <row r="153" spans="1:15" x14ac:dyDescent="0.35">
      <c r="A153">
        <v>1152</v>
      </c>
      <c r="B153" t="s">
        <v>235</v>
      </c>
      <c r="C153" s="1">
        <v>45344</v>
      </c>
      <c r="D153" s="1">
        <v>45345</v>
      </c>
      <c r="E153" s="1">
        <v>45350</v>
      </c>
      <c r="F153" t="s">
        <v>38</v>
      </c>
      <c r="G153" t="s">
        <v>39</v>
      </c>
      <c r="H153" t="s">
        <v>23</v>
      </c>
      <c r="I153">
        <v>1</v>
      </c>
      <c r="J153">
        <v>5</v>
      </c>
      <c r="K153">
        <v>6777</v>
      </c>
      <c r="L153">
        <v>33885</v>
      </c>
      <c r="M153" t="s">
        <v>24</v>
      </c>
      <c r="N153">
        <v>1</v>
      </c>
      <c r="O153" t="s">
        <v>25</v>
      </c>
    </row>
    <row r="154" spans="1:15" x14ac:dyDescent="0.35">
      <c r="A154">
        <v>1153</v>
      </c>
      <c r="B154" t="s">
        <v>236</v>
      </c>
      <c r="C154" s="1">
        <v>45595</v>
      </c>
      <c r="D154" s="1">
        <v>45653</v>
      </c>
      <c r="E154" s="1">
        <v>45657</v>
      </c>
      <c r="F154" t="s">
        <v>35</v>
      </c>
      <c r="G154" t="s">
        <v>22</v>
      </c>
      <c r="H154" t="s">
        <v>30</v>
      </c>
      <c r="I154">
        <v>58</v>
      </c>
      <c r="J154">
        <v>4</v>
      </c>
      <c r="K154">
        <v>7232</v>
      </c>
      <c r="L154">
        <v>28928</v>
      </c>
      <c r="M154" t="s">
        <v>51</v>
      </c>
      <c r="N154">
        <v>1</v>
      </c>
      <c r="O154" t="s">
        <v>25</v>
      </c>
    </row>
    <row r="155" spans="1:15" x14ac:dyDescent="0.35">
      <c r="A155">
        <v>1154</v>
      </c>
      <c r="B155" t="s">
        <v>238</v>
      </c>
      <c r="C155" s="1">
        <v>45360</v>
      </c>
      <c r="D155" s="1">
        <v>45386</v>
      </c>
      <c r="E155" s="1">
        <v>45390</v>
      </c>
      <c r="F155" t="s">
        <v>38</v>
      </c>
      <c r="G155" t="s">
        <v>22</v>
      </c>
      <c r="H155" t="s">
        <v>23</v>
      </c>
      <c r="I155">
        <v>26</v>
      </c>
      <c r="J155">
        <v>4</v>
      </c>
      <c r="K155">
        <v>3517</v>
      </c>
      <c r="L155">
        <v>14068</v>
      </c>
      <c r="M155" t="s">
        <v>24</v>
      </c>
      <c r="N155">
        <v>1</v>
      </c>
      <c r="O155" t="s">
        <v>25</v>
      </c>
    </row>
    <row r="156" spans="1:15" x14ac:dyDescent="0.35">
      <c r="A156">
        <v>1155</v>
      </c>
      <c r="B156" t="s">
        <v>239</v>
      </c>
      <c r="C156" s="1">
        <v>45652</v>
      </c>
      <c r="D156" s="1">
        <v>45697</v>
      </c>
      <c r="E156" s="1">
        <v>45702</v>
      </c>
      <c r="F156" t="s">
        <v>60</v>
      </c>
      <c r="G156" t="s">
        <v>39</v>
      </c>
      <c r="H156" t="s">
        <v>46</v>
      </c>
      <c r="I156">
        <v>45</v>
      </c>
      <c r="J156">
        <v>5</v>
      </c>
      <c r="K156">
        <v>4726</v>
      </c>
      <c r="L156">
        <v>23630</v>
      </c>
      <c r="M156" t="s">
        <v>24</v>
      </c>
      <c r="N156">
        <v>1</v>
      </c>
      <c r="O156" t="s">
        <v>31</v>
      </c>
    </row>
    <row r="157" spans="1:15" x14ac:dyDescent="0.35">
      <c r="A157">
        <v>1156</v>
      </c>
      <c r="B157" t="s">
        <v>240</v>
      </c>
      <c r="C157" s="1">
        <v>45381</v>
      </c>
      <c r="D157" s="1">
        <v>45401</v>
      </c>
      <c r="E157" s="1">
        <v>45406</v>
      </c>
      <c r="F157" t="s">
        <v>38</v>
      </c>
      <c r="G157" t="s">
        <v>39</v>
      </c>
      <c r="H157" t="s">
        <v>46</v>
      </c>
      <c r="I157">
        <v>20</v>
      </c>
      <c r="J157">
        <v>5</v>
      </c>
      <c r="K157">
        <v>7367</v>
      </c>
      <c r="L157">
        <v>36835</v>
      </c>
      <c r="M157" t="s">
        <v>24</v>
      </c>
      <c r="N157">
        <v>1</v>
      </c>
      <c r="O157" t="s">
        <v>31</v>
      </c>
    </row>
    <row r="158" spans="1:15" x14ac:dyDescent="0.35">
      <c r="A158">
        <v>1157</v>
      </c>
      <c r="B158" t="s">
        <v>241</v>
      </c>
      <c r="C158" s="1">
        <v>45511</v>
      </c>
      <c r="D158" s="1">
        <v>45563</v>
      </c>
      <c r="E158" s="1">
        <v>45568</v>
      </c>
      <c r="F158" t="s">
        <v>21</v>
      </c>
      <c r="G158" t="s">
        <v>39</v>
      </c>
      <c r="H158" t="s">
        <v>23</v>
      </c>
      <c r="I158">
        <v>52</v>
      </c>
      <c r="J158">
        <v>5</v>
      </c>
      <c r="K158">
        <v>7611</v>
      </c>
      <c r="L158">
        <v>38055</v>
      </c>
      <c r="M158" t="s">
        <v>24</v>
      </c>
      <c r="N158">
        <v>1</v>
      </c>
      <c r="O158" t="s">
        <v>25</v>
      </c>
    </row>
    <row r="159" spans="1:15" x14ac:dyDescent="0.35">
      <c r="A159">
        <v>1158</v>
      </c>
      <c r="B159" t="s">
        <v>200</v>
      </c>
      <c r="C159" s="1">
        <v>45483</v>
      </c>
      <c r="D159" s="1">
        <v>45506</v>
      </c>
      <c r="E159" s="1">
        <v>45509</v>
      </c>
      <c r="F159" t="s">
        <v>60</v>
      </c>
      <c r="G159" t="s">
        <v>39</v>
      </c>
      <c r="H159" t="s">
        <v>46</v>
      </c>
      <c r="I159">
        <v>23</v>
      </c>
      <c r="J159">
        <v>3</v>
      </c>
      <c r="K159">
        <v>8707</v>
      </c>
      <c r="L159">
        <v>26121</v>
      </c>
      <c r="M159" t="s">
        <v>51</v>
      </c>
      <c r="N159">
        <v>0</v>
      </c>
      <c r="O159" t="s">
        <v>31</v>
      </c>
    </row>
    <row r="160" spans="1:15" x14ac:dyDescent="0.35">
      <c r="A160">
        <v>1159</v>
      </c>
      <c r="B160" t="s">
        <v>242</v>
      </c>
      <c r="C160" s="1">
        <v>45354</v>
      </c>
      <c r="D160" s="1">
        <v>45364</v>
      </c>
      <c r="E160" s="1">
        <v>45368</v>
      </c>
      <c r="F160" t="s">
        <v>35</v>
      </c>
      <c r="G160" t="s">
        <v>22</v>
      </c>
      <c r="H160" t="s">
        <v>46</v>
      </c>
      <c r="I160">
        <v>10</v>
      </c>
      <c r="J160">
        <v>4</v>
      </c>
      <c r="K160">
        <v>6624</v>
      </c>
      <c r="L160">
        <v>26496</v>
      </c>
      <c r="M160" t="s">
        <v>24</v>
      </c>
      <c r="N160">
        <v>0</v>
      </c>
      <c r="O160" t="s">
        <v>31</v>
      </c>
    </row>
    <row r="161" spans="1:15" x14ac:dyDescent="0.35">
      <c r="A161">
        <v>1160</v>
      </c>
      <c r="B161" t="s">
        <v>243</v>
      </c>
      <c r="C161" s="1">
        <v>45364</v>
      </c>
      <c r="D161" s="1">
        <v>45423</v>
      </c>
      <c r="E161" s="1">
        <v>45427</v>
      </c>
      <c r="F161" t="s">
        <v>35</v>
      </c>
      <c r="G161" t="s">
        <v>39</v>
      </c>
      <c r="H161" t="s">
        <v>30</v>
      </c>
      <c r="I161">
        <v>59</v>
      </c>
      <c r="J161">
        <v>4</v>
      </c>
      <c r="K161">
        <v>4919</v>
      </c>
      <c r="L161">
        <v>19676</v>
      </c>
      <c r="M161" t="s">
        <v>51</v>
      </c>
      <c r="N161">
        <v>0</v>
      </c>
      <c r="O161" t="s">
        <v>25</v>
      </c>
    </row>
    <row r="162" spans="1:15" x14ac:dyDescent="0.35">
      <c r="A162">
        <v>1161</v>
      </c>
      <c r="B162" t="s">
        <v>244</v>
      </c>
      <c r="C162" s="1">
        <v>45452</v>
      </c>
      <c r="D162" s="1">
        <v>45463</v>
      </c>
      <c r="E162" s="1">
        <v>45466</v>
      </c>
      <c r="F162" t="s">
        <v>21</v>
      </c>
      <c r="G162" t="s">
        <v>22</v>
      </c>
      <c r="H162" t="s">
        <v>46</v>
      </c>
      <c r="I162">
        <v>11</v>
      </c>
      <c r="J162">
        <v>3</v>
      </c>
      <c r="K162">
        <v>8740</v>
      </c>
      <c r="L162">
        <v>26220</v>
      </c>
      <c r="M162" t="s">
        <v>51</v>
      </c>
      <c r="N162">
        <v>1</v>
      </c>
      <c r="O162" t="s">
        <v>25</v>
      </c>
    </row>
    <row r="163" spans="1:15" x14ac:dyDescent="0.35">
      <c r="A163">
        <v>1162</v>
      </c>
      <c r="B163" t="s">
        <v>245</v>
      </c>
      <c r="C163" s="1">
        <v>45460</v>
      </c>
      <c r="D163" s="1">
        <v>45501</v>
      </c>
      <c r="E163" s="1">
        <v>45506</v>
      </c>
      <c r="F163" t="s">
        <v>29</v>
      </c>
      <c r="G163" t="s">
        <v>39</v>
      </c>
      <c r="H163" t="s">
        <v>23</v>
      </c>
      <c r="I163">
        <v>41</v>
      </c>
      <c r="J163">
        <v>5</v>
      </c>
      <c r="K163">
        <v>4393</v>
      </c>
      <c r="L163">
        <v>21965</v>
      </c>
      <c r="M163" t="s">
        <v>24</v>
      </c>
      <c r="N163">
        <v>1</v>
      </c>
      <c r="O163" t="s">
        <v>31</v>
      </c>
    </row>
    <row r="164" spans="1:15" x14ac:dyDescent="0.35">
      <c r="A164">
        <v>1163</v>
      </c>
      <c r="B164" t="s">
        <v>246</v>
      </c>
      <c r="C164" s="1">
        <v>45380</v>
      </c>
      <c r="D164" s="1">
        <v>45421</v>
      </c>
      <c r="E164" s="1">
        <v>45423</v>
      </c>
      <c r="F164" t="s">
        <v>29</v>
      </c>
      <c r="G164" t="s">
        <v>22</v>
      </c>
      <c r="H164" t="s">
        <v>46</v>
      </c>
      <c r="I164">
        <v>41</v>
      </c>
      <c r="J164">
        <v>2</v>
      </c>
      <c r="K164">
        <v>8061</v>
      </c>
      <c r="L164">
        <v>16122</v>
      </c>
      <c r="M164" t="s">
        <v>24</v>
      </c>
      <c r="N164">
        <v>1</v>
      </c>
      <c r="O164" t="s">
        <v>31</v>
      </c>
    </row>
    <row r="165" spans="1:15" x14ac:dyDescent="0.35">
      <c r="A165">
        <v>1164</v>
      </c>
      <c r="B165" t="s">
        <v>247</v>
      </c>
      <c r="C165" s="1">
        <v>45467</v>
      </c>
      <c r="D165" s="1">
        <v>45472</v>
      </c>
      <c r="E165" s="1">
        <v>45477</v>
      </c>
      <c r="F165" t="s">
        <v>35</v>
      </c>
      <c r="G165" t="s">
        <v>22</v>
      </c>
      <c r="H165" t="s">
        <v>30</v>
      </c>
      <c r="I165">
        <v>5</v>
      </c>
      <c r="J165">
        <v>5</v>
      </c>
      <c r="K165">
        <v>7822</v>
      </c>
      <c r="L165">
        <v>39110</v>
      </c>
      <c r="M165" t="s">
        <v>51</v>
      </c>
      <c r="N165">
        <v>1</v>
      </c>
      <c r="O165" t="s">
        <v>31</v>
      </c>
    </row>
    <row r="166" spans="1:15" x14ac:dyDescent="0.35">
      <c r="A166">
        <v>1165</v>
      </c>
      <c r="B166" t="s">
        <v>248</v>
      </c>
      <c r="C166" s="1">
        <v>45560</v>
      </c>
      <c r="D166" s="1">
        <v>45618</v>
      </c>
      <c r="E166" s="1">
        <v>45623</v>
      </c>
      <c r="F166" t="s">
        <v>21</v>
      </c>
      <c r="G166" t="s">
        <v>22</v>
      </c>
      <c r="H166" t="s">
        <v>23</v>
      </c>
      <c r="I166">
        <v>58</v>
      </c>
      <c r="J166">
        <v>5</v>
      </c>
      <c r="K166">
        <v>5540</v>
      </c>
      <c r="L166">
        <v>27700</v>
      </c>
      <c r="M166" t="s">
        <v>24</v>
      </c>
      <c r="N166">
        <v>0</v>
      </c>
      <c r="O166" t="s">
        <v>31</v>
      </c>
    </row>
    <row r="167" spans="1:15" x14ac:dyDescent="0.35">
      <c r="A167">
        <v>1166</v>
      </c>
      <c r="B167" t="s">
        <v>249</v>
      </c>
      <c r="C167" s="1">
        <v>45364</v>
      </c>
      <c r="D167" s="1">
        <v>45365</v>
      </c>
      <c r="E167" s="1">
        <v>45368</v>
      </c>
      <c r="F167" t="s">
        <v>29</v>
      </c>
      <c r="G167" t="s">
        <v>39</v>
      </c>
      <c r="H167" t="s">
        <v>46</v>
      </c>
      <c r="I167">
        <v>1</v>
      </c>
      <c r="J167">
        <v>3</v>
      </c>
      <c r="K167">
        <v>4568</v>
      </c>
      <c r="L167">
        <v>13704</v>
      </c>
      <c r="M167" t="s">
        <v>24</v>
      </c>
      <c r="N167">
        <v>1</v>
      </c>
      <c r="O167" t="s">
        <v>25</v>
      </c>
    </row>
    <row r="168" spans="1:15" x14ac:dyDescent="0.35">
      <c r="A168">
        <v>1167</v>
      </c>
      <c r="B168" t="s">
        <v>250</v>
      </c>
      <c r="C168" s="1">
        <v>45536</v>
      </c>
      <c r="D168" s="1">
        <v>45553</v>
      </c>
      <c r="E168" s="1">
        <v>45557</v>
      </c>
      <c r="F168" t="s">
        <v>38</v>
      </c>
      <c r="G168" t="s">
        <v>39</v>
      </c>
      <c r="H168" t="s">
        <v>46</v>
      </c>
      <c r="I168">
        <v>17</v>
      </c>
      <c r="J168">
        <v>4</v>
      </c>
      <c r="K168">
        <v>3625</v>
      </c>
      <c r="L168">
        <v>14500</v>
      </c>
      <c r="M168" t="s">
        <v>24</v>
      </c>
      <c r="N168">
        <v>0</v>
      </c>
      <c r="O168" t="s">
        <v>31</v>
      </c>
    </row>
    <row r="169" spans="1:15" x14ac:dyDescent="0.35">
      <c r="A169">
        <v>1168</v>
      </c>
      <c r="B169" t="s">
        <v>251</v>
      </c>
      <c r="C169" s="1">
        <v>45368</v>
      </c>
      <c r="D169" s="1">
        <v>45390</v>
      </c>
      <c r="E169" s="1">
        <v>45395</v>
      </c>
      <c r="F169" t="s">
        <v>35</v>
      </c>
      <c r="G169" t="s">
        <v>22</v>
      </c>
      <c r="H169" t="s">
        <v>46</v>
      </c>
      <c r="I169">
        <v>22</v>
      </c>
      <c r="J169">
        <v>5</v>
      </c>
      <c r="K169">
        <v>5617</v>
      </c>
      <c r="L169">
        <v>28085</v>
      </c>
      <c r="M169" t="s">
        <v>51</v>
      </c>
      <c r="N169">
        <v>0</v>
      </c>
      <c r="O169" t="s">
        <v>25</v>
      </c>
    </row>
    <row r="170" spans="1:15" x14ac:dyDescent="0.35">
      <c r="A170">
        <v>1169</v>
      </c>
      <c r="B170" t="s">
        <v>252</v>
      </c>
      <c r="C170" s="1">
        <v>45450</v>
      </c>
      <c r="D170" s="1">
        <v>45484</v>
      </c>
      <c r="E170" s="1">
        <v>45488</v>
      </c>
      <c r="F170" t="s">
        <v>38</v>
      </c>
      <c r="G170" t="s">
        <v>39</v>
      </c>
      <c r="H170" t="s">
        <v>23</v>
      </c>
      <c r="I170">
        <v>34</v>
      </c>
      <c r="J170">
        <v>4</v>
      </c>
      <c r="K170">
        <v>6661</v>
      </c>
      <c r="L170">
        <v>26644</v>
      </c>
      <c r="M170" t="s">
        <v>51</v>
      </c>
      <c r="N170">
        <v>1</v>
      </c>
      <c r="O170" t="s">
        <v>25</v>
      </c>
    </row>
    <row r="171" spans="1:15" x14ac:dyDescent="0.35">
      <c r="A171">
        <v>1170</v>
      </c>
      <c r="B171" t="s">
        <v>253</v>
      </c>
      <c r="C171" s="1">
        <v>45615</v>
      </c>
      <c r="D171" s="1">
        <v>45671</v>
      </c>
      <c r="E171" s="1">
        <v>45672</v>
      </c>
      <c r="F171" t="s">
        <v>21</v>
      </c>
      <c r="G171" t="s">
        <v>39</v>
      </c>
      <c r="H171" t="s">
        <v>30</v>
      </c>
      <c r="I171">
        <v>56</v>
      </c>
      <c r="J171">
        <v>1</v>
      </c>
      <c r="K171">
        <v>6542</v>
      </c>
      <c r="L171">
        <v>6542</v>
      </c>
      <c r="M171" t="s">
        <v>24</v>
      </c>
      <c r="N171">
        <v>1</v>
      </c>
      <c r="O171" t="s">
        <v>31</v>
      </c>
    </row>
    <row r="172" spans="1:15" x14ac:dyDescent="0.35">
      <c r="A172">
        <v>1171</v>
      </c>
      <c r="B172" t="s">
        <v>254</v>
      </c>
      <c r="C172" s="1">
        <v>45389</v>
      </c>
      <c r="D172" s="1">
        <v>45434</v>
      </c>
      <c r="E172" s="1">
        <v>45438</v>
      </c>
      <c r="F172" t="s">
        <v>38</v>
      </c>
      <c r="G172" t="s">
        <v>22</v>
      </c>
      <c r="H172" t="s">
        <v>23</v>
      </c>
      <c r="I172">
        <v>45</v>
      </c>
      <c r="J172">
        <v>4</v>
      </c>
      <c r="K172">
        <v>7730</v>
      </c>
      <c r="L172">
        <v>30920</v>
      </c>
      <c r="M172" t="s">
        <v>24</v>
      </c>
      <c r="N172">
        <v>0</v>
      </c>
      <c r="O172" t="s">
        <v>31</v>
      </c>
    </row>
    <row r="173" spans="1:15" x14ac:dyDescent="0.35">
      <c r="A173">
        <v>1172</v>
      </c>
      <c r="B173" t="s">
        <v>255</v>
      </c>
      <c r="C173" s="1">
        <v>45393</v>
      </c>
      <c r="D173" s="1">
        <v>45434</v>
      </c>
      <c r="E173" s="1">
        <v>45436</v>
      </c>
      <c r="F173" t="s">
        <v>29</v>
      </c>
      <c r="G173" t="s">
        <v>39</v>
      </c>
      <c r="H173" t="s">
        <v>23</v>
      </c>
      <c r="I173">
        <v>41</v>
      </c>
      <c r="J173">
        <v>2</v>
      </c>
      <c r="K173">
        <v>6933</v>
      </c>
      <c r="L173">
        <v>13866</v>
      </c>
      <c r="M173" t="s">
        <v>51</v>
      </c>
      <c r="N173">
        <v>1</v>
      </c>
      <c r="O173" t="s">
        <v>31</v>
      </c>
    </row>
    <row r="174" spans="1:15" x14ac:dyDescent="0.35">
      <c r="A174">
        <v>1173</v>
      </c>
      <c r="B174" t="s">
        <v>203</v>
      </c>
      <c r="C174" s="1">
        <v>45423</v>
      </c>
      <c r="D174" s="1">
        <v>45452</v>
      </c>
      <c r="E174" s="1">
        <v>45454</v>
      </c>
      <c r="F174" t="s">
        <v>29</v>
      </c>
      <c r="G174" t="s">
        <v>22</v>
      </c>
      <c r="H174" t="s">
        <v>30</v>
      </c>
      <c r="I174">
        <v>29</v>
      </c>
      <c r="J174">
        <v>2</v>
      </c>
      <c r="K174">
        <v>4670</v>
      </c>
      <c r="L174">
        <v>9340</v>
      </c>
      <c r="M174" t="s">
        <v>51</v>
      </c>
      <c r="N174">
        <v>0</v>
      </c>
      <c r="O174" t="s">
        <v>25</v>
      </c>
    </row>
    <row r="175" spans="1:15" x14ac:dyDescent="0.35">
      <c r="A175">
        <v>1174</v>
      </c>
      <c r="B175" t="s">
        <v>134</v>
      </c>
      <c r="C175" s="1">
        <v>45393</v>
      </c>
      <c r="D175" s="1">
        <v>45397</v>
      </c>
      <c r="E175" s="1">
        <v>45402</v>
      </c>
      <c r="F175" t="s">
        <v>60</v>
      </c>
      <c r="G175" t="s">
        <v>39</v>
      </c>
      <c r="H175" t="s">
        <v>23</v>
      </c>
      <c r="I175">
        <v>4</v>
      </c>
      <c r="J175">
        <v>5</v>
      </c>
      <c r="K175">
        <v>8324</v>
      </c>
      <c r="L175">
        <v>41620</v>
      </c>
      <c r="M175" t="s">
        <v>51</v>
      </c>
      <c r="N175">
        <v>1</v>
      </c>
      <c r="O175" t="s">
        <v>25</v>
      </c>
    </row>
    <row r="176" spans="1:15" x14ac:dyDescent="0.35">
      <c r="A176">
        <v>1175</v>
      </c>
      <c r="B176" t="s">
        <v>256</v>
      </c>
      <c r="C176" s="1">
        <v>45310</v>
      </c>
      <c r="D176" s="1">
        <v>45315</v>
      </c>
      <c r="E176" s="1">
        <v>45319</v>
      </c>
      <c r="F176" t="s">
        <v>35</v>
      </c>
      <c r="G176" t="s">
        <v>39</v>
      </c>
      <c r="H176" t="s">
        <v>23</v>
      </c>
      <c r="I176">
        <v>5</v>
      </c>
      <c r="J176">
        <v>4</v>
      </c>
      <c r="K176">
        <v>2946</v>
      </c>
      <c r="L176">
        <v>11784</v>
      </c>
      <c r="M176" t="s">
        <v>51</v>
      </c>
      <c r="N176">
        <v>1</v>
      </c>
      <c r="O176" t="s">
        <v>25</v>
      </c>
    </row>
    <row r="177" spans="1:15" x14ac:dyDescent="0.35">
      <c r="A177">
        <v>1176</v>
      </c>
      <c r="B177" t="s">
        <v>257</v>
      </c>
      <c r="C177" s="1">
        <v>45373</v>
      </c>
      <c r="D177" s="1">
        <v>45384</v>
      </c>
      <c r="E177" s="1">
        <v>45389</v>
      </c>
      <c r="F177" t="s">
        <v>21</v>
      </c>
      <c r="G177" t="s">
        <v>22</v>
      </c>
      <c r="H177" t="s">
        <v>46</v>
      </c>
      <c r="I177">
        <v>11</v>
      </c>
      <c r="J177">
        <v>5</v>
      </c>
      <c r="K177">
        <v>5158</v>
      </c>
      <c r="L177">
        <v>25790</v>
      </c>
      <c r="M177" t="s">
        <v>51</v>
      </c>
      <c r="N177">
        <v>0</v>
      </c>
      <c r="O177" t="s">
        <v>25</v>
      </c>
    </row>
    <row r="178" spans="1:15" x14ac:dyDescent="0.35">
      <c r="A178">
        <v>1177</v>
      </c>
      <c r="B178" t="s">
        <v>258</v>
      </c>
      <c r="C178" s="1">
        <v>45570</v>
      </c>
      <c r="D178" s="1">
        <v>45626</v>
      </c>
      <c r="E178" s="1">
        <v>45629</v>
      </c>
      <c r="F178" t="s">
        <v>35</v>
      </c>
      <c r="G178" t="s">
        <v>22</v>
      </c>
      <c r="H178" t="s">
        <v>23</v>
      </c>
      <c r="I178">
        <v>56</v>
      </c>
      <c r="J178">
        <v>3</v>
      </c>
      <c r="K178">
        <v>5862</v>
      </c>
      <c r="L178">
        <v>17586</v>
      </c>
      <c r="M178" t="s">
        <v>51</v>
      </c>
      <c r="N178">
        <v>1</v>
      </c>
      <c r="O178" t="s">
        <v>31</v>
      </c>
    </row>
    <row r="179" spans="1:15" x14ac:dyDescent="0.35">
      <c r="A179">
        <v>1178</v>
      </c>
      <c r="B179" t="s">
        <v>259</v>
      </c>
      <c r="C179" s="1">
        <v>45630</v>
      </c>
      <c r="D179" s="1">
        <v>45681</v>
      </c>
      <c r="E179" s="1">
        <v>45683</v>
      </c>
      <c r="F179" t="s">
        <v>38</v>
      </c>
      <c r="G179" t="s">
        <v>22</v>
      </c>
      <c r="H179" t="s">
        <v>46</v>
      </c>
      <c r="I179">
        <v>51</v>
      </c>
      <c r="J179">
        <v>2</v>
      </c>
      <c r="K179">
        <v>5218</v>
      </c>
      <c r="L179">
        <v>10436</v>
      </c>
      <c r="M179" t="s">
        <v>51</v>
      </c>
      <c r="N179">
        <v>0</v>
      </c>
      <c r="O179" t="s">
        <v>25</v>
      </c>
    </row>
    <row r="180" spans="1:15" x14ac:dyDescent="0.35">
      <c r="A180">
        <v>1179</v>
      </c>
      <c r="B180" t="s">
        <v>103</v>
      </c>
      <c r="C180" s="1">
        <v>45656</v>
      </c>
      <c r="D180" s="1">
        <v>45677</v>
      </c>
      <c r="E180" s="1">
        <v>45682</v>
      </c>
      <c r="F180" t="s">
        <v>21</v>
      </c>
      <c r="G180" t="s">
        <v>22</v>
      </c>
      <c r="H180" t="s">
        <v>23</v>
      </c>
      <c r="I180">
        <v>21</v>
      </c>
      <c r="J180">
        <v>5</v>
      </c>
      <c r="K180">
        <v>5983</v>
      </c>
      <c r="L180">
        <v>29915</v>
      </c>
      <c r="M180" t="s">
        <v>24</v>
      </c>
      <c r="N180">
        <v>1</v>
      </c>
      <c r="O180" t="s">
        <v>25</v>
      </c>
    </row>
    <row r="181" spans="1:15" x14ac:dyDescent="0.35">
      <c r="A181">
        <v>1180</v>
      </c>
      <c r="B181" t="s">
        <v>260</v>
      </c>
      <c r="C181" s="1">
        <v>45622</v>
      </c>
      <c r="D181" s="1">
        <v>45657</v>
      </c>
      <c r="E181" s="1">
        <v>45660</v>
      </c>
      <c r="F181" t="s">
        <v>21</v>
      </c>
      <c r="G181" t="s">
        <v>39</v>
      </c>
      <c r="H181" t="s">
        <v>46</v>
      </c>
      <c r="I181">
        <v>35</v>
      </c>
      <c r="J181">
        <v>3</v>
      </c>
      <c r="K181">
        <v>5444</v>
      </c>
      <c r="L181">
        <v>16332</v>
      </c>
      <c r="M181" t="s">
        <v>51</v>
      </c>
      <c r="N181">
        <v>0</v>
      </c>
      <c r="O181" t="s">
        <v>31</v>
      </c>
    </row>
    <row r="182" spans="1:15" x14ac:dyDescent="0.35">
      <c r="A182">
        <v>1181</v>
      </c>
      <c r="B182" t="s">
        <v>261</v>
      </c>
      <c r="C182" s="1">
        <v>45420</v>
      </c>
      <c r="D182" s="1">
        <v>45432</v>
      </c>
      <c r="E182" s="1">
        <v>45437</v>
      </c>
      <c r="F182" t="s">
        <v>29</v>
      </c>
      <c r="G182" t="s">
        <v>39</v>
      </c>
      <c r="H182" t="s">
        <v>46</v>
      </c>
      <c r="I182">
        <v>12</v>
      </c>
      <c r="J182">
        <v>5</v>
      </c>
      <c r="K182">
        <v>6876</v>
      </c>
      <c r="L182">
        <v>34380</v>
      </c>
      <c r="M182" t="s">
        <v>51</v>
      </c>
      <c r="N182">
        <v>1</v>
      </c>
      <c r="O182" t="s">
        <v>25</v>
      </c>
    </row>
    <row r="183" spans="1:15" x14ac:dyDescent="0.35">
      <c r="A183">
        <v>1182</v>
      </c>
      <c r="B183" t="s">
        <v>262</v>
      </c>
      <c r="C183" s="1">
        <v>45635</v>
      </c>
      <c r="D183" s="1">
        <v>45661</v>
      </c>
      <c r="E183" s="1">
        <v>45665</v>
      </c>
      <c r="F183" t="s">
        <v>38</v>
      </c>
      <c r="G183" t="s">
        <v>39</v>
      </c>
      <c r="H183" t="s">
        <v>46</v>
      </c>
      <c r="I183">
        <v>26</v>
      </c>
      <c r="J183">
        <v>4</v>
      </c>
      <c r="K183">
        <v>3095</v>
      </c>
      <c r="L183">
        <v>12380</v>
      </c>
      <c r="M183" t="s">
        <v>24</v>
      </c>
      <c r="N183">
        <v>1</v>
      </c>
      <c r="O183" t="s">
        <v>25</v>
      </c>
    </row>
    <row r="184" spans="1:15" x14ac:dyDescent="0.35">
      <c r="A184">
        <v>1183</v>
      </c>
      <c r="B184" t="s">
        <v>263</v>
      </c>
      <c r="C184" s="1">
        <v>45601</v>
      </c>
      <c r="D184" s="1">
        <v>45652</v>
      </c>
      <c r="E184" s="1">
        <v>45656</v>
      </c>
      <c r="F184" t="s">
        <v>29</v>
      </c>
      <c r="G184" t="s">
        <v>22</v>
      </c>
      <c r="H184" t="s">
        <v>30</v>
      </c>
      <c r="I184">
        <v>51</v>
      </c>
      <c r="J184">
        <v>4</v>
      </c>
      <c r="K184">
        <v>4486</v>
      </c>
      <c r="L184">
        <v>17944</v>
      </c>
      <c r="M184" t="s">
        <v>24</v>
      </c>
      <c r="N184">
        <v>1</v>
      </c>
      <c r="O184" t="s">
        <v>31</v>
      </c>
    </row>
    <row r="185" spans="1:15" x14ac:dyDescent="0.35">
      <c r="A185">
        <v>1184</v>
      </c>
      <c r="B185" t="s">
        <v>264</v>
      </c>
      <c r="C185" s="1">
        <v>45380</v>
      </c>
      <c r="D185" s="1">
        <v>45399</v>
      </c>
      <c r="E185" s="1">
        <v>45403</v>
      </c>
      <c r="F185" t="s">
        <v>29</v>
      </c>
      <c r="G185" t="s">
        <v>39</v>
      </c>
      <c r="H185" t="s">
        <v>23</v>
      </c>
      <c r="I185">
        <v>19</v>
      </c>
      <c r="J185">
        <v>4</v>
      </c>
      <c r="K185">
        <v>5250</v>
      </c>
      <c r="L185">
        <v>21000</v>
      </c>
      <c r="M185" t="s">
        <v>24</v>
      </c>
      <c r="N185">
        <v>1</v>
      </c>
      <c r="O185" t="s">
        <v>25</v>
      </c>
    </row>
    <row r="186" spans="1:15" x14ac:dyDescent="0.35">
      <c r="A186">
        <v>1185</v>
      </c>
      <c r="B186" t="s">
        <v>265</v>
      </c>
      <c r="C186" s="1">
        <v>45504</v>
      </c>
      <c r="D186" s="1">
        <v>45549</v>
      </c>
      <c r="E186" s="1">
        <v>45553</v>
      </c>
      <c r="F186" t="s">
        <v>60</v>
      </c>
      <c r="G186" t="s">
        <v>39</v>
      </c>
      <c r="H186" t="s">
        <v>23</v>
      </c>
      <c r="I186">
        <v>45</v>
      </c>
      <c r="J186">
        <v>4</v>
      </c>
      <c r="K186">
        <v>3574</v>
      </c>
      <c r="L186">
        <v>14296</v>
      </c>
      <c r="M186" t="s">
        <v>51</v>
      </c>
      <c r="N186">
        <v>1</v>
      </c>
      <c r="O186" t="s">
        <v>25</v>
      </c>
    </row>
    <row r="187" spans="1:15" x14ac:dyDescent="0.35">
      <c r="A187">
        <v>1186</v>
      </c>
      <c r="B187" t="s">
        <v>266</v>
      </c>
      <c r="C187" s="1">
        <v>45434</v>
      </c>
      <c r="D187" s="1">
        <v>45441</v>
      </c>
      <c r="E187" s="1">
        <v>45442</v>
      </c>
      <c r="F187" t="s">
        <v>29</v>
      </c>
      <c r="G187" t="s">
        <v>39</v>
      </c>
      <c r="H187" t="s">
        <v>23</v>
      </c>
      <c r="I187">
        <v>7</v>
      </c>
      <c r="J187">
        <v>1</v>
      </c>
      <c r="K187">
        <v>6469</v>
      </c>
      <c r="L187">
        <v>6469</v>
      </c>
      <c r="M187" t="s">
        <v>51</v>
      </c>
      <c r="N187">
        <v>0</v>
      </c>
      <c r="O187" t="s">
        <v>25</v>
      </c>
    </row>
    <row r="188" spans="1:15" x14ac:dyDescent="0.35">
      <c r="A188">
        <v>1187</v>
      </c>
      <c r="B188" t="s">
        <v>267</v>
      </c>
      <c r="C188" s="1">
        <v>45356</v>
      </c>
      <c r="D188" s="1">
        <v>45403</v>
      </c>
      <c r="E188" s="1">
        <v>45406</v>
      </c>
      <c r="F188" t="s">
        <v>35</v>
      </c>
      <c r="G188" t="s">
        <v>22</v>
      </c>
      <c r="H188" t="s">
        <v>30</v>
      </c>
      <c r="I188">
        <v>47</v>
      </c>
      <c r="J188">
        <v>3</v>
      </c>
      <c r="K188">
        <v>6805</v>
      </c>
      <c r="L188">
        <v>20415</v>
      </c>
      <c r="M188" t="s">
        <v>24</v>
      </c>
      <c r="N188">
        <v>0</v>
      </c>
      <c r="O188" t="s">
        <v>25</v>
      </c>
    </row>
    <row r="189" spans="1:15" x14ac:dyDescent="0.35">
      <c r="A189">
        <v>1188</v>
      </c>
      <c r="B189" t="s">
        <v>268</v>
      </c>
      <c r="C189" s="1">
        <v>45367</v>
      </c>
      <c r="D189" s="1">
        <v>45422</v>
      </c>
      <c r="E189" s="1">
        <v>45425</v>
      </c>
      <c r="F189" t="s">
        <v>21</v>
      </c>
      <c r="G189" t="s">
        <v>22</v>
      </c>
      <c r="H189" t="s">
        <v>46</v>
      </c>
      <c r="I189">
        <v>55</v>
      </c>
      <c r="J189">
        <v>3</v>
      </c>
      <c r="K189">
        <v>6721</v>
      </c>
      <c r="L189">
        <v>20163</v>
      </c>
      <c r="M189" t="s">
        <v>24</v>
      </c>
      <c r="N189">
        <v>1</v>
      </c>
      <c r="O189" t="s">
        <v>31</v>
      </c>
    </row>
    <row r="190" spans="1:15" x14ac:dyDescent="0.35">
      <c r="A190">
        <v>1189</v>
      </c>
      <c r="B190" t="s">
        <v>269</v>
      </c>
      <c r="C190" s="1">
        <v>45490</v>
      </c>
      <c r="D190" s="1">
        <v>45497</v>
      </c>
      <c r="E190" s="1">
        <v>45501</v>
      </c>
      <c r="F190" t="s">
        <v>29</v>
      </c>
      <c r="G190" t="s">
        <v>39</v>
      </c>
      <c r="H190" t="s">
        <v>23</v>
      </c>
      <c r="I190">
        <v>7</v>
      </c>
      <c r="J190">
        <v>4</v>
      </c>
      <c r="K190">
        <v>7087</v>
      </c>
      <c r="L190">
        <v>28348</v>
      </c>
      <c r="M190" t="s">
        <v>24</v>
      </c>
      <c r="N190">
        <v>0</v>
      </c>
      <c r="O190" t="s">
        <v>25</v>
      </c>
    </row>
    <row r="191" spans="1:15" x14ac:dyDescent="0.35">
      <c r="A191">
        <v>1190</v>
      </c>
      <c r="B191" t="s">
        <v>270</v>
      </c>
      <c r="C191" s="1">
        <v>45434</v>
      </c>
      <c r="D191" s="1">
        <v>45460</v>
      </c>
      <c r="E191" s="1">
        <v>45461</v>
      </c>
      <c r="F191" t="s">
        <v>35</v>
      </c>
      <c r="G191" t="s">
        <v>39</v>
      </c>
      <c r="H191" t="s">
        <v>30</v>
      </c>
      <c r="I191">
        <v>26</v>
      </c>
      <c r="J191">
        <v>1</v>
      </c>
      <c r="K191">
        <v>6080</v>
      </c>
      <c r="L191">
        <v>6080</v>
      </c>
      <c r="M191" t="s">
        <v>51</v>
      </c>
      <c r="N191">
        <v>0</v>
      </c>
      <c r="O191" t="s">
        <v>31</v>
      </c>
    </row>
    <row r="192" spans="1:15" x14ac:dyDescent="0.35">
      <c r="A192">
        <v>1191</v>
      </c>
      <c r="B192" t="s">
        <v>271</v>
      </c>
      <c r="C192" s="1">
        <v>45607</v>
      </c>
      <c r="D192" s="1">
        <v>45647</v>
      </c>
      <c r="E192" s="1">
        <v>45651</v>
      </c>
      <c r="F192" t="s">
        <v>38</v>
      </c>
      <c r="G192" t="s">
        <v>22</v>
      </c>
      <c r="H192" t="s">
        <v>30</v>
      </c>
      <c r="I192">
        <v>40</v>
      </c>
      <c r="J192">
        <v>4</v>
      </c>
      <c r="K192">
        <v>5507</v>
      </c>
      <c r="L192">
        <v>22028</v>
      </c>
      <c r="M192" t="s">
        <v>24</v>
      </c>
      <c r="N192">
        <v>0</v>
      </c>
      <c r="O192" t="s">
        <v>25</v>
      </c>
    </row>
    <row r="193" spans="1:15" x14ac:dyDescent="0.35">
      <c r="A193">
        <v>1192</v>
      </c>
      <c r="B193" t="s">
        <v>272</v>
      </c>
      <c r="C193" s="1">
        <v>45384</v>
      </c>
      <c r="D193" s="1">
        <v>45389</v>
      </c>
      <c r="E193" s="1">
        <v>45390</v>
      </c>
      <c r="F193" t="s">
        <v>21</v>
      </c>
      <c r="G193" t="s">
        <v>22</v>
      </c>
      <c r="H193" t="s">
        <v>23</v>
      </c>
      <c r="I193">
        <v>5</v>
      </c>
      <c r="J193">
        <v>1</v>
      </c>
      <c r="K193">
        <v>3469</v>
      </c>
      <c r="L193">
        <v>3469</v>
      </c>
      <c r="M193" t="s">
        <v>51</v>
      </c>
      <c r="N193">
        <v>0</v>
      </c>
      <c r="O193" t="s">
        <v>31</v>
      </c>
    </row>
    <row r="194" spans="1:15" x14ac:dyDescent="0.35">
      <c r="A194">
        <v>1193</v>
      </c>
      <c r="B194" t="s">
        <v>273</v>
      </c>
      <c r="C194" s="1">
        <v>45596</v>
      </c>
      <c r="D194" s="1">
        <v>45617</v>
      </c>
      <c r="E194" s="1">
        <v>45621</v>
      </c>
      <c r="F194" t="s">
        <v>38</v>
      </c>
      <c r="G194" t="s">
        <v>22</v>
      </c>
      <c r="H194" t="s">
        <v>46</v>
      </c>
      <c r="I194">
        <v>21</v>
      </c>
      <c r="J194">
        <v>4</v>
      </c>
      <c r="K194">
        <v>3080</v>
      </c>
      <c r="L194">
        <v>12320</v>
      </c>
      <c r="M194" t="s">
        <v>51</v>
      </c>
      <c r="N194">
        <v>1</v>
      </c>
      <c r="O194" t="s">
        <v>31</v>
      </c>
    </row>
    <row r="195" spans="1:15" x14ac:dyDescent="0.35">
      <c r="A195">
        <v>1194</v>
      </c>
      <c r="B195" t="s">
        <v>260</v>
      </c>
      <c r="C195" s="1">
        <v>45515</v>
      </c>
      <c r="D195" s="1">
        <v>45529</v>
      </c>
      <c r="E195" s="1">
        <v>45531</v>
      </c>
      <c r="F195" t="s">
        <v>35</v>
      </c>
      <c r="G195" t="s">
        <v>22</v>
      </c>
      <c r="H195" t="s">
        <v>30</v>
      </c>
      <c r="I195">
        <v>14</v>
      </c>
      <c r="J195">
        <v>2</v>
      </c>
      <c r="K195">
        <v>5324</v>
      </c>
      <c r="L195">
        <v>10648</v>
      </c>
      <c r="M195" t="s">
        <v>51</v>
      </c>
      <c r="N195">
        <v>0</v>
      </c>
      <c r="O195" t="s">
        <v>31</v>
      </c>
    </row>
    <row r="196" spans="1:15" x14ac:dyDescent="0.35">
      <c r="A196">
        <v>1195</v>
      </c>
      <c r="B196" t="s">
        <v>274</v>
      </c>
      <c r="C196" s="1">
        <v>45582</v>
      </c>
      <c r="D196" s="1">
        <v>45586</v>
      </c>
      <c r="E196" s="1">
        <v>45588</v>
      </c>
      <c r="F196" t="s">
        <v>38</v>
      </c>
      <c r="G196" t="s">
        <v>39</v>
      </c>
      <c r="H196" t="s">
        <v>23</v>
      </c>
      <c r="I196">
        <v>4</v>
      </c>
      <c r="J196">
        <v>2</v>
      </c>
      <c r="K196">
        <v>8901</v>
      </c>
      <c r="L196">
        <v>17802</v>
      </c>
      <c r="M196" t="s">
        <v>51</v>
      </c>
      <c r="N196">
        <v>0</v>
      </c>
      <c r="O196" t="s">
        <v>25</v>
      </c>
    </row>
    <row r="197" spans="1:15" x14ac:dyDescent="0.35">
      <c r="A197">
        <v>1196</v>
      </c>
      <c r="B197" t="s">
        <v>216</v>
      </c>
      <c r="C197" s="1">
        <v>45393</v>
      </c>
      <c r="D197" s="1">
        <v>45416</v>
      </c>
      <c r="E197" s="1">
        <v>45421</v>
      </c>
      <c r="F197" t="s">
        <v>38</v>
      </c>
      <c r="G197" t="s">
        <v>22</v>
      </c>
      <c r="H197" t="s">
        <v>46</v>
      </c>
      <c r="I197">
        <v>23</v>
      </c>
      <c r="J197">
        <v>5</v>
      </c>
      <c r="K197">
        <v>6501</v>
      </c>
      <c r="L197">
        <v>32505</v>
      </c>
      <c r="M197" t="s">
        <v>24</v>
      </c>
      <c r="N197">
        <v>1</v>
      </c>
      <c r="O197" t="s">
        <v>25</v>
      </c>
    </row>
    <row r="198" spans="1:15" x14ac:dyDescent="0.35">
      <c r="A198">
        <v>1197</v>
      </c>
      <c r="B198" t="s">
        <v>275</v>
      </c>
      <c r="C198" s="1">
        <v>45558</v>
      </c>
      <c r="D198" s="1">
        <v>45600</v>
      </c>
      <c r="E198" s="1">
        <v>45604</v>
      </c>
      <c r="F198" t="s">
        <v>38</v>
      </c>
      <c r="G198" t="s">
        <v>39</v>
      </c>
      <c r="H198" t="s">
        <v>30</v>
      </c>
      <c r="I198">
        <v>42</v>
      </c>
      <c r="J198">
        <v>4</v>
      </c>
      <c r="K198">
        <v>3711</v>
      </c>
      <c r="L198">
        <v>14844</v>
      </c>
      <c r="M198" t="s">
        <v>24</v>
      </c>
      <c r="N198">
        <v>1</v>
      </c>
      <c r="O198" t="s">
        <v>25</v>
      </c>
    </row>
    <row r="199" spans="1:15" x14ac:dyDescent="0.35">
      <c r="A199">
        <v>1198</v>
      </c>
      <c r="B199" t="s">
        <v>276</v>
      </c>
      <c r="C199" s="1">
        <v>45646</v>
      </c>
      <c r="D199" s="1">
        <v>45666</v>
      </c>
      <c r="E199" s="1">
        <v>45669</v>
      </c>
      <c r="F199" t="s">
        <v>29</v>
      </c>
      <c r="G199" t="s">
        <v>22</v>
      </c>
      <c r="H199" t="s">
        <v>30</v>
      </c>
      <c r="I199">
        <v>20</v>
      </c>
      <c r="J199">
        <v>3</v>
      </c>
      <c r="K199">
        <v>2729</v>
      </c>
      <c r="L199">
        <v>8187</v>
      </c>
      <c r="M199" t="s">
        <v>24</v>
      </c>
      <c r="N199">
        <v>0</v>
      </c>
      <c r="O199" t="s">
        <v>31</v>
      </c>
    </row>
    <row r="200" spans="1:15" x14ac:dyDescent="0.35">
      <c r="A200">
        <v>1199</v>
      </c>
      <c r="B200" t="s">
        <v>192</v>
      </c>
      <c r="C200" s="1">
        <v>45401</v>
      </c>
      <c r="D200" s="1">
        <v>45416</v>
      </c>
      <c r="E200" s="1">
        <v>45421</v>
      </c>
      <c r="F200" t="s">
        <v>29</v>
      </c>
      <c r="G200" t="s">
        <v>39</v>
      </c>
      <c r="H200" t="s">
        <v>23</v>
      </c>
      <c r="I200">
        <v>15</v>
      </c>
      <c r="J200">
        <v>5</v>
      </c>
      <c r="K200">
        <v>6784</v>
      </c>
      <c r="L200">
        <v>33920</v>
      </c>
      <c r="M200" t="s">
        <v>51</v>
      </c>
      <c r="N200">
        <v>1</v>
      </c>
      <c r="O200" t="s">
        <v>25</v>
      </c>
    </row>
    <row r="201" spans="1:15" x14ac:dyDescent="0.35">
      <c r="A201">
        <v>1200</v>
      </c>
      <c r="B201" t="s">
        <v>278</v>
      </c>
      <c r="C201" s="1">
        <v>45621</v>
      </c>
      <c r="D201" s="1">
        <v>45671</v>
      </c>
      <c r="E201" s="1">
        <v>45673</v>
      </c>
      <c r="F201" t="s">
        <v>29</v>
      </c>
      <c r="G201" t="s">
        <v>39</v>
      </c>
      <c r="H201" t="s">
        <v>23</v>
      </c>
      <c r="I201">
        <v>50</v>
      </c>
      <c r="J201">
        <v>2</v>
      </c>
      <c r="K201">
        <v>8653</v>
      </c>
      <c r="L201">
        <v>17306</v>
      </c>
      <c r="M201" t="s">
        <v>24</v>
      </c>
      <c r="N201">
        <v>0</v>
      </c>
      <c r="O201" t="s">
        <v>25</v>
      </c>
    </row>
    <row r="202" spans="1:15" x14ac:dyDescent="0.35">
      <c r="A202">
        <v>1201</v>
      </c>
      <c r="B202" t="s">
        <v>279</v>
      </c>
      <c r="C202" s="1">
        <v>45556</v>
      </c>
      <c r="D202" s="1">
        <v>45608</v>
      </c>
      <c r="E202" s="1">
        <v>45612</v>
      </c>
      <c r="F202" t="s">
        <v>21</v>
      </c>
      <c r="G202" t="s">
        <v>22</v>
      </c>
      <c r="H202" t="s">
        <v>46</v>
      </c>
      <c r="I202">
        <v>52</v>
      </c>
      <c r="J202">
        <v>4</v>
      </c>
      <c r="K202">
        <v>5685</v>
      </c>
      <c r="L202">
        <v>22740</v>
      </c>
      <c r="M202" t="s">
        <v>51</v>
      </c>
      <c r="N202">
        <v>1</v>
      </c>
      <c r="O202" t="s">
        <v>25</v>
      </c>
    </row>
    <row r="203" spans="1:15" x14ac:dyDescent="0.35">
      <c r="A203">
        <v>1202</v>
      </c>
      <c r="B203" t="s">
        <v>280</v>
      </c>
      <c r="C203" s="1">
        <v>45294</v>
      </c>
      <c r="D203" s="1">
        <v>45339</v>
      </c>
      <c r="E203" s="1">
        <v>45344</v>
      </c>
      <c r="F203" t="s">
        <v>35</v>
      </c>
      <c r="G203" t="s">
        <v>39</v>
      </c>
      <c r="H203" t="s">
        <v>23</v>
      </c>
      <c r="I203">
        <v>45</v>
      </c>
      <c r="J203">
        <v>5</v>
      </c>
      <c r="K203">
        <v>3001</v>
      </c>
      <c r="L203">
        <v>15005</v>
      </c>
      <c r="M203" t="s">
        <v>51</v>
      </c>
      <c r="N203">
        <v>0</v>
      </c>
      <c r="O203" t="s">
        <v>25</v>
      </c>
    </row>
    <row r="204" spans="1:15" x14ac:dyDescent="0.35">
      <c r="A204">
        <v>1203</v>
      </c>
      <c r="B204" t="s">
        <v>236</v>
      </c>
      <c r="C204" s="1">
        <v>45376</v>
      </c>
      <c r="D204" s="1">
        <v>45405</v>
      </c>
      <c r="E204" s="1">
        <v>45409</v>
      </c>
      <c r="F204" t="s">
        <v>29</v>
      </c>
      <c r="G204" t="s">
        <v>39</v>
      </c>
      <c r="H204" t="s">
        <v>23</v>
      </c>
      <c r="I204">
        <v>29</v>
      </c>
      <c r="J204">
        <v>4</v>
      </c>
      <c r="K204">
        <v>4632</v>
      </c>
      <c r="L204">
        <v>18528</v>
      </c>
      <c r="M204" t="s">
        <v>51</v>
      </c>
      <c r="N204">
        <v>1</v>
      </c>
      <c r="O204" t="s">
        <v>31</v>
      </c>
    </row>
    <row r="205" spans="1:15" x14ac:dyDescent="0.35">
      <c r="A205">
        <v>1204</v>
      </c>
      <c r="B205" t="s">
        <v>281</v>
      </c>
      <c r="C205" s="1">
        <v>45573</v>
      </c>
      <c r="D205" s="1">
        <v>45581</v>
      </c>
      <c r="E205" s="1">
        <v>45583</v>
      </c>
      <c r="F205" t="s">
        <v>38</v>
      </c>
      <c r="G205" t="s">
        <v>39</v>
      </c>
      <c r="H205" t="s">
        <v>46</v>
      </c>
      <c r="I205">
        <v>8</v>
      </c>
      <c r="J205">
        <v>2</v>
      </c>
      <c r="K205">
        <v>2548</v>
      </c>
      <c r="L205">
        <v>5096</v>
      </c>
      <c r="M205" t="s">
        <v>24</v>
      </c>
      <c r="N205">
        <v>0</v>
      </c>
      <c r="O205" t="s">
        <v>31</v>
      </c>
    </row>
    <row r="206" spans="1:15" x14ac:dyDescent="0.35">
      <c r="A206">
        <v>1205</v>
      </c>
      <c r="B206" t="s">
        <v>282</v>
      </c>
      <c r="C206" s="1">
        <v>45619</v>
      </c>
      <c r="D206" s="1">
        <v>45660</v>
      </c>
      <c r="E206" s="1">
        <v>45665</v>
      </c>
      <c r="F206" t="s">
        <v>38</v>
      </c>
      <c r="G206" t="s">
        <v>22</v>
      </c>
      <c r="H206" t="s">
        <v>23</v>
      </c>
      <c r="I206">
        <v>41</v>
      </c>
      <c r="J206">
        <v>5</v>
      </c>
      <c r="K206">
        <v>6066</v>
      </c>
      <c r="L206">
        <v>30330</v>
      </c>
      <c r="M206" t="s">
        <v>51</v>
      </c>
      <c r="N206">
        <v>0</v>
      </c>
      <c r="O206" t="s">
        <v>25</v>
      </c>
    </row>
    <row r="207" spans="1:15" x14ac:dyDescent="0.35">
      <c r="A207">
        <v>1206</v>
      </c>
      <c r="B207" t="s">
        <v>283</v>
      </c>
      <c r="C207" s="1">
        <v>45595</v>
      </c>
      <c r="D207" s="1">
        <v>45643</v>
      </c>
      <c r="E207" s="1">
        <v>45645</v>
      </c>
      <c r="F207" t="s">
        <v>38</v>
      </c>
      <c r="G207" t="s">
        <v>22</v>
      </c>
      <c r="H207" t="s">
        <v>46</v>
      </c>
      <c r="I207">
        <v>48</v>
      </c>
      <c r="J207">
        <v>2</v>
      </c>
      <c r="K207">
        <v>5555</v>
      </c>
      <c r="L207">
        <v>11110</v>
      </c>
      <c r="M207" t="s">
        <v>51</v>
      </c>
      <c r="N207">
        <v>1</v>
      </c>
      <c r="O207" t="s">
        <v>25</v>
      </c>
    </row>
    <row r="208" spans="1:15" x14ac:dyDescent="0.35">
      <c r="A208">
        <v>1207</v>
      </c>
      <c r="B208" t="s">
        <v>279</v>
      </c>
      <c r="C208" s="1">
        <v>45408</v>
      </c>
      <c r="D208" s="1">
        <v>45427</v>
      </c>
      <c r="E208" s="1">
        <v>45428</v>
      </c>
      <c r="F208" t="s">
        <v>38</v>
      </c>
      <c r="G208" t="s">
        <v>22</v>
      </c>
      <c r="H208" t="s">
        <v>46</v>
      </c>
      <c r="I208">
        <v>19</v>
      </c>
      <c r="J208">
        <v>1</v>
      </c>
      <c r="K208">
        <v>3188</v>
      </c>
      <c r="L208">
        <v>3188</v>
      </c>
      <c r="M208" t="s">
        <v>24</v>
      </c>
      <c r="N208">
        <v>0</v>
      </c>
      <c r="O208" t="s">
        <v>25</v>
      </c>
    </row>
    <row r="209" spans="1:15" x14ac:dyDescent="0.35">
      <c r="A209">
        <v>1208</v>
      </c>
      <c r="B209" t="s">
        <v>284</v>
      </c>
      <c r="C209" s="1">
        <v>45512</v>
      </c>
      <c r="D209" s="1">
        <v>45560</v>
      </c>
      <c r="E209" s="1">
        <v>45562</v>
      </c>
      <c r="F209" t="s">
        <v>60</v>
      </c>
      <c r="G209" t="s">
        <v>39</v>
      </c>
      <c r="H209" t="s">
        <v>46</v>
      </c>
      <c r="I209">
        <v>48</v>
      </c>
      <c r="J209">
        <v>2</v>
      </c>
      <c r="K209">
        <v>2886</v>
      </c>
      <c r="L209">
        <v>5772</v>
      </c>
      <c r="M209" t="s">
        <v>24</v>
      </c>
      <c r="N209">
        <v>1</v>
      </c>
      <c r="O209" t="s">
        <v>31</v>
      </c>
    </row>
    <row r="210" spans="1:15" x14ac:dyDescent="0.35">
      <c r="A210">
        <v>1209</v>
      </c>
      <c r="B210" t="s">
        <v>145</v>
      </c>
      <c r="C210" s="1">
        <v>45445</v>
      </c>
      <c r="D210" s="1">
        <v>45484</v>
      </c>
      <c r="E210" s="1">
        <v>45488</v>
      </c>
      <c r="F210" t="s">
        <v>21</v>
      </c>
      <c r="G210" t="s">
        <v>39</v>
      </c>
      <c r="H210" t="s">
        <v>23</v>
      </c>
      <c r="I210">
        <v>39</v>
      </c>
      <c r="J210">
        <v>4</v>
      </c>
      <c r="K210">
        <v>3469</v>
      </c>
      <c r="L210">
        <v>13876</v>
      </c>
      <c r="M210" t="s">
        <v>24</v>
      </c>
      <c r="N210">
        <v>1</v>
      </c>
      <c r="O210" t="s">
        <v>25</v>
      </c>
    </row>
    <row r="211" spans="1:15" x14ac:dyDescent="0.35">
      <c r="A211">
        <v>1210</v>
      </c>
      <c r="B211" t="s">
        <v>285</v>
      </c>
      <c r="C211" s="1">
        <v>45444</v>
      </c>
      <c r="D211" s="1">
        <v>45490</v>
      </c>
      <c r="E211" s="1">
        <v>45493</v>
      </c>
      <c r="F211" t="s">
        <v>35</v>
      </c>
      <c r="G211" t="s">
        <v>39</v>
      </c>
      <c r="H211" t="s">
        <v>46</v>
      </c>
      <c r="I211">
        <v>46</v>
      </c>
      <c r="J211">
        <v>3</v>
      </c>
      <c r="K211">
        <v>5960</v>
      </c>
      <c r="L211">
        <v>17880</v>
      </c>
      <c r="M211" t="s">
        <v>51</v>
      </c>
      <c r="N211">
        <v>1</v>
      </c>
      <c r="O211" t="s">
        <v>31</v>
      </c>
    </row>
    <row r="212" spans="1:15" x14ac:dyDescent="0.35">
      <c r="A212">
        <v>1211</v>
      </c>
      <c r="B212" t="s">
        <v>286</v>
      </c>
      <c r="C212" s="1">
        <v>45303</v>
      </c>
      <c r="D212" s="1">
        <v>45331</v>
      </c>
      <c r="E212" s="1">
        <v>45333</v>
      </c>
      <c r="F212" t="s">
        <v>35</v>
      </c>
      <c r="G212" t="s">
        <v>39</v>
      </c>
      <c r="H212" t="s">
        <v>23</v>
      </c>
      <c r="I212">
        <v>28</v>
      </c>
      <c r="J212">
        <v>2</v>
      </c>
      <c r="K212">
        <v>3505</v>
      </c>
      <c r="L212">
        <v>7010</v>
      </c>
      <c r="M212" t="s">
        <v>51</v>
      </c>
      <c r="N212">
        <v>0</v>
      </c>
      <c r="O212" t="s">
        <v>31</v>
      </c>
    </row>
    <row r="213" spans="1:15" x14ac:dyDescent="0.35">
      <c r="A213">
        <v>1212</v>
      </c>
      <c r="B213" t="s">
        <v>287</v>
      </c>
      <c r="C213" s="1">
        <v>45424</v>
      </c>
      <c r="D213" s="1">
        <v>45470</v>
      </c>
      <c r="E213" s="1">
        <v>45473</v>
      </c>
      <c r="F213" t="s">
        <v>29</v>
      </c>
      <c r="G213" t="s">
        <v>22</v>
      </c>
      <c r="H213" t="s">
        <v>46</v>
      </c>
      <c r="I213">
        <v>46</v>
      </c>
      <c r="J213">
        <v>3</v>
      </c>
      <c r="K213">
        <v>8861</v>
      </c>
      <c r="L213">
        <v>26583</v>
      </c>
      <c r="M213" t="s">
        <v>24</v>
      </c>
      <c r="N213">
        <v>1</v>
      </c>
      <c r="O213" t="s">
        <v>25</v>
      </c>
    </row>
    <row r="214" spans="1:15" x14ac:dyDescent="0.35">
      <c r="A214">
        <v>1213</v>
      </c>
      <c r="B214" t="s">
        <v>288</v>
      </c>
      <c r="C214" s="1">
        <v>45595</v>
      </c>
      <c r="D214" s="1">
        <v>45652</v>
      </c>
      <c r="E214" s="1">
        <v>45653</v>
      </c>
      <c r="F214" t="s">
        <v>60</v>
      </c>
      <c r="G214" t="s">
        <v>39</v>
      </c>
      <c r="H214" t="s">
        <v>23</v>
      </c>
      <c r="I214">
        <v>57</v>
      </c>
      <c r="J214">
        <v>1</v>
      </c>
      <c r="K214">
        <v>8320</v>
      </c>
      <c r="L214">
        <v>8320</v>
      </c>
      <c r="M214" t="s">
        <v>51</v>
      </c>
      <c r="N214">
        <v>1</v>
      </c>
      <c r="O214" t="s">
        <v>25</v>
      </c>
    </row>
    <row r="215" spans="1:15" x14ac:dyDescent="0.35">
      <c r="A215">
        <v>1214</v>
      </c>
      <c r="B215" t="s">
        <v>289</v>
      </c>
      <c r="C215" s="1">
        <v>45584</v>
      </c>
      <c r="D215" s="1">
        <v>45611</v>
      </c>
      <c r="E215" s="1">
        <v>45616</v>
      </c>
      <c r="F215" t="s">
        <v>35</v>
      </c>
      <c r="G215" t="s">
        <v>39</v>
      </c>
      <c r="H215" t="s">
        <v>46</v>
      </c>
      <c r="I215">
        <v>27</v>
      </c>
      <c r="J215">
        <v>5</v>
      </c>
      <c r="K215">
        <v>8600</v>
      </c>
      <c r="L215">
        <v>43000</v>
      </c>
      <c r="M215" t="s">
        <v>51</v>
      </c>
      <c r="N215">
        <v>1</v>
      </c>
      <c r="O215" t="s">
        <v>25</v>
      </c>
    </row>
    <row r="216" spans="1:15" x14ac:dyDescent="0.35">
      <c r="A216">
        <v>1215</v>
      </c>
      <c r="B216" t="s">
        <v>290</v>
      </c>
      <c r="C216" s="1">
        <v>45591</v>
      </c>
      <c r="D216" s="1">
        <v>45595</v>
      </c>
      <c r="E216" s="1">
        <v>45600</v>
      </c>
      <c r="F216" t="s">
        <v>21</v>
      </c>
      <c r="G216" t="s">
        <v>39</v>
      </c>
      <c r="H216" t="s">
        <v>30</v>
      </c>
      <c r="I216">
        <v>4</v>
      </c>
      <c r="J216">
        <v>5</v>
      </c>
      <c r="K216">
        <v>5552</v>
      </c>
      <c r="L216">
        <v>27760</v>
      </c>
      <c r="M216" t="s">
        <v>24</v>
      </c>
      <c r="N216">
        <v>0</v>
      </c>
      <c r="O216" t="s">
        <v>31</v>
      </c>
    </row>
    <row r="217" spans="1:15" x14ac:dyDescent="0.35">
      <c r="A217">
        <v>1216</v>
      </c>
      <c r="B217" t="s">
        <v>260</v>
      </c>
      <c r="C217" s="1">
        <v>45519</v>
      </c>
      <c r="D217" s="1">
        <v>45577</v>
      </c>
      <c r="E217" s="1">
        <v>45580</v>
      </c>
      <c r="F217" t="s">
        <v>38</v>
      </c>
      <c r="G217" t="s">
        <v>22</v>
      </c>
      <c r="H217" t="s">
        <v>30</v>
      </c>
      <c r="I217">
        <v>58</v>
      </c>
      <c r="J217">
        <v>3</v>
      </c>
      <c r="K217">
        <v>5917</v>
      </c>
      <c r="L217">
        <v>17751</v>
      </c>
      <c r="M217" t="s">
        <v>24</v>
      </c>
      <c r="N217">
        <v>1</v>
      </c>
      <c r="O217" t="s">
        <v>31</v>
      </c>
    </row>
    <row r="218" spans="1:15" x14ac:dyDescent="0.35">
      <c r="A218">
        <v>1217</v>
      </c>
      <c r="B218" t="s">
        <v>291</v>
      </c>
      <c r="C218" s="1">
        <v>45562</v>
      </c>
      <c r="D218" s="1">
        <v>45577</v>
      </c>
      <c r="E218" s="1">
        <v>45582</v>
      </c>
      <c r="F218" t="s">
        <v>29</v>
      </c>
      <c r="G218" t="s">
        <v>39</v>
      </c>
      <c r="H218" t="s">
        <v>30</v>
      </c>
      <c r="I218">
        <v>15</v>
      </c>
      <c r="J218">
        <v>5</v>
      </c>
      <c r="K218">
        <v>4802</v>
      </c>
      <c r="L218">
        <v>24010</v>
      </c>
      <c r="M218" t="s">
        <v>24</v>
      </c>
      <c r="N218">
        <v>1</v>
      </c>
      <c r="O218" t="s">
        <v>25</v>
      </c>
    </row>
    <row r="219" spans="1:15" x14ac:dyDescent="0.35">
      <c r="A219">
        <v>1218</v>
      </c>
      <c r="B219" t="s">
        <v>292</v>
      </c>
      <c r="C219" s="1">
        <v>45334</v>
      </c>
      <c r="D219" s="1">
        <v>45369</v>
      </c>
      <c r="E219" s="1">
        <v>45371</v>
      </c>
      <c r="F219" t="s">
        <v>21</v>
      </c>
      <c r="G219" t="s">
        <v>22</v>
      </c>
      <c r="H219" t="s">
        <v>46</v>
      </c>
      <c r="I219">
        <v>35</v>
      </c>
      <c r="J219">
        <v>2</v>
      </c>
      <c r="K219">
        <v>4783</v>
      </c>
      <c r="L219">
        <v>9566</v>
      </c>
      <c r="M219" t="s">
        <v>24</v>
      </c>
      <c r="N219">
        <v>1</v>
      </c>
      <c r="O219" t="s">
        <v>31</v>
      </c>
    </row>
    <row r="220" spans="1:15" x14ac:dyDescent="0.35">
      <c r="A220">
        <v>1219</v>
      </c>
      <c r="B220" t="s">
        <v>293</v>
      </c>
      <c r="C220" s="1">
        <v>45634</v>
      </c>
      <c r="D220" s="1">
        <v>45671</v>
      </c>
      <c r="E220" s="1">
        <v>45674</v>
      </c>
      <c r="F220" t="s">
        <v>35</v>
      </c>
      <c r="G220" t="s">
        <v>22</v>
      </c>
      <c r="H220" t="s">
        <v>23</v>
      </c>
      <c r="I220">
        <v>37</v>
      </c>
      <c r="J220">
        <v>3</v>
      </c>
      <c r="K220">
        <v>4107</v>
      </c>
      <c r="L220">
        <v>12321</v>
      </c>
      <c r="M220" t="s">
        <v>24</v>
      </c>
      <c r="N220">
        <v>0</v>
      </c>
      <c r="O220" t="s">
        <v>25</v>
      </c>
    </row>
    <row r="221" spans="1:15" x14ac:dyDescent="0.35">
      <c r="A221">
        <v>1220</v>
      </c>
      <c r="B221" t="s">
        <v>174</v>
      </c>
      <c r="C221" s="1">
        <v>45617</v>
      </c>
      <c r="D221" s="1">
        <v>45618</v>
      </c>
      <c r="E221" s="1">
        <v>45622</v>
      </c>
      <c r="F221" t="s">
        <v>60</v>
      </c>
      <c r="G221" t="s">
        <v>39</v>
      </c>
      <c r="H221" t="s">
        <v>46</v>
      </c>
      <c r="I221">
        <v>1</v>
      </c>
      <c r="J221">
        <v>4</v>
      </c>
      <c r="K221">
        <v>8385</v>
      </c>
      <c r="L221">
        <v>33540</v>
      </c>
      <c r="M221" t="s">
        <v>24</v>
      </c>
      <c r="N221">
        <v>0</v>
      </c>
      <c r="O221" t="s">
        <v>25</v>
      </c>
    </row>
    <row r="222" spans="1:15" x14ac:dyDescent="0.35">
      <c r="A222">
        <v>1221</v>
      </c>
      <c r="B222" t="s">
        <v>158</v>
      </c>
      <c r="C222" s="1">
        <v>45593</v>
      </c>
      <c r="D222" s="1">
        <v>45596</v>
      </c>
      <c r="E222" s="1">
        <v>45598</v>
      </c>
      <c r="F222" t="s">
        <v>29</v>
      </c>
      <c r="G222" t="s">
        <v>39</v>
      </c>
      <c r="H222" t="s">
        <v>46</v>
      </c>
      <c r="I222">
        <v>3</v>
      </c>
      <c r="J222">
        <v>2</v>
      </c>
      <c r="K222">
        <v>6866</v>
      </c>
      <c r="L222">
        <v>13732</v>
      </c>
      <c r="M222" t="s">
        <v>24</v>
      </c>
      <c r="N222">
        <v>0</v>
      </c>
      <c r="O222" t="s">
        <v>31</v>
      </c>
    </row>
    <row r="223" spans="1:15" x14ac:dyDescent="0.35">
      <c r="A223">
        <v>1222</v>
      </c>
      <c r="B223" t="s">
        <v>294</v>
      </c>
      <c r="C223" s="1">
        <v>45655</v>
      </c>
      <c r="D223" s="1">
        <v>45702</v>
      </c>
      <c r="E223" s="1">
        <v>45704</v>
      </c>
      <c r="F223" t="s">
        <v>35</v>
      </c>
      <c r="G223" t="s">
        <v>39</v>
      </c>
      <c r="H223" t="s">
        <v>46</v>
      </c>
      <c r="I223">
        <v>47</v>
      </c>
      <c r="J223">
        <v>2</v>
      </c>
      <c r="K223">
        <v>2622</v>
      </c>
      <c r="L223">
        <v>5244</v>
      </c>
      <c r="M223" t="s">
        <v>24</v>
      </c>
      <c r="N223">
        <v>0</v>
      </c>
      <c r="O223" t="s">
        <v>31</v>
      </c>
    </row>
    <row r="224" spans="1:15" x14ac:dyDescent="0.35">
      <c r="A224">
        <v>1223</v>
      </c>
      <c r="B224" t="s">
        <v>295</v>
      </c>
      <c r="C224" s="1">
        <v>45312</v>
      </c>
      <c r="D224" s="1">
        <v>45336</v>
      </c>
      <c r="E224" s="1">
        <v>45338</v>
      </c>
      <c r="F224" t="s">
        <v>29</v>
      </c>
      <c r="G224" t="s">
        <v>39</v>
      </c>
      <c r="H224" t="s">
        <v>46</v>
      </c>
      <c r="I224">
        <v>24</v>
      </c>
      <c r="J224">
        <v>2</v>
      </c>
      <c r="K224">
        <v>3780</v>
      </c>
      <c r="L224">
        <v>7560</v>
      </c>
      <c r="M224" t="s">
        <v>51</v>
      </c>
      <c r="N224">
        <v>0</v>
      </c>
      <c r="O224" t="s">
        <v>31</v>
      </c>
    </row>
    <row r="225" spans="1:15" x14ac:dyDescent="0.35">
      <c r="A225">
        <v>1224</v>
      </c>
      <c r="B225" t="s">
        <v>296</v>
      </c>
      <c r="C225" s="1">
        <v>45398</v>
      </c>
      <c r="D225" s="1">
        <v>45425</v>
      </c>
      <c r="E225" s="1">
        <v>45429</v>
      </c>
      <c r="F225" t="s">
        <v>35</v>
      </c>
      <c r="G225" t="s">
        <v>22</v>
      </c>
      <c r="H225" t="s">
        <v>23</v>
      </c>
      <c r="I225">
        <v>27</v>
      </c>
      <c r="J225">
        <v>4</v>
      </c>
      <c r="K225">
        <v>6227</v>
      </c>
      <c r="L225">
        <v>24908</v>
      </c>
      <c r="M225" t="s">
        <v>51</v>
      </c>
      <c r="N225">
        <v>1</v>
      </c>
      <c r="O225" t="s">
        <v>31</v>
      </c>
    </row>
    <row r="226" spans="1:15" x14ac:dyDescent="0.35">
      <c r="A226">
        <v>1225</v>
      </c>
      <c r="B226" t="s">
        <v>297</v>
      </c>
      <c r="C226" s="1">
        <v>45627</v>
      </c>
      <c r="D226" s="1">
        <v>45667</v>
      </c>
      <c r="E226" s="1">
        <v>45668</v>
      </c>
      <c r="F226" t="s">
        <v>38</v>
      </c>
      <c r="G226" t="s">
        <v>22</v>
      </c>
      <c r="H226" t="s">
        <v>46</v>
      </c>
      <c r="I226">
        <v>40</v>
      </c>
      <c r="J226">
        <v>1</v>
      </c>
      <c r="K226">
        <v>8040</v>
      </c>
      <c r="L226">
        <v>8040</v>
      </c>
      <c r="M226" t="s">
        <v>51</v>
      </c>
      <c r="N226">
        <v>0</v>
      </c>
      <c r="O226" t="s">
        <v>25</v>
      </c>
    </row>
    <row r="227" spans="1:15" x14ac:dyDescent="0.35">
      <c r="A227">
        <v>1226</v>
      </c>
      <c r="B227" t="s">
        <v>298</v>
      </c>
      <c r="C227" s="1">
        <v>45594</v>
      </c>
      <c r="D227" s="1">
        <v>45630</v>
      </c>
      <c r="E227" s="1">
        <v>45635</v>
      </c>
      <c r="F227" t="s">
        <v>60</v>
      </c>
      <c r="G227" t="s">
        <v>22</v>
      </c>
      <c r="H227" t="s">
        <v>30</v>
      </c>
      <c r="I227">
        <v>36</v>
      </c>
      <c r="J227">
        <v>5</v>
      </c>
      <c r="K227">
        <v>2758</v>
      </c>
      <c r="L227">
        <v>13790</v>
      </c>
      <c r="M227" t="s">
        <v>51</v>
      </c>
      <c r="N227">
        <v>0</v>
      </c>
      <c r="O227" t="s">
        <v>25</v>
      </c>
    </row>
    <row r="228" spans="1:15" x14ac:dyDescent="0.35">
      <c r="A228">
        <v>1227</v>
      </c>
      <c r="B228" t="s">
        <v>299</v>
      </c>
      <c r="C228" s="1">
        <v>45408</v>
      </c>
      <c r="D228" s="1">
        <v>45442</v>
      </c>
      <c r="E228" s="1">
        <v>45445</v>
      </c>
      <c r="F228" t="s">
        <v>38</v>
      </c>
      <c r="G228" t="s">
        <v>22</v>
      </c>
      <c r="H228" t="s">
        <v>30</v>
      </c>
      <c r="I228">
        <v>34</v>
      </c>
      <c r="J228">
        <v>3</v>
      </c>
      <c r="K228">
        <v>3447</v>
      </c>
      <c r="L228">
        <v>10341</v>
      </c>
      <c r="M228" t="s">
        <v>51</v>
      </c>
      <c r="N228">
        <v>0</v>
      </c>
      <c r="O228" t="s">
        <v>25</v>
      </c>
    </row>
    <row r="229" spans="1:15" x14ac:dyDescent="0.35">
      <c r="A229">
        <v>1228</v>
      </c>
      <c r="B229" t="s">
        <v>300</v>
      </c>
      <c r="C229" s="1">
        <v>45415</v>
      </c>
      <c r="D229" s="1">
        <v>45444</v>
      </c>
      <c r="E229" s="1">
        <v>45445</v>
      </c>
      <c r="F229" t="s">
        <v>35</v>
      </c>
      <c r="G229" t="s">
        <v>22</v>
      </c>
      <c r="H229" t="s">
        <v>30</v>
      </c>
      <c r="I229">
        <v>29</v>
      </c>
      <c r="J229">
        <v>1</v>
      </c>
      <c r="K229">
        <v>8690</v>
      </c>
      <c r="L229">
        <v>8690</v>
      </c>
      <c r="M229" t="s">
        <v>51</v>
      </c>
      <c r="N229">
        <v>1</v>
      </c>
      <c r="O229" t="s">
        <v>31</v>
      </c>
    </row>
    <row r="230" spans="1:15" x14ac:dyDescent="0.35">
      <c r="A230">
        <v>1229</v>
      </c>
      <c r="B230" t="s">
        <v>301</v>
      </c>
      <c r="C230" s="1">
        <v>45572</v>
      </c>
      <c r="D230" s="1">
        <v>45596</v>
      </c>
      <c r="E230" s="1">
        <v>45599</v>
      </c>
      <c r="F230" t="s">
        <v>21</v>
      </c>
      <c r="G230" t="s">
        <v>22</v>
      </c>
      <c r="H230" t="s">
        <v>46</v>
      </c>
      <c r="I230">
        <v>24</v>
      </c>
      <c r="J230">
        <v>3</v>
      </c>
      <c r="K230">
        <v>7458</v>
      </c>
      <c r="L230">
        <v>22374</v>
      </c>
      <c r="M230" t="s">
        <v>51</v>
      </c>
      <c r="N230">
        <v>1</v>
      </c>
      <c r="O230" t="s">
        <v>25</v>
      </c>
    </row>
    <row r="231" spans="1:15" x14ac:dyDescent="0.35">
      <c r="A231">
        <v>1230</v>
      </c>
      <c r="B231" t="s">
        <v>223</v>
      </c>
      <c r="C231" s="1">
        <v>45583</v>
      </c>
      <c r="D231" s="1">
        <v>45607</v>
      </c>
      <c r="E231" s="1">
        <v>45612</v>
      </c>
      <c r="F231" t="s">
        <v>38</v>
      </c>
      <c r="G231" t="s">
        <v>22</v>
      </c>
      <c r="H231" t="s">
        <v>23</v>
      </c>
      <c r="I231">
        <v>24</v>
      </c>
      <c r="J231">
        <v>5</v>
      </c>
      <c r="K231">
        <v>3024</v>
      </c>
      <c r="L231">
        <v>15120</v>
      </c>
      <c r="M231" t="s">
        <v>51</v>
      </c>
      <c r="N231">
        <v>1</v>
      </c>
      <c r="O231" t="s">
        <v>31</v>
      </c>
    </row>
    <row r="232" spans="1:15" x14ac:dyDescent="0.35">
      <c r="A232">
        <v>1231</v>
      </c>
      <c r="B232" t="s">
        <v>302</v>
      </c>
      <c r="C232" s="1">
        <v>45494</v>
      </c>
      <c r="D232" s="1">
        <v>45536</v>
      </c>
      <c r="E232" s="1">
        <v>45540</v>
      </c>
      <c r="F232" t="s">
        <v>21</v>
      </c>
      <c r="G232" t="s">
        <v>22</v>
      </c>
      <c r="H232" t="s">
        <v>23</v>
      </c>
      <c r="I232">
        <v>42</v>
      </c>
      <c r="J232">
        <v>4</v>
      </c>
      <c r="K232">
        <v>3387</v>
      </c>
      <c r="L232">
        <v>13548</v>
      </c>
      <c r="M232" t="s">
        <v>51</v>
      </c>
      <c r="N232">
        <v>1</v>
      </c>
      <c r="O232" t="s">
        <v>31</v>
      </c>
    </row>
    <row r="233" spans="1:15" x14ac:dyDescent="0.35">
      <c r="A233">
        <v>1232</v>
      </c>
      <c r="B233" t="s">
        <v>303</v>
      </c>
      <c r="C233" s="1">
        <v>45342</v>
      </c>
      <c r="D233" s="1">
        <v>45346</v>
      </c>
      <c r="E233" s="1">
        <v>45348</v>
      </c>
      <c r="F233" t="s">
        <v>35</v>
      </c>
      <c r="G233" t="s">
        <v>22</v>
      </c>
      <c r="H233" t="s">
        <v>23</v>
      </c>
      <c r="I233">
        <v>4</v>
      </c>
      <c r="J233">
        <v>2</v>
      </c>
      <c r="K233">
        <v>2707</v>
      </c>
      <c r="L233">
        <v>5414</v>
      </c>
      <c r="M233" t="s">
        <v>51</v>
      </c>
      <c r="N233">
        <v>0</v>
      </c>
      <c r="O233" t="s">
        <v>31</v>
      </c>
    </row>
    <row r="234" spans="1:15" x14ac:dyDescent="0.35">
      <c r="A234">
        <v>1233</v>
      </c>
      <c r="B234" t="s">
        <v>304</v>
      </c>
      <c r="C234" s="1">
        <v>45562</v>
      </c>
      <c r="D234" s="1">
        <v>45565</v>
      </c>
      <c r="E234" s="1">
        <v>45567</v>
      </c>
      <c r="F234" t="s">
        <v>60</v>
      </c>
      <c r="G234" t="s">
        <v>22</v>
      </c>
      <c r="H234" t="s">
        <v>46</v>
      </c>
      <c r="I234">
        <v>3</v>
      </c>
      <c r="J234">
        <v>2</v>
      </c>
      <c r="K234">
        <v>5882</v>
      </c>
      <c r="L234">
        <v>11764</v>
      </c>
      <c r="M234" t="s">
        <v>51</v>
      </c>
      <c r="N234">
        <v>0</v>
      </c>
      <c r="O234" t="s">
        <v>25</v>
      </c>
    </row>
    <row r="235" spans="1:15" x14ac:dyDescent="0.35">
      <c r="A235">
        <v>1234</v>
      </c>
      <c r="B235" t="s">
        <v>305</v>
      </c>
      <c r="C235" s="1">
        <v>45615</v>
      </c>
      <c r="D235" s="1">
        <v>45649</v>
      </c>
      <c r="E235" s="1">
        <v>45653</v>
      </c>
      <c r="F235" t="s">
        <v>21</v>
      </c>
      <c r="G235" t="s">
        <v>39</v>
      </c>
      <c r="H235" t="s">
        <v>23</v>
      </c>
      <c r="I235">
        <v>34</v>
      </c>
      <c r="J235">
        <v>4</v>
      </c>
      <c r="K235">
        <v>5294</v>
      </c>
      <c r="L235">
        <v>21176</v>
      </c>
      <c r="M235" t="s">
        <v>24</v>
      </c>
      <c r="N235">
        <v>1</v>
      </c>
      <c r="O235" t="s">
        <v>31</v>
      </c>
    </row>
    <row r="236" spans="1:15" x14ac:dyDescent="0.35">
      <c r="A236">
        <v>1235</v>
      </c>
      <c r="B236" t="s">
        <v>306</v>
      </c>
      <c r="C236" s="1">
        <v>45568</v>
      </c>
      <c r="D236" s="1">
        <v>45625</v>
      </c>
      <c r="E236" s="1">
        <v>45626</v>
      </c>
      <c r="F236" t="s">
        <v>35</v>
      </c>
      <c r="G236" t="s">
        <v>39</v>
      </c>
      <c r="H236" t="s">
        <v>30</v>
      </c>
      <c r="I236">
        <v>57</v>
      </c>
      <c r="J236">
        <v>1</v>
      </c>
      <c r="K236">
        <v>2648</v>
      </c>
      <c r="L236">
        <v>2648</v>
      </c>
      <c r="M236" t="s">
        <v>51</v>
      </c>
      <c r="N236">
        <v>1</v>
      </c>
      <c r="O236" t="s">
        <v>31</v>
      </c>
    </row>
    <row r="237" spans="1:15" x14ac:dyDescent="0.35">
      <c r="A237">
        <v>1236</v>
      </c>
      <c r="B237" t="s">
        <v>307</v>
      </c>
      <c r="C237" s="1">
        <v>45432</v>
      </c>
      <c r="D237" s="1">
        <v>45481</v>
      </c>
      <c r="E237" s="1">
        <v>45482</v>
      </c>
      <c r="F237" t="s">
        <v>21</v>
      </c>
      <c r="G237" t="s">
        <v>39</v>
      </c>
      <c r="H237" t="s">
        <v>23</v>
      </c>
      <c r="I237">
        <v>49</v>
      </c>
      <c r="J237">
        <v>1</v>
      </c>
      <c r="K237">
        <v>2937</v>
      </c>
      <c r="L237">
        <v>2937</v>
      </c>
      <c r="M237" t="s">
        <v>24</v>
      </c>
      <c r="N237">
        <v>1</v>
      </c>
      <c r="O237" t="s">
        <v>31</v>
      </c>
    </row>
    <row r="238" spans="1:15" x14ac:dyDescent="0.35">
      <c r="A238">
        <v>1237</v>
      </c>
      <c r="B238" t="s">
        <v>308</v>
      </c>
      <c r="C238" s="1">
        <v>45566</v>
      </c>
      <c r="D238" s="1">
        <v>45589</v>
      </c>
      <c r="E238" s="1">
        <v>45592</v>
      </c>
      <c r="F238" t="s">
        <v>38</v>
      </c>
      <c r="G238" t="s">
        <v>22</v>
      </c>
      <c r="H238" t="s">
        <v>46</v>
      </c>
      <c r="I238">
        <v>23</v>
      </c>
      <c r="J238">
        <v>3</v>
      </c>
      <c r="K238">
        <v>4702</v>
      </c>
      <c r="L238">
        <v>14106</v>
      </c>
      <c r="M238" t="s">
        <v>51</v>
      </c>
      <c r="N238">
        <v>0</v>
      </c>
      <c r="O238" t="s">
        <v>31</v>
      </c>
    </row>
    <row r="239" spans="1:15" x14ac:dyDescent="0.35">
      <c r="A239">
        <v>1238</v>
      </c>
      <c r="B239" t="s">
        <v>309</v>
      </c>
      <c r="C239" s="1">
        <v>45581</v>
      </c>
      <c r="D239" s="1">
        <v>45634</v>
      </c>
      <c r="E239" s="1">
        <v>45638</v>
      </c>
      <c r="F239" t="s">
        <v>35</v>
      </c>
      <c r="G239" t="s">
        <v>39</v>
      </c>
      <c r="H239" t="s">
        <v>46</v>
      </c>
      <c r="I239">
        <v>53</v>
      </c>
      <c r="J239">
        <v>4</v>
      </c>
      <c r="K239">
        <v>6249</v>
      </c>
      <c r="L239">
        <v>24996</v>
      </c>
      <c r="M239" t="s">
        <v>24</v>
      </c>
      <c r="N239">
        <v>1</v>
      </c>
      <c r="O239" t="s">
        <v>31</v>
      </c>
    </row>
    <row r="240" spans="1:15" x14ac:dyDescent="0.35">
      <c r="A240">
        <v>1239</v>
      </c>
      <c r="B240" t="s">
        <v>310</v>
      </c>
      <c r="C240" s="1">
        <v>45625</v>
      </c>
      <c r="D240" s="1">
        <v>45681</v>
      </c>
      <c r="E240" s="1">
        <v>45682</v>
      </c>
      <c r="F240" t="s">
        <v>38</v>
      </c>
      <c r="G240" t="s">
        <v>22</v>
      </c>
      <c r="H240" t="s">
        <v>23</v>
      </c>
      <c r="I240">
        <v>56</v>
      </c>
      <c r="J240">
        <v>1</v>
      </c>
      <c r="K240">
        <v>5661</v>
      </c>
      <c r="L240">
        <v>5661</v>
      </c>
      <c r="M240" t="s">
        <v>51</v>
      </c>
      <c r="N240">
        <v>1</v>
      </c>
      <c r="O240" t="s">
        <v>31</v>
      </c>
    </row>
    <row r="241" spans="1:15" x14ac:dyDescent="0.35">
      <c r="A241">
        <v>1240</v>
      </c>
      <c r="B241" t="s">
        <v>311</v>
      </c>
      <c r="C241" s="1">
        <v>45343</v>
      </c>
      <c r="D241" s="1">
        <v>45395</v>
      </c>
      <c r="E241" s="1">
        <v>45399</v>
      </c>
      <c r="F241" t="s">
        <v>29</v>
      </c>
      <c r="G241" t="s">
        <v>22</v>
      </c>
      <c r="H241" t="s">
        <v>46</v>
      </c>
      <c r="I241">
        <v>52</v>
      </c>
      <c r="J241">
        <v>4</v>
      </c>
      <c r="K241">
        <v>8317</v>
      </c>
      <c r="L241">
        <v>33268</v>
      </c>
      <c r="M241" t="s">
        <v>24</v>
      </c>
      <c r="N241">
        <v>1</v>
      </c>
      <c r="O241" t="s">
        <v>31</v>
      </c>
    </row>
    <row r="242" spans="1:15" x14ac:dyDescent="0.35">
      <c r="A242">
        <v>1241</v>
      </c>
      <c r="B242" t="s">
        <v>312</v>
      </c>
      <c r="C242" s="1">
        <v>45318</v>
      </c>
      <c r="D242" s="1">
        <v>45341</v>
      </c>
      <c r="E242" s="1">
        <v>45346</v>
      </c>
      <c r="F242" t="s">
        <v>35</v>
      </c>
      <c r="G242" t="s">
        <v>39</v>
      </c>
      <c r="H242" t="s">
        <v>23</v>
      </c>
      <c r="I242">
        <v>23</v>
      </c>
      <c r="J242">
        <v>5</v>
      </c>
      <c r="K242">
        <v>6401</v>
      </c>
      <c r="L242">
        <v>32005</v>
      </c>
      <c r="M242" t="s">
        <v>51</v>
      </c>
      <c r="N242">
        <v>0</v>
      </c>
      <c r="O242" t="s">
        <v>31</v>
      </c>
    </row>
    <row r="243" spans="1:15" x14ac:dyDescent="0.35">
      <c r="A243">
        <v>1242</v>
      </c>
      <c r="B243" t="s">
        <v>313</v>
      </c>
      <c r="C243" s="1">
        <v>45448</v>
      </c>
      <c r="D243" s="1">
        <v>45493</v>
      </c>
      <c r="E243" s="1">
        <v>45495</v>
      </c>
      <c r="F243" t="s">
        <v>21</v>
      </c>
      <c r="G243" t="s">
        <v>22</v>
      </c>
      <c r="H243" t="s">
        <v>23</v>
      </c>
      <c r="I243">
        <v>45</v>
      </c>
      <c r="J243">
        <v>2</v>
      </c>
      <c r="K243">
        <v>6953</v>
      </c>
      <c r="L243">
        <v>13906</v>
      </c>
      <c r="M243" t="s">
        <v>24</v>
      </c>
      <c r="N243">
        <v>0</v>
      </c>
      <c r="O243" t="s">
        <v>31</v>
      </c>
    </row>
    <row r="244" spans="1:15" x14ac:dyDescent="0.35">
      <c r="A244">
        <v>1243</v>
      </c>
      <c r="B244" t="s">
        <v>314</v>
      </c>
      <c r="C244" s="1">
        <v>45530</v>
      </c>
      <c r="D244" s="1">
        <v>45535</v>
      </c>
      <c r="E244" s="1">
        <v>45537</v>
      </c>
      <c r="F244" t="s">
        <v>29</v>
      </c>
      <c r="G244" t="s">
        <v>39</v>
      </c>
      <c r="H244" t="s">
        <v>30</v>
      </c>
      <c r="I244">
        <v>5</v>
      </c>
      <c r="J244">
        <v>2</v>
      </c>
      <c r="K244">
        <v>5745</v>
      </c>
      <c r="L244">
        <v>11490</v>
      </c>
      <c r="M244" t="s">
        <v>51</v>
      </c>
      <c r="N244">
        <v>0</v>
      </c>
      <c r="O244" t="s">
        <v>31</v>
      </c>
    </row>
    <row r="245" spans="1:15" x14ac:dyDescent="0.35">
      <c r="A245">
        <v>1244</v>
      </c>
      <c r="B245" t="s">
        <v>315</v>
      </c>
      <c r="C245" s="1">
        <v>45447</v>
      </c>
      <c r="D245" s="1">
        <v>45478</v>
      </c>
      <c r="E245" s="1">
        <v>45480</v>
      </c>
      <c r="F245" t="s">
        <v>38</v>
      </c>
      <c r="G245" t="s">
        <v>22</v>
      </c>
      <c r="H245" t="s">
        <v>46</v>
      </c>
      <c r="I245">
        <v>31</v>
      </c>
      <c r="J245">
        <v>2</v>
      </c>
      <c r="K245">
        <v>7836</v>
      </c>
      <c r="L245">
        <v>15672</v>
      </c>
      <c r="M245" t="s">
        <v>24</v>
      </c>
      <c r="N245">
        <v>1</v>
      </c>
      <c r="O245" t="s">
        <v>31</v>
      </c>
    </row>
    <row r="246" spans="1:15" x14ac:dyDescent="0.35">
      <c r="A246">
        <v>1245</v>
      </c>
      <c r="B246" t="s">
        <v>316</v>
      </c>
      <c r="C246" s="1">
        <v>45582</v>
      </c>
      <c r="D246" s="1">
        <v>45635</v>
      </c>
      <c r="E246" s="1">
        <v>45639</v>
      </c>
      <c r="F246" t="s">
        <v>38</v>
      </c>
      <c r="G246" t="s">
        <v>22</v>
      </c>
      <c r="H246" t="s">
        <v>30</v>
      </c>
      <c r="I246">
        <v>53</v>
      </c>
      <c r="J246">
        <v>4</v>
      </c>
      <c r="K246">
        <v>8526</v>
      </c>
      <c r="L246">
        <v>34104</v>
      </c>
      <c r="M246" t="s">
        <v>51</v>
      </c>
      <c r="N246">
        <v>0</v>
      </c>
      <c r="O246" t="s">
        <v>31</v>
      </c>
    </row>
    <row r="247" spans="1:15" x14ac:dyDescent="0.35">
      <c r="A247">
        <v>1246</v>
      </c>
      <c r="B247" t="s">
        <v>178</v>
      </c>
      <c r="C247" s="1">
        <v>45427</v>
      </c>
      <c r="D247" s="1">
        <v>45468</v>
      </c>
      <c r="E247" s="1">
        <v>45472</v>
      </c>
      <c r="F247" t="s">
        <v>21</v>
      </c>
      <c r="G247" t="s">
        <v>39</v>
      </c>
      <c r="H247" t="s">
        <v>46</v>
      </c>
      <c r="I247">
        <v>41</v>
      </c>
      <c r="J247">
        <v>4</v>
      </c>
      <c r="K247">
        <v>7051</v>
      </c>
      <c r="L247">
        <v>28204</v>
      </c>
      <c r="M247" t="s">
        <v>24</v>
      </c>
      <c r="N247">
        <v>1</v>
      </c>
      <c r="O247" t="s">
        <v>25</v>
      </c>
    </row>
    <row r="248" spans="1:15" x14ac:dyDescent="0.35">
      <c r="A248">
        <v>1247</v>
      </c>
      <c r="B248" t="s">
        <v>317</v>
      </c>
      <c r="C248" s="1">
        <v>45435</v>
      </c>
      <c r="D248" s="1">
        <v>45492</v>
      </c>
      <c r="E248" s="1">
        <v>45495</v>
      </c>
      <c r="F248" t="s">
        <v>29</v>
      </c>
      <c r="G248" t="s">
        <v>39</v>
      </c>
      <c r="H248" t="s">
        <v>23</v>
      </c>
      <c r="I248">
        <v>57</v>
      </c>
      <c r="J248">
        <v>3</v>
      </c>
      <c r="K248">
        <v>5323</v>
      </c>
      <c r="L248">
        <v>15969</v>
      </c>
      <c r="M248" t="s">
        <v>24</v>
      </c>
      <c r="N248">
        <v>1</v>
      </c>
      <c r="O248" t="s">
        <v>25</v>
      </c>
    </row>
    <row r="249" spans="1:15" x14ac:dyDescent="0.35">
      <c r="A249">
        <v>1248</v>
      </c>
      <c r="B249" t="s">
        <v>318</v>
      </c>
      <c r="C249" s="1">
        <v>45397</v>
      </c>
      <c r="D249" s="1">
        <v>45454</v>
      </c>
      <c r="E249" s="1">
        <v>45456</v>
      </c>
      <c r="F249" t="s">
        <v>60</v>
      </c>
      <c r="G249" t="s">
        <v>39</v>
      </c>
      <c r="H249" t="s">
        <v>46</v>
      </c>
      <c r="I249">
        <v>57</v>
      </c>
      <c r="J249">
        <v>2</v>
      </c>
      <c r="K249">
        <v>8228</v>
      </c>
      <c r="L249">
        <v>16456</v>
      </c>
      <c r="M249" t="s">
        <v>24</v>
      </c>
      <c r="N249">
        <v>1</v>
      </c>
      <c r="O249" t="s">
        <v>31</v>
      </c>
    </row>
    <row r="250" spans="1:15" x14ac:dyDescent="0.35">
      <c r="A250">
        <v>1249</v>
      </c>
      <c r="B250" t="s">
        <v>130</v>
      </c>
      <c r="C250" s="1">
        <v>45449</v>
      </c>
      <c r="D250" s="1">
        <v>45503</v>
      </c>
      <c r="E250" s="1">
        <v>45506</v>
      </c>
      <c r="F250" t="s">
        <v>21</v>
      </c>
      <c r="G250" t="s">
        <v>39</v>
      </c>
      <c r="H250" t="s">
        <v>23</v>
      </c>
      <c r="I250">
        <v>54</v>
      </c>
      <c r="J250">
        <v>3</v>
      </c>
      <c r="K250">
        <v>7224</v>
      </c>
      <c r="L250">
        <v>21672</v>
      </c>
      <c r="M250" t="s">
        <v>24</v>
      </c>
      <c r="N250">
        <v>0</v>
      </c>
      <c r="O250" t="s">
        <v>31</v>
      </c>
    </row>
    <row r="251" spans="1:15" x14ac:dyDescent="0.35">
      <c r="A251">
        <v>1250</v>
      </c>
      <c r="B251" t="s">
        <v>319</v>
      </c>
      <c r="C251" s="1">
        <v>45437</v>
      </c>
      <c r="D251" s="1">
        <v>45443</v>
      </c>
      <c r="E251" s="1">
        <v>45445</v>
      </c>
      <c r="F251" t="s">
        <v>38</v>
      </c>
      <c r="G251" t="s">
        <v>39</v>
      </c>
      <c r="H251" t="s">
        <v>46</v>
      </c>
      <c r="I251">
        <v>6</v>
      </c>
      <c r="J251">
        <v>2</v>
      </c>
      <c r="K251">
        <v>5770</v>
      </c>
      <c r="L251">
        <v>11540</v>
      </c>
      <c r="M251" t="s">
        <v>24</v>
      </c>
      <c r="N251">
        <v>0</v>
      </c>
      <c r="O251" t="s">
        <v>31</v>
      </c>
    </row>
    <row r="252" spans="1:15" x14ac:dyDescent="0.35">
      <c r="A252">
        <v>1251</v>
      </c>
      <c r="B252" t="s">
        <v>320</v>
      </c>
      <c r="C252" s="1">
        <v>45293</v>
      </c>
      <c r="D252" s="1">
        <v>45330</v>
      </c>
      <c r="E252" s="1">
        <v>45333</v>
      </c>
      <c r="F252" t="s">
        <v>35</v>
      </c>
      <c r="G252" t="s">
        <v>39</v>
      </c>
      <c r="H252" t="s">
        <v>30</v>
      </c>
      <c r="I252">
        <v>37</v>
      </c>
      <c r="J252">
        <v>3</v>
      </c>
      <c r="K252">
        <v>2985</v>
      </c>
      <c r="L252">
        <v>8955</v>
      </c>
      <c r="M252" t="s">
        <v>24</v>
      </c>
      <c r="N252">
        <v>0</v>
      </c>
      <c r="O252" t="s">
        <v>25</v>
      </c>
    </row>
    <row r="253" spans="1:15" x14ac:dyDescent="0.35">
      <c r="A253">
        <v>1252</v>
      </c>
      <c r="B253" t="s">
        <v>233</v>
      </c>
      <c r="C253" s="1">
        <v>45368</v>
      </c>
      <c r="D253" s="1">
        <v>45425</v>
      </c>
      <c r="E253" s="1">
        <v>45428</v>
      </c>
      <c r="F253" t="s">
        <v>29</v>
      </c>
      <c r="G253" t="s">
        <v>22</v>
      </c>
      <c r="H253" t="s">
        <v>30</v>
      </c>
      <c r="I253">
        <v>57</v>
      </c>
      <c r="J253">
        <v>3</v>
      </c>
      <c r="K253">
        <v>2699</v>
      </c>
      <c r="L253">
        <v>8097</v>
      </c>
      <c r="M253" t="s">
        <v>24</v>
      </c>
      <c r="N253">
        <v>0</v>
      </c>
      <c r="O253" t="s">
        <v>25</v>
      </c>
    </row>
    <row r="254" spans="1:15" x14ac:dyDescent="0.35">
      <c r="A254">
        <v>1253</v>
      </c>
      <c r="B254" t="s">
        <v>321</v>
      </c>
      <c r="C254" s="1">
        <v>45423</v>
      </c>
      <c r="D254" s="1">
        <v>45433</v>
      </c>
      <c r="E254" s="1">
        <v>45438</v>
      </c>
      <c r="F254" t="s">
        <v>60</v>
      </c>
      <c r="G254" t="s">
        <v>22</v>
      </c>
      <c r="H254" t="s">
        <v>23</v>
      </c>
      <c r="I254">
        <v>10</v>
      </c>
      <c r="J254">
        <v>5</v>
      </c>
      <c r="K254">
        <v>6966</v>
      </c>
      <c r="L254">
        <v>34830</v>
      </c>
      <c r="M254" t="s">
        <v>24</v>
      </c>
      <c r="N254">
        <v>1</v>
      </c>
      <c r="O254" t="s">
        <v>25</v>
      </c>
    </row>
    <row r="255" spans="1:15" x14ac:dyDescent="0.35">
      <c r="A255">
        <v>1254</v>
      </c>
      <c r="B255" t="s">
        <v>322</v>
      </c>
      <c r="C255" s="1">
        <v>45381</v>
      </c>
      <c r="D255" s="1">
        <v>45421</v>
      </c>
      <c r="E255" s="1">
        <v>45424</v>
      </c>
      <c r="F255" t="s">
        <v>35</v>
      </c>
      <c r="G255" t="s">
        <v>22</v>
      </c>
      <c r="H255" t="s">
        <v>30</v>
      </c>
      <c r="I255">
        <v>40</v>
      </c>
      <c r="J255">
        <v>3</v>
      </c>
      <c r="K255">
        <v>7609</v>
      </c>
      <c r="L255">
        <v>22827</v>
      </c>
      <c r="M255" t="s">
        <v>51</v>
      </c>
      <c r="N255">
        <v>1</v>
      </c>
      <c r="O255" t="s">
        <v>31</v>
      </c>
    </row>
    <row r="256" spans="1:15" x14ac:dyDescent="0.35">
      <c r="A256">
        <v>1255</v>
      </c>
      <c r="B256" t="s">
        <v>323</v>
      </c>
      <c r="C256" s="1">
        <v>45636</v>
      </c>
      <c r="D256" s="1">
        <v>45643</v>
      </c>
      <c r="E256" s="1">
        <v>45647</v>
      </c>
      <c r="F256" t="s">
        <v>29</v>
      </c>
      <c r="G256" t="s">
        <v>22</v>
      </c>
      <c r="H256" t="s">
        <v>23</v>
      </c>
      <c r="I256">
        <v>7</v>
      </c>
      <c r="J256">
        <v>4</v>
      </c>
      <c r="K256">
        <v>4482</v>
      </c>
      <c r="L256">
        <v>17928</v>
      </c>
      <c r="M256" t="s">
        <v>51</v>
      </c>
      <c r="N256">
        <v>0</v>
      </c>
      <c r="O256" t="s">
        <v>31</v>
      </c>
    </row>
    <row r="257" spans="1:15" x14ac:dyDescent="0.35">
      <c r="A257">
        <v>1256</v>
      </c>
      <c r="B257" t="s">
        <v>172</v>
      </c>
      <c r="C257" s="1">
        <v>45641</v>
      </c>
      <c r="D257" s="1">
        <v>45680</v>
      </c>
      <c r="E257" s="1">
        <v>45683</v>
      </c>
      <c r="F257" t="s">
        <v>21</v>
      </c>
      <c r="G257" t="s">
        <v>39</v>
      </c>
      <c r="H257" t="s">
        <v>23</v>
      </c>
      <c r="I257">
        <v>39</v>
      </c>
      <c r="J257">
        <v>3</v>
      </c>
      <c r="K257">
        <v>3971</v>
      </c>
      <c r="L257">
        <v>11913</v>
      </c>
      <c r="M257" t="s">
        <v>51</v>
      </c>
      <c r="N257">
        <v>1</v>
      </c>
      <c r="O257" t="s">
        <v>31</v>
      </c>
    </row>
    <row r="258" spans="1:15" x14ac:dyDescent="0.35">
      <c r="A258">
        <v>1257</v>
      </c>
      <c r="B258" t="s">
        <v>65</v>
      </c>
      <c r="C258" s="1">
        <v>45554</v>
      </c>
      <c r="D258" s="1">
        <v>45592</v>
      </c>
      <c r="E258" s="1">
        <v>45594</v>
      </c>
      <c r="F258" t="s">
        <v>21</v>
      </c>
      <c r="G258" t="s">
        <v>22</v>
      </c>
      <c r="H258" t="s">
        <v>23</v>
      </c>
      <c r="I258">
        <v>38</v>
      </c>
      <c r="J258">
        <v>2</v>
      </c>
      <c r="K258">
        <v>6843</v>
      </c>
      <c r="L258">
        <v>13686</v>
      </c>
      <c r="M258" t="s">
        <v>24</v>
      </c>
      <c r="N258">
        <v>1</v>
      </c>
      <c r="O258" t="s">
        <v>31</v>
      </c>
    </row>
    <row r="259" spans="1:15" x14ac:dyDescent="0.35">
      <c r="A259">
        <v>1258</v>
      </c>
      <c r="B259" t="s">
        <v>324</v>
      </c>
      <c r="C259" s="1">
        <v>45642</v>
      </c>
      <c r="D259" s="1">
        <v>45663</v>
      </c>
      <c r="E259" s="1">
        <v>45666</v>
      </c>
      <c r="F259" t="s">
        <v>29</v>
      </c>
      <c r="G259" t="s">
        <v>22</v>
      </c>
      <c r="H259" t="s">
        <v>46</v>
      </c>
      <c r="I259">
        <v>21</v>
      </c>
      <c r="J259">
        <v>3</v>
      </c>
      <c r="K259">
        <v>7383</v>
      </c>
      <c r="L259">
        <v>22149</v>
      </c>
      <c r="M259" t="s">
        <v>24</v>
      </c>
      <c r="N259">
        <v>0</v>
      </c>
      <c r="O259" t="s">
        <v>25</v>
      </c>
    </row>
    <row r="260" spans="1:15" x14ac:dyDescent="0.35">
      <c r="A260">
        <v>1259</v>
      </c>
      <c r="B260" t="s">
        <v>325</v>
      </c>
      <c r="C260" s="1">
        <v>45399</v>
      </c>
      <c r="D260" s="1">
        <v>45419</v>
      </c>
      <c r="E260" s="1">
        <v>45420</v>
      </c>
      <c r="F260" t="s">
        <v>60</v>
      </c>
      <c r="G260" t="s">
        <v>39</v>
      </c>
      <c r="H260" t="s">
        <v>23</v>
      </c>
      <c r="I260">
        <v>20</v>
      </c>
      <c r="J260">
        <v>1</v>
      </c>
      <c r="K260">
        <v>4811</v>
      </c>
      <c r="L260">
        <v>4811</v>
      </c>
      <c r="M260" t="s">
        <v>51</v>
      </c>
      <c r="N260">
        <v>0</v>
      </c>
      <c r="O260" t="s">
        <v>31</v>
      </c>
    </row>
    <row r="261" spans="1:15" x14ac:dyDescent="0.35">
      <c r="A261">
        <v>1260</v>
      </c>
      <c r="B261" t="s">
        <v>326</v>
      </c>
      <c r="C261" s="1">
        <v>45365</v>
      </c>
      <c r="D261" s="1">
        <v>45368</v>
      </c>
      <c r="E261" s="1">
        <v>45370</v>
      </c>
      <c r="F261" t="s">
        <v>29</v>
      </c>
      <c r="G261" t="s">
        <v>22</v>
      </c>
      <c r="H261" t="s">
        <v>30</v>
      </c>
      <c r="I261">
        <v>3</v>
      </c>
      <c r="J261">
        <v>2</v>
      </c>
      <c r="K261">
        <v>5873</v>
      </c>
      <c r="L261">
        <v>11746</v>
      </c>
      <c r="M261" t="s">
        <v>51</v>
      </c>
      <c r="N261">
        <v>1</v>
      </c>
      <c r="O261" t="s">
        <v>25</v>
      </c>
    </row>
    <row r="262" spans="1:15" x14ac:dyDescent="0.35">
      <c r="A262">
        <v>1261</v>
      </c>
      <c r="B262" t="s">
        <v>327</v>
      </c>
      <c r="C262" s="1">
        <v>45330</v>
      </c>
      <c r="D262" s="1">
        <v>45381</v>
      </c>
      <c r="E262" s="1">
        <v>45382</v>
      </c>
      <c r="F262" t="s">
        <v>35</v>
      </c>
      <c r="G262" t="s">
        <v>39</v>
      </c>
      <c r="H262" t="s">
        <v>46</v>
      </c>
      <c r="I262">
        <v>51</v>
      </c>
      <c r="J262">
        <v>1</v>
      </c>
      <c r="K262">
        <v>4578</v>
      </c>
      <c r="L262">
        <v>4578</v>
      </c>
      <c r="M262" t="s">
        <v>24</v>
      </c>
      <c r="N262">
        <v>1</v>
      </c>
      <c r="O262" t="s">
        <v>25</v>
      </c>
    </row>
    <row r="263" spans="1:15" x14ac:dyDescent="0.35">
      <c r="A263">
        <v>1262</v>
      </c>
      <c r="B263" t="s">
        <v>328</v>
      </c>
      <c r="C263" s="1">
        <v>45450</v>
      </c>
      <c r="D263" s="1">
        <v>45472</v>
      </c>
      <c r="E263" s="1">
        <v>45474</v>
      </c>
      <c r="F263" t="s">
        <v>35</v>
      </c>
      <c r="G263" t="s">
        <v>39</v>
      </c>
      <c r="H263" t="s">
        <v>30</v>
      </c>
      <c r="I263">
        <v>22</v>
      </c>
      <c r="J263">
        <v>2</v>
      </c>
      <c r="K263">
        <v>4021</v>
      </c>
      <c r="L263">
        <v>8042</v>
      </c>
      <c r="M263" t="s">
        <v>24</v>
      </c>
      <c r="N263">
        <v>1</v>
      </c>
      <c r="O263" t="s">
        <v>31</v>
      </c>
    </row>
    <row r="264" spans="1:15" x14ac:dyDescent="0.35">
      <c r="A264">
        <v>1263</v>
      </c>
      <c r="B264" t="s">
        <v>329</v>
      </c>
      <c r="C264" s="1">
        <v>45362</v>
      </c>
      <c r="D264" s="1">
        <v>45409</v>
      </c>
      <c r="E264" s="1">
        <v>45413</v>
      </c>
      <c r="F264" t="s">
        <v>21</v>
      </c>
      <c r="G264" t="s">
        <v>39</v>
      </c>
      <c r="H264" t="s">
        <v>23</v>
      </c>
      <c r="I264">
        <v>47</v>
      </c>
      <c r="J264">
        <v>4</v>
      </c>
      <c r="K264">
        <v>7868</v>
      </c>
      <c r="L264">
        <v>31472</v>
      </c>
      <c r="M264" t="s">
        <v>51</v>
      </c>
      <c r="N264">
        <v>1</v>
      </c>
      <c r="O264" t="s">
        <v>25</v>
      </c>
    </row>
    <row r="265" spans="1:15" x14ac:dyDescent="0.35">
      <c r="A265">
        <v>1264</v>
      </c>
      <c r="B265" t="s">
        <v>308</v>
      </c>
      <c r="C265" s="1">
        <v>45603</v>
      </c>
      <c r="D265" s="1">
        <v>45607</v>
      </c>
      <c r="E265" s="1">
        <v>45611</v>
      </c>
      <c r="F265" t="s">
        <v>29</v>
      </c>
      <c r="G265" t="s">
        <v>22</v>
      </c>
      <c r="H265" t="s">
        <v>23</v>
      </c>
      <c r="I265">
        <v>4</v>
      </c>
      <c r="J265">
        <v>4</v>
      </c>
      <c r="K265">
        <v>3104</v>
      </c>
      <c r="L265">
        <v>12416</v>
      </c>
      <c r="M265" t="s">
        <v>24</v>
      </c>
      <c r="N265">
        <v>0</v>
      </c>
      <c r="O265" t="s">
        <v>25</v>
      </c>
    </row>
    <row r="266" spans="1:15" x14ac:dyDescent="0.35">
      <c r="A266">
        <v>1265</v>
      </c>
      <c r="B266" t="s">
        <v>330</v>
      </c>
      <c r="C266" s="1">
        <v>45532</v>
      </c>
      <c r="D266" s="1">
        <v>45560</v>
      </c>
      <c r="E266" s="1">
        <v>45564</v>
      </c>
      <c r="F266" t="s">
        <v>21</v>
      </c>
      <c r="G266" t="s">
        <v>39</v>
      </c>
      <c r="H266" t="s">
        <v>30</v>
      </c>
      <c r="I266">
        <v>28</v>
      </c>
      <c r="J266">
        <v>4</v>
      </c>
      <c r="K266">
        <v>6348</v>
      </c>
      <c r="L266">
        <v>25392</v>
      </c>
      <c r="M266" t="s">
        <v>51</v>
      </c>
      <c r="N266">
        <v>0</v>
      </c>
      <c r="O266" t="s">
        <v>25</v>
      </c>
    </row>
    <row r="267" spans="1:15" x14ac:dyDescent="0.35">
      <c r="A267">
        <v>1266</v>
      </c>
      <c r="B267" t="s">
        <v>331</v>
      </c>
      <c r="C267" s="1">
        <v>45589</v>
      </c>
      <c r="D267" s="1">
        <v>45601</v>
      </c>
      <c r="E267" s="1">
        <v>45602</v>
      </c>
      <c r="F267" t="s">
        <v>60</v>
      </c>
      <c r="G267" t="s">
        <v>22</v>
      </c>
      <c r="H267" t="s">
        <v>46</v>
      </c>
      <c r="I267">
        <v>12</v>
      </c>
      <c r="J267">
        <v>1</v>
      </c>
      <c r="K267">
        <v>5842</v>
      </c>
      <c r="L267">
        <v>5842</v>
      </c>
      <c r="M267" t="s">
        <v>24</v>
      </c>
      <c r="N267">
        <v>0</v>
      </c>
      <c r="O267" t="s">
        <v>25</v>
      </c>
    </row>
    <row r="268" spans="1:15" x14ac:dyDescent="0.35">
      <c r="A268">
        <v>1267</v>
      </c>
      <c r="B268" t="s">
        <v>169</v>
      </c>
      <c r="C268" s="1">
        <v>45327</v>
      </c>
      <c r="D268" s="1">
        <v>45365</v>
      </c>
      <c r="E268" s="1">
        <v>45370</v>
      </c>
      <c r="F268" t="s">
        <v>35</v>
      </c>
      <c r="G268" t="s">
        <v>22</v>
      </c>
      <c r="H268" t="s">
        <v>30</v>
      </c>
      <c r="I268">
        <v>38</v>
      </c>
      <c r="J268">
        <v>5</v>
      </c>
      <c r="K268">
        <v>8285</v>
      </c>
      <c r="L268">
        <v>41425</v>
      </c>
      <c r="M268" t="s">
        <v>51</v>
      </c>
      <c r="N268">
        <v>1</v>
      </c>
      <c r="O268" t="s">
        <v>31</v>
      </c>
    </row>
    <row r="269" spans="1:15" x14ac:dyDescent="0.35">
      <c r="A269">
        <v>1268</v>
      </c>
      <c r="B269" t="s">
        <v>332</v>
      </c>
      <c r="C269" s="1">
        <v>45375</v>
      </c>
      <c r="D269" s="1">
        <v>45426</v>
      </c>
      <c r="E269" s="1">
        <v>45428</v>
      </c>
      <c r="F269" t="s">
        <v>38</v>
      </c>
      <c r="G269" t="s">
        <v>22</v>
      </c>
      <c r="H269" t="s">
        <v>23</v>
      </c>
      <c r="I269">
        <v>51</v>
      </c>
      <c r="J269">
        <v>2</v>
      </c>
      <c r="K269">
        <v>3917</v>
      </c>
      <c r="L269">
        <v>7834</v>
      </c>
      <c r="M269" t="s">
        <v>51</v>
      </c>
      <c r="N269">
        <v>0</v>
      </c>
      <c r="O269" t="s">
        <v>31</v>
      </c>
    </row>
    <row r="270" spans="1:15" x14ac:dyDescent="0.35">
      <c r="A270">
        <v>1269</v>
      </c>
      <c r="B270" t="s">
        <v>287</v>
      </c>
      <c r="C270" s="1">
        <v>45554</v>
      </c>
      <c r="D270" s="1">
        <v>45590</v>
      </c>
      <c r="E270" s="1">
        <v>45594</v>
      </c>
      <c r="F270" t="s">
        <v>38</v>
      </c>
      <c r="G270" t="s">
        <v>39</v>
      </c>
      <c r="H270" t="s">
        <v>46</v>
      </c>
      <c r="I270">
        <v>36</v>
      </c>
      <c r="J270">
        <v>4</v>
      </c>
      <c r="K270">
        <v>8416</v>
      </c>
      <c r="L270">
        <v>33664</v>
      </c>
      <c r="M270" t="s">
        <v>24</v>
      </c>
      <c r="N270">
        <v>1</v>
      </c>
      <c r="O270" t="s">
        <v>25</v>
      </c>
    </row>
    <row r="271" spans="1:15" x14ac:dyDescent="0.35">
      <c r="A271">
        <v>1270</v>
      </c>
      <c r="B271" t="s">
        <v>333</v>
      </c>
      <c r="C271" s="1">
        <v>45601</v>
      </c>
      <c r="D271" s="1">
        <v>45648</v>
      </c>
      <c r="E271" s="1">
        <v>45650</v>
      </c>
      <c r="F271" t="s">
        <v>29</v>
      </c>
      <c r="G271" t="s">
        <v>39</v>
      </c>
      <c r="H271" t="s">
        <v>23</v>
      </c>
      <c r="I271">
        <v>47</v>
      </c>
      <c r="J271">
        <v>2</v>
      </c>
      <c r="K271">
        <v>7097</v>
      </c>
      <c r="L271">
        <v>14194</v>
      </c>
      <c r="M271" t="s">
        <v>51</v>
      </c>
      <c r="N271">
        <v>1</v>
      </c>
      <c r="O271" t="s">
        <v>31</v>
      </c>
    </row>
    <row r="272" spans="1:15" x14ac:dyDescent="0.35">
      <c r="A272">
        <v>1271</v>
      </c>
      <c r="B272" t="s">
        <v>334</v>
      </c>
      <c r="C272" s="1">
        <v>45463</v>
      </c>
      <c r="D272" s="1">
        <v>45504</v>
      </c>
      <c r="E272" s="1">
        <v>45505</v>
      </c>
      <c r="F272" t="s">
        <v>29</v>
      </c>
      <c r="G272" t="s">
        <v>39</v>
      </c>
      <c r="H272" t="s">
        <v>23</v>
      </c>
      <c r="I272">
        <v>41</v>
      </c>
      <c r="J272">
        <v>1</v>
      </c>
      <c r="K272">
        <v>6375</v>
      </c>
      <c r="L272">
        <v>6375</v>
      </c>
      <c r="M272" t="s">
        <v>24</v>
      </c>
      <c r="N272">
        <v>0</v>
      </c>
      <c r="O272" t="s">
        <v>25</v>
      </c>
    </row>
    <row r="273" spans="1:15" x14ac:dyDescent="0.35">
      <c r="A273">
        <v>1272</v>
      </c>
      <c r="B273" t="s">
        <v>335</v>
      </c>
      <c r="C273" s="1">
        <v>45464</v>
      </c>
      <c r="D273" s="1">
        <v>45469</v>
      </c>
      <c r="E273" s="1">
        <v>45474</v>
      </c>
      <c r="F273" t="s">
        <v>38</v>
      </c>
      <c r="G273" t="s">
        <v>22</v>
      </c>
      <c r="H273" t="s">
        <v>30</v>
      </c>
      <c r="I273">
        <v>5</v>
      </c>
      <c r="J273">
        <v>5</v>
      </c>
      <c r="K273">
        <v>5433</v>
      </c>
      <c r="L273">
        <v>27165</v>
      </c>
      <c r="M273" t="s">
        <v>24</v>
      </c>
      <c r="N273">
        <v>0</v>
      </c>
      <c r="O273" t="s">
        <v>31</v>
      </c>
    </row>
    <row r="274" spans="1:15" x14ac:dyDescent="0.35">
      <c r="A274">
        <v>1273</v>
      </c>
      <c r="B274" t="s">
        <v>336</v>
      </c>
      <c r="C274" s="1">
        <v>45653</v>
      </c>
      <c r="D274" s="1">
        <v>45666</v>
      </c>
      <c r="E274" s="1">
        <v>45667</v>
      </c>
      <c r="F274" t="s">
        <v>29</v>
      </c>
      <c r="G274" t="s">
        <v>22</v>
      </c>
      <c r="H274" t="s">
        <v>23</v>
      </c>
      <c r="I274">
        <v>13</v>
      </c>
      <c r="J274">
        <v>1</v>
      </c>
      <c r="K274">
        <v>3048</v>
      </c>
      <c r="L274">
        <v>3048</v>
      </c>
      <c r="M274" t="s">
        <v>24</v>
      </c>
      <c r="N274">
        <v>0</v>
      </c>
      <c r="O274" t="s">
        <v>31</v>
      </c>
    </row>
    <row r="275" spans="1:15" x14ac:dyDescent="0.35">
      <c r="A275">
        <v>1274</v>
      </c>
      <c r="B275" t="s">
        <v>337</v>
      </c>
      <c r="C275" s="1">
        <v>45338</v>
      </c>
      <c r="D275" s="1">
        <v>45361</v>
      </c>
      <c r="E275" s="1">
        <v>45363</v>
      </c>
      <c r="F275" t="s">
        <v>35</v>
      </c>
      <c r="G275" t="s">
        <v>39</v>
      </c>
      <c r="H275" t="s">
        <v>30</v>
      </c>
      <c r="I275">
        <v>23</v>
      </c>
      <c r="J275">
        <v>2</v>
      </c>
      <c r="K275">
        <v>7961</v>
      </c>
      <c r="L275">
        <v>15922</v>
      </c>
      <c r="M275" t="s">
        <v>24</v>
      </c>
      <c r="N275">
        <v>0</v>
      </c>
      <c r="O275" t="s">
        <v>31</v>
      </c>
    </row>
    <row r="276" spans="1:15" x14ac:dyDescent="0.35">
      <c r="A276">
        <v>1275</v>
      </c>
      <c r="B276" t="s">
        <v>247</v>
      </c>
      <c r="C276" s="1">
        <v>45432</v>
      </c>
      <c r="D276" s="1">
        <v>45490</v>
      </c>
      <c r="E276" s="1">
        <v>45495</v>
      </c>
      <c r="F276" t="s">
        <v>60</v>
      </c>
      <c r="G276" t="s">
        <v>22</v>
      </c>
      <c r="H276" t="s">
        <v>46</v>
      </c>
      <c r="I276">
        <v>58</v>
      </c>
      <c r="J276">
        <v>5</v>
      </c>
      <c r="K276">
        <v>3338</v>
      </c>
      <c r="L276">
        <v>16690</v>
      </c>
      <c r="M276" t="s">
        <v>24</v>
      </c>
      <c r="N276">
        <v>1</v>
      </c>
      <c r="O276" t="s">
        <v>31</v>
      </c>
    </row>
    <row r="277" spans="1:15" x14ac:dyDescent="0.35">
      <c r="A277">
        <v>1276</v>
      </c>
      <c r="B277" t="s">
        <v>338</v>
      </c>
      <c r="C277" s="1">
        <v>45409</v>
      </c>
      <c r="D277" s="1">
        <v>45459</v>
      </c>
      <c r="E277" s="1">
        <v>45464</v>
      </c>
      <c r="F277" t="s">
        <v>60</v>
      </c>
      <c r="G277" t="s">
        <v>39</v>
      </c>
      <c r="H277" t="s">
        <v>23</v>
      </c>
      <c r="I277">
        <v>50</v>
      </c>
      <c r="J277">
        <v>5</v>
      </c>
      <c r="K277">
        <v>8026</v>
      </c>
      <c r="L277">
        <v>40130</v>
      </c>
      <c r="M277" t="s">
        <v>51</v>
      </c>
      <c r="N277">
        <v>1</v>
      </c>
      <c r="O277" t="s">
        <v>31</v>
      </c>
    </row>
    <row r="278" spans="1:15" x14ac:dyDescent="0.35">
      <c r="A278">
        <v>1277</v>
      </c>
      <c r="B278" t="s">
        <v>339</v>
      </c>
      <c r="C278" s="1">
        <v>45568</v>
      </c>
      <c r="D278" s="1">
        <v>45598</v>
      </c>
      <c r="E278" s="1">
        <v>45599</v>
      </c>
      <c r="F278" t="s">
        <v>21</v>
      </c>
      <c r="G278" t="s">
        <v>39</v>
      </c>
      <c r="H278" t="s">
        <v>23</v>
      </c>
      <c r="I278">
        <v>30</v>
      </c>
      <c r="J278">
        <v>1</v>
      </c>
      <c r="K278">
        <v>8044</v>
      </c>
      <c r="L278">
        <v>8044</v>
      </c>
      <c r="M278" t="s">
        <v>24</v>
      </c>
      <c r="N278">
        <v>0</v>
      </c>
      <c r="O278" t="s">
        <v>25</v>
      </c>
    </row>
    <row r="279" spans="1:15" x14ac:dyDescent="0.35">
      <c r="A279">
        <v>1278</v>
      </c>
      <c r="B279" t="s">
        <v>278</v>
      </c>
      <c r="C279" s="1">
        <v>45505</v>
      </c>
      <c r="D279" s="1">
        <v>45542</v>
      </c>
      <c r="E279" s="1">
        <v>45546</v>
      </c>
      <c r="F279" t="s">
        <v>35</v>
      </c>
      <c r="G279" t="s">
        <v>22</v>
      </c>
      <c r="H279" t="s">
        <v>46</v>
      </c>
      <c r="I279">
        <v>37</v>
      </c>
      <c r="J279">
        <v>4</v>
      </c>
      <c r="K279">
        <v>6315</v>
      </c>
      <c r="L279">
        <v>25260</v>
      </c>
      <c r="M279" t="s">
        <v>24</v>
      </c>
      <c r="N279">
        <v>1</v>
      </c>
      <c r="O279" t="s">
        <v>31</v>
      </c>
    </row>
    <row r="280" spans="1:15" x14ac:dyDescent="0.35">
      <c r="A280">
        <v>1279</v>
      </c>
      <c r="B280" t="s">
        <v>340</v>
      </c>
      <c r="C280" s="1">
        <v>45511</v>
      </c>
      <c r="D280" s="1">
        <v>45536</v>
      </c>
      <c r="E280" s="1">
        <v>45538</v>
      </c>
      <c r="F280" t="s">
        <v>29</v>
      </c>
      <c r="G280" t="s">
        <v>22</v>
      </c>
      <c r="H280" t="s">
        <v>30</v>
      </c>
      <c r="I280">
        <v>25</v>
      </c>
      <c r="J280">
        <v>2</v>
      </c>
      <c r="K280">
        <v>3347</v>
      </c>
      <c r="L280">
        <v>6694</v>
      </c>
      <c r="M280" t="s">
        <v>51</v>
      </c>
      <c r="N280">
        <v>1</v>
      </c>
      <c r="O280" t="s">
        <v>25</v>
      </c>
    </row>
    <row r="281" spans="1:15" x14ac:dyDescent="0.35">
      <c r="A281">
        <v>1280</v>
      </c>
      <c r="B281" t="s">
        <v>164</v>
      </c>
      <c r="C281" s="1">
        <v>45317</v>
      </c>
      <c r="D281" s="1">
        <v>45365</v>
      </c>
      <c r="E281" s="1">
        <v>45368</v>
      </c>
      <c r="F281" t="s">
        <v>29</v>
      </c>
      <c r="G281" t="s">
        <v>39</v>
      </c>
      <c r="H281" t="s">
        <v>23</v>
      </c>
      <c r="I281">
        <v>48</v>
      </c>
      <c r="J281">
        <v>3</v>
      </c>
      <c r="K281">
        <v>7209</v>
      </c>
      <c r="L281">
        <v>21627</v>
      </c>
      <c r="M281" t="s">
        <v>24</v>
      </c>
      <c r="N281">
        <v>0</v>
      </c>
      <c r="O281" t="s">
        <v>25</v>
      </c>
    </row>
    <row r="282" spans="1:15" x14ac:dyDescent="0.35">
      <c r="A282">
        <v>1281</v>
      </c>
      <c r="B282" t="s">
        <v>341</v>
      </c>
      <c r="C282" s="1">
        <v>45300</v>
      </c>
      <c r="D282" s="1">
        <v>45327</v>
      </c>
      <c r="E282" s="1">
        <v>45330</v>
      </c>
      <c r="F282" t="s">
        <v>21</v>
      </c>
      <c r="G282" t="s">
        <v>22</v>
      </c>
      <c r="H282" t="s">
        <v>46</v>
      </c>
      <c r="I282">
        <v>27</v>
      </c>
      <c r="J282">
        <v>3</v>
      </c>
      <c r="K282">
        <v>7007</v>
      </c>
      <c r="L282">
        <v>21021</v>
      </c>
      <c r="M282" t="s">
        <v>51</v>
      </c>
      <c r="N282">
        <v>0</v>
      </c>
      <c r="O282" t="s">
        <v>31</v>
      </c>
    </row>
    <row r="283" spans="1:15" x14ac:dyDescent="0.35">
      <c r="A283">
        <v>1282</v>
      </c>
      <c r="B283" t="s">
        <v>114</v>
      </c>
      <c r="C283" s="1">
        <v>45562</v>
      </c>
      <c r="D283" s="1">
        <v>45613</v>
      </c>
      <c r="E283" s="1">
        <v>45614</v>
      </c>
      <c r="F283" t="s">
        <v>21</v>
      </c>
      <c r="G283" t="s">
        <v>39</v>
      </c>
      <c r="H283" t="s">
        <v>23</v>
      </c>
      <c r="I283">
        <v>51</v>
      </c>
      <c r="J283">
        <v>1</v>
      </c>
      <c r="K283">
        <v>7273</v>
      </c>
      <c r="L283">
        <v>7273</v>
      </c>
      <c r="M283" t="s">
        <v>24</v>
      </c>
      <c r="N283">
        <v>1</v>
      </c>
      <c r="O283" t="s">
        <v>25</v>
      </c>
    </row>
    <row r="284" spans="1:15" x14ac:dyDescent="0.35">
      <c r="A284">
        <v>1283</v>
      </c>
      <c r="B284" t="s">
        <v>342</v>
      </c>
      <c r="C284" s="1">
        <v>45301</v>
      </c>
      <c r="D284" s="1">
        <v>45315</v>
      </c>
      <c r="E284" s="1">
        <v>45317</v>
      </c>
      <c r="F284" t="s">
        <v>29</v>
      </c>
      <c r="G284" t="s">
        <v>39</v>
      </c>
      <c r="H284" t="s">
        <v>30</v>
      </c>
      <c r="I284">
        <v>14</v>
      </c>
      <c r="J284">
        <v>2</v>
      </c>
      <c r="K284">
        <v>6754</v>
      </c>
      <c r="L284">
        <v>13508</v>
      </c>
      <c r="M284" t="s">
        <v>51</v>
      </c>
      <c r="N284">
        <v>0</v>
      </c>
      <c r="O284" t="s">
        <v>31</v>
      </c>
    </row>
    <row r="285" spans="1:15" x14ac:dyDescent="0.35">
      <c r="A285">
        <v>1284</v>
      </c>
      <c r="B285" t="s">
        <v>343</v>
      </c>
      <c r="C285" s="1">
        <v>45412</v>
      </c>
      <c r="D285" s="1">
        <v>45469</v>
      </c>
      <c r="E285" s="1">
        <v>45471</v>
      </c>
      <c r="F285" t="s">
        <v>29</v>
      </c>
      <c r="G285" t="s">
        <v>22</v>
      </c>
      <c r="H285" t="s">
        <v>30</v>
      </c>
      <c r="I285">
        <v>57</v>
      </c>
      <c r="J285">
        <v>2</v>
      </c>
      <c r="K285">
        <v>8657</v>
      </c>
      <c r="L285">
        <v>17314</v>
      </c>
      <c r="M285" t="s">
        <v>24</v>
      </c>
      <c r="N285">
        <v>0</v>
      </c>
      <c r="O285" t="s">
        <v>25</v>
      </c>
    </row>
    <row r="286" spans="1:15" x14ac:dyDescent="0.35">
      <c r="A286">
        <v>1285</v>
      </c>
      <c r="B286" t="s">
        <v>344</v>
      </c>
      <c r="C286" s="1">
        <v>45416</v>
      </c>
      <c r="D286" s="1">
        <v>45464</v>
      </c>
      <c r="E286" s="1">
        <v>45465</v>
      </c>
      <c r="F286" t="s">
        <v>35</v>
      </c>
      <c r="G286" t="s">
        <v>39</v>
      </c>
      <c r="H286" t="s">
        <v>30</v>
      </c>
      <c r="I286">
        <v>48</v>
      </c>
      <c r="J286">
        <v>1</v>
      </c>
      <c r="K286">
        <v>6968</v>
      </c>
      <c r="L286">
        <v>6968</v>
      </c>
      <c r="M286" t="s">
        <v>24</v>
      </c>
      <c r="N286">
        <v>1</v>
      </c>
      <c r="O286" t="s">
        <v>25</v>
      </c>
    </row>
    <row r="287" spans="1:15" x14ac:dyDescent="0.35">
      <c r="A287">
        <v>1286</v>
      </c>
      <c r="B287" t="s">
        <v>345</v>
      </c>
      <c r="C287" s="1">
        <v>45461</v>
      </c>
      <c r="D287" s="1">
        <v>45520</v>
      </c>
      <c r="E287" s="1">
        <v>45522</v>
      </c>
      <c r="F287" t="s">
        <v>21</v>
      </c>
      <c r="G287" t="s">
        <v>22</v>
      </c>
      <c r="H287" t="s">
        <v>30</v>
      </c>
      <c r="I287">
        <v>59</v>
      </c>
      <c r="J287">
        <v>2</v>
      </c>
      <c r="K287">
        <v>4772</v>
      </c>
      <c r="L287">
        <v>9544</v>
      </c>
      <c r="M287" t="s">
        <v>24</v>
      </c>
      <c r="N287">
        <v>1</v>
      </c>
      <c r="O287" t="s">
        <v>31</v>
      </c>
    </row>
    <row r="288" spans="1:15" x14ac:dyDescent="0.35">
      <c r="A288">
        <v>1287</v>
      </c>
      <c r="B288" t="s">
        <v>265</v>
      </c>
      <c r="C288" s="1">
        <v>45363</v>
      </c>
      <c r="D288" s="1">
        <v>45410</v>
      </c>
      <c r="E288" s="1">
        <v>45414</v>
      </c>
      <c r="F288" t="s">
        <v>35</v>
      </c>
      <c r="G288" t="s">
        <v>39</v>
      </c>
      <c r="H288" t="s">
        <v>46</v>
      </c>
      <c r="I288">
        <v>47</v>
      </c>
      <c r="J288">
        <v>4</v>
      </c>
      <c r="K288">
        <v>7692</v>
      </c>
      <c r="L288">
        <v>30768</v>
      </c>
      <c r="M288" t="s">
        <v>24</v>
      </c>
      <c r="N288">
        <v>1</v>
      </c>
      <c r="O288" t="s">
        <v>31</v>
      </c>
    </row>
    <row r="289" spans="1:15" x14ac:dyDescent="0.35">
      <c r="A289">
        <v>1288</v>
      </c>
      <c r="B289" t="s">
        <v>346</v>
      </c>
      <c r="C289" s="1">
        <v>45443</v>
      </c>
      <c r="D289" s="1">
        <v>45497</v>
      </c>
      <c r="E289" s="1">
        <v>45498</v>
      </c>
      <c r="F289" t="s">
        <v>29</v>
      </c>
      <c r="G289" t="s">
        <v>22</v>
      </c>
      <c r="H289" t="s">
        <v>23</v>
      </c>
      <c r="I289">
        <v>54</v>
      </c>
      <c r="J289">
        <v>1</v>
      </c>
      <c r="K289">
        <v>5820</v>
      </c>
      <c r="L289">
        <v>5820</v>
      </c>
      <c r="M289" t="s">
        <v>24</v>
      </c>
      <c r="N289">
        <v>1</v>
      </c>
      <c r="O289" t="s">
        <v>31</v>
      </c>
    </row>
    <row r="290" spans="1:15" x14ac:dyDescent="0.35">
      <c r="A290">
        <v>1289</v>
      </c>
      <c r="B290" t="s">
        <v>347</v>
      </c>
      <c r="C290" s="1">
        <v>45499</v>
      </c>
      <c r="D290" s="1">
        <v>45535</v>
      </c>
      <c r="E290" s="1">
        <v>45539</v>
      </c>
      <c r="F290" t="s">
        <v>38</v>
      </c>
      <c r="G290" t="s">
        <v>22</v>
      </c>
      <c r="H290" t="s">
        <v>46</v>
      </c>
      <c r="I290">
        <v>36</v>
      </c>
      <c r="J290">
        <v>4</v>
      </c>
      <c r="K290">
        <v>5058</v>
      </c>
      <c r="L290">
        <v>20232</v>
      </c>
      <c r="M290" t="s">
        <v>51</v>
      </c>
      <c r="N290">
        <v>1</v>
      </c>
      <c r="O290" t="s">
        <v>31</v>
      </c>
    </row>
    <row r="291" spans="1:15" x14ac:dyDescent="0.35">
      <c r="A291">
        <v>1290</v>
      </c>
      <c r="B291" t="s">
        <v>348</v>
      </c>
      <c r="C291" s="1">
        <v>45340</v>
      </c>
      <c r="D291" s="1">
        <v>45379</v>
      </c>
      <c r="E291" s="1">
        <v>45381</v>
      </c>
      <c r="F291" t="s">
        <v>38</v>
      </c>
      <c r="G291" t="s">
        <v>39</v>
      </c>
      <c r="H291" t="s">
        <v>30</v>
      </c>
      <c r="I291">
        <v>39</v>
      </c>
      <c r="J291">
        <v>2</v>
      </c>
      <c r="K291">
        <v>7198</v>
      </c>
      <c r="L291">
        <v>14396</v>
      </c>
      <c r="M291" t="s">
        <v>51</v>
      </c>
      <c r="N291">
        <v>1</v>
      </c>
      <c r="O291" t="s">
        <v>25</v>
      </c>
    </row>
    <row r="292" spans="1:15" x14ac:dyDescent="0.35">
      <c r="A292">
        <v>1291</v>
      </c>
      <c r="B292" t="s">
        <v>349</v>
      </c>
      <c r="C292" s="1">
        <v>45445</v>
      </c>
      <c r="D292" s="1">
        <v>45461</v>
      </c>
      <c r="E292" s="1">
        <v>45462</v>
      </c>
      <c r="F292" t="s">
        <v>29</v>
      </c>
      <c r="G292" t="s">
        <v>22</v>
      </c>
      <c r="H292" t="s">
        <v>30</v>
      </c>
      <c r="I292">
        <v>16</v>
      </c>
      <c r="J292">
        <v>1</v>
      </c>
      <c r="K292">
        <v>6811</v>
      </c>
      <c r="L292">
        <v>6811</v>
      </c>
      <c r="M292" t="s">
        <v>24</v>
      </c>
      <c r="N292">
        <v>1</v>
      </c>
      <c r="O292" t="s">
        <v>31</v>
      </c>
    </row>
    <row r="293" spans="1:15" x14ac:dyDescent="0.35">
      <c r="A293">
        <v>1292</v>
      </c>
      <c r="B293" t="s">
        <v>335</v>
      </c>
      <c r="C293" s="1">
        <v>45638</v>
      </c>
      <c r="D293" s="1">
        <v>45694</v>
      </c>
      <c r="E293" s="1">
        <v>45696</v>
      </c>
      <c r="F293" t="s">
        <v>21</v>
      </c>
      <c r="G293" t="s">
        <v>22</v>
      </c>
      <c r="H293" t="s">
        <v>30</v>
      </c>
      <c r="I293">
        <v>56</v>
      </c>
      <c r="J293">
        <v>2</v>
      </c>
      <c r="K293">
        <v>4496</v>
      </c>
      <c r="L293">
        <v>8992</v>
      </c>
      <c r="M293" t="s">
        <v>51</v>
      </c>
      <c r="N293">
        <v>1</v>
      </c>
      <c r="O293" t="s">
        <v>25</v>
      </c>
    </row>
    <row r="294" spans="1:15" x14ac:dyDescent="0.35">
      <c r="A294">
        <v>1293</v>
      </c>
      <c r="B294" t="s">
        <v>350</v>
      </c>
      <c r="C294" s="1">
        <v>45584</v>
      </c>
      <c r="D294" s="1">
        <v>45606</v>
      </c>
      <c r="E294" s="1">
        <v>45607</v>
      </c>
      <c r="F294" t="s">
        <v>38</v>
      </c>
      <c r="G294" t="s">
        <v>39</v>
      </c>
      <c r="H294" t="s">
        <v>30</v>
      </c>
      <c r="I294">
        <v>22</v>
      </c>
      <c r="J294">
        <v>1</v>
      </c>
      <c r="K294">
        <v>6173</v>
      </c>
      <c r="L294">
        <v>6173</v>
      </c>
      <c r="M294" t="s">
        <v>24</v>
      </c>
      <c r="N294">
        <v>0</v>
      </c>
      <c r="O294" t="s">
        <v>25</v>
      </c>
    </row>
    <row r="295" spans="1:15" x14ac:dyDescent="0.35">
      <c r="A295">
        <v>1294</v>
      </c>
      <c r="B295" t="s">
        <v>351</v>
      </c>
      <c r="C295" s="1">
        <v>45359</v>
      </c>
      <c r="D295" s="1">
        <v>45380</v>
      </c>
      <c r="E295" s="1">
        <v>45382</v>
      </c>
      <c r="F295" t="s">
        <v>21</v>
      </c>
      <c r="G295" t="s">
        <v>22</v>
      </c>
      <c r="H295" t="s">
        <v>23</v>
      </c>
      <c r="I295">
        <v>21</v>
      </c>
      <c r="J295">
        <v>2</v>
      </c>
      <c r="K295">
        <v>4064</v>
      </c>
      <c r="L295">
        <v>8128</v>
      </c>
      <c r="M295" t="s">
        <v>24</v>
      </c>
      <c r="N295">
        <v>1</v>
      </c>
      <c r="O295" t="s">
        <v>25</v>
      </c>
    </row>
    <row r="296" spans="1:15" x14ac:dyDescent="0.35">
      <c r="A296">
        <v>1295</v>
      </c>
      <c r="B296" t="s">
        <v>352</v>
      </c>
      <c r="C296" s="1">
        <v>45341</v>
      </c>
      <c r="D296" s="1">
        <v>45395</v>
      </c>
      <c r="E296" s="1">
        <v>45399</v>
      </c>
      <c r="F296" t="s">
        <v>38</v>
      </c>
      <c r="G296" t="s">
        <v>39</v>
      </c>
      <c r="H296" t="s">
        <v>30</v>
      </c>
      <c r="I296">
        <v>54</v>
      </c>
      <c r="J296">
        <v>4</v>
      </c>
      <c r="K296">
        <v>6518</v>
      </c>
      <c r="L296">
        <v>26072</v>
      </c>
      <c r="M296" t="s">
        <v>24</v>
      </c>
      <c r="N296">
        <v>1</v>
      </c>
      <c r="O296" t="s">
        <v>25</v>
      </c>
    </row>
    <row r="297" spans="1:15" x14ac:dyDescent="0.35">
      <c r="A297">
        <v>1296</v>
      </c>
      <c r="B297" t="s">
        <v>258</v>
      </c>
      <c r="C297" s="1">
        <v>45443</v>
      </c>
      <c r="D297" s="1">
        <v>45464</v>
      </c>
      <c r="E297" s="1">
        <v>45468</v>
      </c>
      <c r="F297" t="s">
        <v>21</v>
      </c>
      <c r="G297" t="s">
        <v>22</v>
      </c>
      <c r="H297" t="s">
        <v>23</v>
      </c>
      <c r="I297">
        <v>21</v>
      </c>
      <c r="J297">
        <v>4</v>
      </c>
      <c r="K297">
        <v>4340</v>
      </c>
      <c r="L297">
        <v>17360</v>
      </c>
      <c r="M297" t="s">
        <v>51</v>
      </c>
      <c r="N297">
        <v>0</v>
      </c>
      <c r="O297" t="s">
        <v>25</v>
      </c>
    </row>
    <row r="298" spans="1:15" x14ac:dyDescent="0.35">
      <c r="A298">
        <v>1297</v>
      </c>
      <c r="B298" t="s">
        <v>215</v>
      </c>
      <c r="C298" s="1">
        <v>45310</v>
      </c>
      <c r="D298" s="1">
        <v>45318</v>
      </c>
      <c r="E298" s="1">
        <v>45320</v>
      </c>
      <c r="F298" t="s">
        <v>38</v>
      </c>
      <c r="G298" t="s">
        <v>39</v>
      </c>
      <c r="H298" t="s">
        <v>30</v>
      </c>
      <c r="I298">
        <v>8</v>
      </c>
      <c r="J298">
        <v>2</v>
      </c>
      <c r="K298">
        <v>8558</v>
      </c>
      <c r="L298">
        <v>17116</v>
      </c>
      <c r="M298" t="s">
        <v>24</v>
      </c>
      <c r="N298">
        <v>1</v>
      </c>
      <c r="O298" t="s">
        <v>25</v>
      </c>
    </row>
    <row r="299" spans="1:15" x14ac:dyDescent="0.35">
      <c r="A299">
        <v>1298</v>
      </c>
      <c r="B299" t="s">
        <v>353</v>
      </c>
      <c r="C299" s="1">
        <v>45391</v>
      </c>
      <c r="D299" s="1">
        <v>45440</v>
      </c>
      <c r="E299" s="1">
        <v>45441</v>
      </c>
      <c r="F299" t="s">
        <v>21</v>
      </c>
      <c r="G299" t="s">
        <v>39</v>
      </c>
      <c r="H299" t="s">
        <v>23</v>
      </c>
      <c r="I299">
        <v>49</v>
      </c>
      <c r="J299">
        <v>1</v>
      </c>
      <c r="K299">
        <v>5791</v>
      </c>
      <c r="L299">
        <v>5791</v>
      </c>
      <c r="M299" t="s">
        <v>51</v>
      </c>
      <c r="N299">
        <v>0</v>
      </c>
      <c r="O299" t="s">
        <v>31</v>
      </c>
    </row>
    <row r="300" spans="1:15" x14ac:dyDescent="0.35">
      <c r="A300">
        <v>1299</v>
      </c>
      <c r="B300" t="s">
        <v>354</v>
      </c>
      <c r="C300" s="1">
        <v>45351</v>
      </c>
      <c r="D300" s="1">
        <v>45367</v>
      </c>
      <c r="E300" s="1">
        <v>45370</v>
      </c>
      <c r="F300" t="s">
        <v>35</v>
      </c>
      <c r="G300" t="s">
        <v>39</v>
      </c>
      <c r="H300" t="s">
        <v>23</v>
      </c>
      <c r="I300">
        <v>16</v>
      </c>
      <c r="J300">
        <v>3</v>
      </c>
      <c r="K300">
        <v>5387</v>
      </c>
      <c r="L300">
        <v>16161</v>
      </c>
      <c r="M300" t="s">
        <v>24</v>
      </c>
      <c r="N300">
        <v>0</v>
      </c>
      <c r="O300" t="s">
        <v>25</v>
      </c>
    </row>
    <row r="301" spans="1:15" x14ac:dyDescent="0.35">
      <c r="A301">
        <v>1300</v>
      </c>
      <c r="B301" t="s">
        <v>355</v>
      </c>
      <c r="C301" s="1">
        <v>45458</v>
      </c>
      <c r="D301" s="1">
        <v>45517</v>
      </c>
      <c r="E301" s="1">
        <v>45521</v>
      </c>
      <c r="F301" t="s">
        <v>21</v>
      </c>
      <c r="G301" t="s">
        <v>39</v>
      </c>
      <c r="H301" t="s">
        <v>30</v>
      </c>
      <c r="I301">
        <v>59</v>
      </c>
      <c r="J301">
        <v>4</v>
      </c>
      <c r="K301">
        <v>3226</v>
      </c>
      <c r="L301">
        <v>12904</v>
      </c>
      <c r="M301" t="s">
        <v>24</v>
      </c>
      <c r="N301">
        <v>1</v>
      </c>
      <c r="O301" t="s">
        <v>25</v>
      </c>
    </row>
    <row r="302" spans="1:15" x14ac:dyDescent="0.35">
      <c r="A302">
        <v>1301</v>
      </c>
      <c r="B302" t="s">
        <v>172</v>
      </c>
      <c r="C302" s="1">
        <v>45493</v>
      </c>
      <c r="D302" s="1">
        <v>45548</v>
      </c>
      <c r="E302" s="1">
        <v>45552</v>
      </c>
      <c r="F302" t="s">
        <v>35</v>
      </c>
      <c r="G302" t="s">
        <v>22</v>
      </c>
      <c r="H302" t="s">
        <v>46</v>
      </c>
      <c r="I302">
        <v>55</v>
      </c>
      <c r="J302">
        <v>4</v>
      </c>
      <c r="K302">
        <v>3744</v>
      </c>
      <c r="L302">
        <v>14976</v>
      </c>
      <c r="M302" t="s">
        <v>51</v>
      </c>
      <c r="N302">
        <v>1</v>
      </c>
      <c r="O302" t="s">
        <v>25</v>
      </c>
    </row>
    <row r="303" spans="1:15" x14ac:dyDescent="0.35">
      <c r="A303">
        <v>1302</v>
      </c>
      <c r="B303" t="s">
        <v>356</v>
      </c>
      <c r="C303" s="1">
        <v>45636</v>
      </c>
      <c r="D303" s="1">
        <v>45667</v>
      </c>
      <c r="E303" s="1">
        <v>45670</v>
      </c>
      <c r="F303" t="s">
        <v>35</v>
      </c>
      <c r="G303" t="s">
        <v>39</v>
      </c>
      <c r="H303" t="s">
        <v>46</v>
      </c>
      <c r="I303">
        <v>31</v>
      </c>
      <c r="J303">
        <v>3</v>
      </c>
      <c r="K303">
        <v>5960</v>
      </c>
      <c r="L303">
        <v>17880</v>
      </c>
      <c r="M303" t="s">
        <v>24</v>
      </c>
      <c r="N303">
        <v>1</v>
      </c>
      <c r="O303" t="s">
        <v>31</v>
      </c>
    </row>
    <row r="304" spans="1:15" x14ac:dyDescent="0.35">
      <c r="A304">
        <v>1303</v>
      </c>
      <c r="B304" t="s">
        <v>357</v>
      </c>
      <c r="C304" s="1">
        <v>45437</v>
      </c>
      <c r="D304" s="1">
        <v>45479</v>
      </c>
      <c r="E304" s="1">
        <v>45481</v>
      </c>
      <c r="F304" t="s">
        <v>29</v>
      </c>
      <c r="G304" t="s">
        <v>22</v>
      </c>
      <c r="H304" t="s">
        <v>46</v>
      </c>
      <c r="I304">
        <v>42</v>
      </c>
      <c r="J304">
        <v>2</v>
      </c>
      <c r="K304">
        <v>6218</v>
      </c>
      <c r="L304">
        <v>12436</v>
      </c>
      <c r="M304" t="s">
        <v>51</v>
      </c>
      <c r="N304">
        <v>0</v>
      </c>
      <c r="O304" t="s">
        <v>31</v>
      </c>
    </row>
    <row r="305" spans="1:15" x14ac:dyDescent="0.35">
      <c r="A305">
        <v>1304</v>
      </c>
      <c r="B305" t="s">
        <v>358</v>
      </c>
      <c r="C305" s="1">
        <v>45455</v>
      </c>
      <c r="D305" s="1">
        <v>45465</v>
      </c>
      <c r="E305" s="1">
        <v>45466</v>
      </c>
      <c r="F305" t="s">
        <v>35</v>
      </c>
      <c r="G305" t="s">
        <v>39</v>
      </c>
      <c r="H305" t="s">
        <v>46</v>
      </c>
      <c r="I305">
        <v>10</v>
      </c>
      <c r="J305">
        <v>1</v>
      </c>
      <c r="K305">
        <v>3565</v>
      </c>
      <c r="L305">
        <v>3565</v>
      </c>
      <c r="M305" t="s">
        <v>24</v>
      </c>
      <c r="N305">
        <v>1</v>
      </c>
      <c r="O305" t="s">
        <v>25</v>
      </c>
    </row>
    <row r="306" spans="1:15" x14ac:dyDescent="0.35">
      <c r="A306">
        <v>1305</v>
      </c>
      <c r="B306" t="s">
        <v>359</v>
      </c>
      <c r="C306" s="1">
        <v>45533</v>
      </c>
      <c r="D306" s="1">
        <v>45565</v>
      </c>
      <c r="E306" s="1">
        <v>45567</v>
      </c>
      <c r="F306" t="s">
        <v>60</v>
      </c>
      <c r="G306" t="s">
        <v>22</v>
      </c>
      <c r="H306" t="s">
        <v>46</v>
      </c>
      <c r="I306">
        <v>32</v>
      </c>
      <c r="J306">
        <v>2</v>
      </c>
      <c r="K306">
        <v>7271</v>
      </c>
      <c r="L306">
        <v>14542</v>
      </c>
      <c r="M306" t="s">
        <v>24</v>
      </c>
      <c r="N306">
        <v>0</v>
      </c>
      <c r="O306" t="s">
        <v>31</v>
      </c>
    </row>
    <row r="307" spans="1:15" x14ac:dyDescent="0.35">
      <c r="A307">
        <v>1306</v>
      </c>
      <c r="B307" t="s">
        <v>360</v>
      </c>
      <c r="C307" s="1">
        <v>45360</v>
      </c>
      <c r="D307" s="1">
        <v>45419</v>
      </c>
      <c r="E307" s="1">
        <v>45424</v>
      </c>
      <c r="F307" t="s">
        <v>35</v>
      </c>
      <c r="G307" t="s">
        <v>39</v>
      </c>
      <c r="H307" t="s">
        <v>30</v>
      </c>
      <c r="I307">
        <v>59</v>
      </c>
      <c r="J307">
        <v>5</v>
      </c>
      <c r="K307">
        <v>2782</v>
      </c>
      <c r="L307">
        <v>13910</v>
      </c>
      <c r="M307" t="s">
        <v>24</v>
      </c>
      <c r="N307">
        <v>1</v>
      </c>
      <c r="O307" t="s">
        <v>25</v>
      </c>
    </row>
    <row r="308" spans="1:15" x14ac:dyDescent="0.35">
      <c r="A308">
        <v>1307</v>
      </c>
      <c r="B308" t="s">
        <v>224</v>
      </c>
      <c r="C308" s="1">
        <v>45466</v>
      </c>
      <c r="D308" s="1">
        <v>45500</v>
      </c>
      <c r="E308" s="1">
        <v>45504</v>
      </c>
      <c r="F308" t="s">
        <v>21</v>
      </c>
      <c r="G308" t="s">
        <v>22</v>
      </c>
      <c r="H308" t="s">
        <v>30</v>
      </c>
      <c r="I308">
        <v>34</v>
      </c>
      <c r="J308">
        <v>4</v>
      </c>
      <c r="K308">
        <v>3581</v>
      </c>
      <c r="L308">
        <v>14324</v>
      </c>
      <c r="M308" t="s">
        <v>51</v>
      </c>
      <c r="N308">
        <v>0</v>
      </c>
      <c r="O308" t="s">
        <v>31</v>
      </c>
    </row>
    <row r="309" spans="1:15" x14ac:dyDescent="0.35">
      <c r="A309">
        <v>1308</v>
      </c>
      <c r="B309" t="s">
        <v>361</v>
      </c>
      <c r="C309" s="1">
        <v>45340</v>
      </c>
      <c r="D309" s="1">
        <v>45349</v>
      </c>
      <c r="E309" s="1">
        <v>45354</v>
      </c>
      <c r="F309" t="s">
        <v>35</v>
      </c>
      <c r="G309" t="s">
        <v>22</v>
      </c>
      <c r="H309" t="s">
        <v>30</v>
      </c>
      <c r="I309">
        <v>9</v>
      </c>
      <c r="J309">
        <v>5</v>
      </c>
      <c r="K309">
        <v>6385</v>
      </c>
      <c r="L309">
        <v>31925</v>
      </c>
      <c r="M309" t="s">
        <v>24</v>
      </c>
      <c r="N309">
        <v>1</v>
      </c>
      <c r="O309" t="s">
        <v>25</v>
      </c>
    </row>
    <row r="310" spans="1:15" x14ac:dyDescent="0.35">
      <c r="A310">
        <v>1309</v>
      </c>
      <c r="B310" t="s">
        <v>164</v>
      </c>
      <c r="C310" s="1">
        <v>45399</v>
      </c>
      <c r="D310" s="1">
        <v>45416</v>
      </c>
      <c r="E310" s="1">
        <v>45420</v>
      </c>
      <c r="F310" t="s">
        <v>21</v>
      </c>
      <c r="G310" t="s">
        <v>39</v>
      </c>
      <c r="H310" t="s">
        <v>30</v>
      </c>
      <c r="I310">
        <v>17</v>
      </c>
      <c r="J310">
        <v>4</v>
      </c>
      <c r="K310">
        <v>5381</v>
      </c>
      <c r="L310">
        <v>21524</v>
      </c>
      <c r="M310" t="s">
        <v>51</v>
      </c>
      <c r="N310">
        <v>0</v>
      </c>
      <c r="O310" t="s">
        <v>31</v>
      </c>
    </row>
    <row r="311" spans="1:15" x14ac:dyDescent="0.35">
      <c r="A311">
        <v>1310</v>
      </c>
      <c r="B311" t="s">
        <v>362</v>
      </c>
      <c r="C311" s="1">
        <v>45517</v>
      </c>
      <c r="D311" s="1">
        <v>45528</v>
      </c>
      <c r="E311" s="1">
        <v>45532</v>
      </c>
      <c r="F311" t="s">
        <v>21</v>
      </c>
      <c r="G311" t="s">
        <v>39</v>
      </c>
      <c r="H311" t="s">
        <v>30</v>
      </c>
      <c r="I311">
        <v>11</v>
      </c>
      <c r="J311">
        <v>4</v>
      </c>
      <c r="K311">
        <v>5084</v>
      </c>
      <c r="L311">
        <v>20336</v>
      </c>
      <c r="M311" t="s">
        <v>24</v>
      </c>
      <c r="N311">
        <v>0</v>
      </c>
      <c r="O311" t="s">
        <v>31</v>
      </c>
    </row>
    <row r="312" spans="1:15" x14ac:dyDescent="0.35">
      <c r="A312">
        <v>1311</v>
      </c>
      <c r="B312" t="s">
        <v>363</v>
      </c>
      <c r="C312" s="1">
        <v>45452</v>
      </c>
      <c r="D312" s="1">
        <v>45484</v>
      </c>
      <c r="E312" s="1">
        <v>45489</v>
      </c>
      <c r="F312" t="s">
        <v>60</v>
      </c>
      <c r="G312" t="s">
        <v>39</v>
      </c>
      <c r="H312" t="s">
        <v>30</v>
      </c>
      <c r="I312">
        <v>32</v>
      </c>
      <c r="J312">
        <v>5</v>
      </c>
      <c r="K312">
        <v>8504</v>
      </c>
      <c r="L312">
        <v>42520</v>
      </c>
      <c r="M312" t="s">
        <v>24</v>
      </c>
      <c r="N312">
        <v>1</v>
      </c>
      <c r="O312" t="s">
        <v>31</v>
      </c>
    </row>
    <row r="313" spans="1:15" x14ac:dyDescent="0.35">
      <c r="A313">
        <v>1312</v>
      </c>
      <c r="B313" t="s">
        <v>364</v>
      </c>
      <c r="C313" s="1">
        <v>45410</v>
      </c>
      <c r="D313" s="1">
        <v>45420</v>
      </c>
      <c r="E313" s="1">
        <v>45425</v>
      </c>
      <c r="F313" t="s">
        <v>35</v>
      </c>
      <c r="G313" t="s">
        <v>22</v>
      </c>
      <c r="H313" t="s">
        <v>23</v>
      </c>
      <c r="I313">
        <v>10</v>
      </c>
      <c r="J313">
        <v>5</v>
      </c>
      <c r="K313">
        <v>5470</v>
      </c>
      <c r="L313">
        <v>27350</v>
      </c>
      <c r="M313" t="s">
        <v>51</v>
      </c>
      <c r="N313">
        <v>0</v>
      </c>
      <c r="O313" t="s">
        <v>25</v>
      </c>
    </row>
    <row r="314" spans="1:15" x14ac:dyDescent="0.35">
      <c r="A314">
        <v>1313</v>
      </c>
      <c r="B314" t="s">
        <v>301</v>
      </c>
      <c r="C314" s="1">
        <v>45440</v>
      </c>
      <c r="D314" s="1">
        <v>45462</v>
      </c>
      <c r="E314" s="1">
        <v>45464</v>
      </c>
      <c r="F314" t="s">
        <v>35</v>
      </c>
      <c r="G314" t="s">
        <v>22</v>
      </c>
      <c r="H314" t="s">
        <v>23</v>
      </c>
      <c r="I314">
        <v>22</v>
      </c>
      <c r="J314">
        <v>2</v>
      </c>
      <c r="K314">
        <v>3652</v>
      </c>
      <c r="L314">
        <v>7304</v>
      </c>
      <c r="M314" t="s">
        <v>24</v>
      </c>
      <c r="N314">
        <v>1</v>
      </c>
      <c r="O314" t="s">
        <v>25</v>
      </c>
    </row>
    <row r="315" spans="1:15" x14ac:dyDescent="0.35">
      <c r="A315">
        <v>1314</v>
      </c>
      <c r="B315" t="s">
        <v>365</v>
      </c>
      <c r="C315" s="1">
        <v>45441</v>
      </c>
      <c r="D315" s="1">
        <v>45498</v>
      </c>
      <c r="E315" s="1">
        <v>45503</v>
      </c>
      <c r="F315" t="s">
        <v>38</v>
      </c>
      <c r="G315" t="s">
        <v>22</v>
      </c>
      <c r="H315" t="s">
        <v>30</v>
      </c>
      <c r="I315">
        <v>57</v>
      </c>
      <c r="J315">
        <v>5</v>
      </c>
      <c r="K315">
        <v>5997</v>
      </c>
      <c r="L315">
        <v>29985</v>
      </c>
      <c r="M315" t="s">
        <v>24</v>
      </c>
      <c r="N315">
        <v>0</v>
      </c>
      <c r="O315" t="s">
        <v>25</v>
      </c>
    </row>
    <row r="316" spans="1:15" x14ac:dyDescent="0.35">
      <c r="A316">
        <v>1315</v>
      </c>
      <c r="B316" t="s">
        <v>208</v>
      </c>
      <c r="C316" s="1">
        <v>45584</v>
      </c>
      <c r="D316" s="1">
        <v>45601</v>
      </c>
      <c r="E316" s="1">
        <v>45603</v>
      </c>
      <c r="F316" t="s">
        <v>38</v>
      </c>
      <c r="G316" t="s">
        <v>22</v>
      </c>
      <c r="H316" t="s">
        <v>30</v>
      </c>
      <c r="I316">
        <v>17</v>
      </c>
      <c r="J316">
        <v>2</v>
      </c>
      <c r="K316">
        <v>3447</v>
      </c>
      <c r="L316">
        <v>6894</v>
      </c>
      <c r="M316" t="s">
        <v>51</v>
      </c>
      <c r="N316">
        <v>0</v>
      </c>
      <c r="O316" t="s">
        <v>31</v>
      </c>
    </row>
    <row r="317" spans="1:15" x14ac:dyDescent="0.35">
      <c r="A317">
        <v>1316</v>
      </c>
      <c r="B317" t="s">
        <v>366</v>
      </c>
      <c r="C317" s="1">
        <v>45434</v>
      </c>
      <c r="D317" s="1">
        <v>45438</v>
      </c>
      <c r="E317" s="1">
        <v>45440</v>
      </c>
      <c r="F317" t="s">
        <v>29</v>
      </c>
      <c r="G317" t="s">
        <v>39</v>
      </c>
      <c r="H317" t="s">
        <v>23</v>
      </c>
      <c r="I317">
        <v>4</v>
      </c>
      <c r="J317">
        <v>2</v>
      </c>
      <c r="K317">
        <v>7260</v>
      </c>
      <c r="L317">
        <v>14520</v>
      </c>
      <c r="M317" t="s">
        <v>51</v>
      </c>
      <c r="N317">
        <v>0</v>
      </c>
      <c r="O317" t="s">
        <v>31</v>
      </c>
    </row>
    <row r="318" spans="1:15" x14ac:dyDescent="0.35">
      <c r="A318">
        <v>1317</v>
      </c>
      <c r="B318" t="s">
        <v>84</v>
      </c>
      <c r="C318" s="1">
        <v>45451</v>
      </c>
      <c r="D318" s="1">
        <v>45499</v>
      </c>
      <c r="E318" s="1">
        <v>45501</v>
      </c>
      <c r="F318" t="s">
        <v>21</v>
      </c>
      <c r="G318" t="s">
        <v>39</v>
      </c>
      <c r="H318" t="s">
        <v>23</v>
      </c>
      <c r="I318">
        <v>48</v>
      </c>
      <c r="J318">
        <v>2</v>
      </c>
      <c r="K318">
        <v>4217</v>
      </c>
      <c r="L318">
        <v>8434</v>
      </c>
      <c r="M318" t="s">
        <v>51</v>
      </c>
      <c r="N318">
        <v>0</v>
      </c>
      <c r="O318" t="s">
        <v>25</v>
      </c>
    </row>
    <row r="319" spans="1:15" x14ac:dyDescent="0.35">
      <c r="A319">
        <v>1318</v>
      </c>
      <c r="B319" t="s">
        <v>317</v>
      </c>
      <c r="C319" s="1">
        <v>45302</v>
      </c>
      <c r="D319" s="1">
        <v>45354</v>
      </c>
      <c r="E319" s="1">
        <v>45358</v>
      </c>
      <c r="F319" t="s">
        <v>60</v>
      </c>
      <c r="G319" t="s">
        <v>39</v>
      </c>
      <c r="H319" t="s">
        <v>30</v>
      </c>
      <c r="I319">
        <v>52</v>
      </c>
      <c r="J319">
        <v>4</v>
      </c>
      <c r="K319">
        <v>7744</v>
      </c>
      <c r="L319">
        <v>30976</v>
      </c>
      <c r="M319" t="s">
        <v>24</v>
      </c>
      <c r="N319">
        <v>1</v>
      </c>
      <c r="O319" t="s">
        <v>31</v>
      </c>
    </row>
    <row r="320" spans="1:15" x14ac:dyDescent="0.35">
      <c r="A320">
        <v>1319</v>
      </c>
      <c r="B320" t="s">
        <v>367</v>
      </c>
      <c r="C320" s="1">
        <v>45429</v>
      </c>
      <c r="D320" s="1">
        <v>45476</v>
      </c>
      <c r="E320" s="1">
        <v>45480</v>
      </c>
      <c r="F320" t="s">
        <v>38</v>
      </c>
      <c r="G320" t="s">
        <v>39</v>
      </c>
      <c r="H320" t="s">
        <v>23</v>
      </c>
      <c r="I320">
        <v>47</v>
      </c>
      <c r="J320">
        <v>4</v>
      </c>
      <c r="K320">
        <v>2566</v>
      </c>
      <c r="L320">
        <v>10264</v>
      </c>
      <c r="M320" t="s">
        <v>51</v>
      </c>
      <c r="N320">
        <v>1</v>
      </c>
      <c r="O320" t="s">
        <v>25</v>
      </c>
    </row>
    <row r="321" spans="1:15" x14ac:dyDescent="0.35">
      <c r="A321">
        <v>1320</v>
      </c>
      <c r="B321" t="s">
        <v>368</v>
      </c>
      <c r="C321" s="1">
        <v>45369</v>
      </c>
      <c r="D321" s="1">
        <v>45394</v>
      </c>
      <c r="E321" s="1">
        <v>45399</v>
      </c>
      <c r="F321" t="s">
        <v>35</v>
      </c>
      <c r="G321" t="s">
        <v>22</v>
      </c>
      <c r="H321" t="s">
        <v>46</v>
      </c>
      <c r="I321">
        <v>25</v>
      </c>
      <c r="J321">
        <v>5</v>
      </c>
      <c r="K321">
        <v>8649</v>
      </c>
      <c r="L321">
        <v>43245</v>
      </c>
      <c r="M321" t="s">
        <v>51</v>
      </c>
      <c r="N321">
        <v>1</v>
      </c>
      <c r="O321" t="s">
        <v>25</v>
      </c>
    </row>
    <row r="322" spans="1:15" x14ac:dyDescent="0.35">
      <c r="A322">
        <v>1321</v>
      </c>
      <c r="B322" t="s">
        <v>369</v>
      </c>
      <c r="C322" s="1">
        <v>45368</v>
      </c>
      <c r="D322" s="1">
        <v>45427</v>
      </c>
      <c r="E322" s="1">
        <v>45431</v>
      </c>
      <c r="F322" t="s">
        <v>29</v>
      </c>
      <c r="G322" t="s">
        <v>22</v>
      </c>
      <c r="H322" t="s">
        <v>46</v>
      </c>
      <c r="I322">
        <v>59</v>
      </c>
      <c r="J322">
        <v>4</v>
      </c>
      <c r="K322">
        <v>3136</v>
      </c>
      <c r="L322">
        <v>12544</v>
      </c>
      <c r="M322" t="s">
        <v>24</v>
      </c>
      <c r="N322">
        <v>1</v>
      </c>
      <c r="O322" t="s">
        <v>25</v>
      </c>
    </row>
    <row r="323" spans="1:15" x14ac:dyDescent="0.35">
      <c r="A323">
        <v>1322</v>
      </c>
      <c r="B323" t="s">
        <v>370</v>
      </c>
      <c r="C323" s="1">
        <v>45545</v>
      </c>
      <c r="D323" s="1">
        <v>45566</v>
      </c>
      <c r="E323" s="1">
        <v>45571</v>
      </c>
      <c r="F323" t="s">
        <v>60</v>
      </c>
      <c r="G323" t="s">
        <v>39</v>
      </c>
      <c r="H323" t="s">
        <v>46</v>
      </c>
      <c r="I323">
        <v>21</v>
      </c>
      <c r="J323">
        <v>5</v>
      </c>
      <c r="K323">
        <v>2813</v>
      </c>
      <c r="L323">
        <v>14065</v>
      </c>
      <c r="M323" t="s">
        <v>51</v>
      </c>
      <c r="N323">
        <v>1</v>
      </c>
      <c r="O323" t="s">
        <v>25</v>
      </c>
    </row>
    <row r="324" spans="1:15" x14ac:dyDescent="0.35">
      <c r="A324">
        <v>1323</v>
      </c>
      <c r="B324" t="s">
        <v>371</v>
      </c>
      <c r="C324" s="1">
        <v>45549</v>
      </c>
      <c r="D324" s="1">
        <v>45586</v>
      </c>
      <c r="E324" s="1">
        <v>45590</v>
      </c>
      <c r="F324" t="s">
        <v>35</v>
      </c>
      <c r="G324" t="s">
        <v>22</v>
      </c>
      <c r="H324" t="s">
        <v>23</v>
      </c>
      <c r="I324">
        <v>37</v>
      </c>
      <c r="J324">
        <v>4</v>
      </c>
      <c r="K324">
        <v>5897</v>
      </c>
      <c r="L324">
        <v>23588</v>
      </c>
      <c r="M324" t="s">
        <v>51</v>
      </c>
      <c r="N324">
        <v>1</v>
      </c>
      <c r="O324" t="s">
        <v>31</v>
      </c>
    </row>
    <row r="325" spans="1:15" x14ac:dyDescent="0.35">
      <c r="A325">
        <v>1324</v>
      </c>
      <c r="B325" t="s">
        <v>372</v>
      </c>
      <c r="C325" s="1">
        <v>45611</v>
      </c>
      <c r="D325" s="1">
        <v>45649</v>
      </c>
      <c r="E325" s="1">
        <v>45650</v>
      </c>
      <c r="F325" t="s">
        <v>35</v>
      </c>
      <c r="G325" t="s">
        <v>39</v>
      </c>
      <c r="H325" t="s">
        <v>30</v>
      </c>
      <c r="I325">
        <v>38</v>
      </c>
      <c r="J325">
        <v>1</v>
      </c>
      <c r="K325">
        <v>3064</v>
      </c>
      <c r="L325">
        <v>3064</v>
      </c>
      <c r="M325" t="s">
        <v>24</v>
      </c>
      <c r="N325">
        <v>0</v>
      </c>
      <c r="O325" t="s">
        <v>31</v>
      </c>
    </row>
    <row r="326" spans="1:15" x14ac:dyDescent="0.35">
      <c r="A326">
        <v>1325</v>
      </c>
      <c r="B326" t="s">
        <v>373</v>
      </c>
      <c r="C326" s="1">
        <v>45582</v>
      </c>
      <c r="D326" s="1">
        <v>45631</v>
      </c>
      <c r="E326" s="1">
        <v>45632</v>
      </c>
      <c r="F326" t="s">
        <v>21</v>
      </c>
      <c r="G326" t="s">
        <v>22</v>
      </c>
      <c r="H326" t="s">
        <v>30</v>
      </c>
      <c r="I326">
        <v>49</v>
      </c>
      <c r="J326">
        <v>1</v>
      </c>
      <c r="K326">
        <v>4101</v>
      </c>
      <c r="L326">
        <v>4101</v>
      </c>
      <c r="M326" t="s">
        <v>51</v>
      </c>
      <c r="N326">
        <v>1</v>
      </c>
      <c r="O326" t="s">
        <v>31</v>
      </c>
    </row>
    <row r="327" spans="1:15" x14ac:dyDescent="0.35">
      <c r="A327">
        <v>1326</v>
      </c>
      <c r="B327" t="s">
        <v>108</v>
      </c>
      <c r="C327" s="1">
        <v>45554</v>
      </c>
      <c r="D327" s="1">
        <v>45555</v>
      </c>
      <c r="E327" s="1">
        <v>45560</v>
      </c>
      <c r="F327" t="s">
        <v>21</v>
      </c>
      <c r="G327" t="s">
        <v>22</v>
      </c>
      <c r="H327" t="s">
        <v>30</v>
      </c>
      <c r="I327">
        <v>1</v>
      </c>
      <c r="J327">
        <v>5</v>
      </c>
      <c r="K327">
        <v>3325</v>
      </c>
      <c r="L327">
        <v>16625</v>
      </c>
      <c r="M327" t="s">
        <v>24</v>
      </c>
      <c r="N327">
        <v>0</v>
      </c>
      <c r="O327" t="s">
        <v>25</v>
      </c>
    </row>
    <row r="328" spans="1:15" x14ac:dyDescent="0.35">
      <c r="A328">
        <v>1327</v>
      </c>
      <c r="B328" t="s">
        <v>374</v>
      </c>
      <c r="C328" s="1">
        <v>45376</v>
      </c>
      <c r="D328" s="1">
        <v>45401</v>
      </c>
      <c r="E328" s="1">
        <v>45405</v>
      </c>
      <c r="F328" t="s">
        <v>38</v>
      </c>
      <c r="G328" t="s">
        <v>22</v>
      </c>
      <c r="H328" t="s">
        <v>23</v>
      </c>
      <c r="I328">
        <v>25</v>
      </c>
      <c r="J328">
        <v>4</v>
      </c>
      <c r="K328">
        <v>7701</v>
      </c>
      <c r="L328">
        <v>30804</v>
      </c>
      <c r="M328" t="s">
        <v>51</v>
      </c>
      <c r="N328">
        <v>1</v>
      </c>
      <c r="O328" t="s">
        <v>31</v>
      </c>
    </row>
    <row r="329" spans="1:15" x14ac:dyDescent="0.35">
      <c r="A329">
        <v>1328</v>
      </c>
      <c r="B329" t="s">
        <v>263</v>
      </c>
      <c r="C329" s="1">
        <v>45437</v>
      </c>
      <c r="D329" s="1">
        <v>45488</v>
      </c>
      <c r="E329" s="1">
        <v>45492</v>
      </c>
      <c r="F329" t="s">
        <v>38</v>
      </c>
      <c r="G329" t="s">
        <v>22</v>
      </c>
      <c r="H329" t="s">
        <v>23</v>
      </c>
      <c r="I329">
        <v>51</v>
      </c>
      <c r="J329">
        <v>4</v>
      </c>
      <c r="K329">
        <v>6170</v>
      </c>
      <c r="L329">
        <v>24680</v>
      </c>
      <c r="M329" t="s">
        <v>51</v>
      </c>
      <c r="N329">
        <v>1</v>
      </c>
      <c r="O329" t="s">
        <v>25</v>
      </c>
    </row>
    <row r="330" spans="1:15" x14ac:dyDescent="0.35">
      <c r="A330">
        <v>1329</v>
      </c>
      <c r="B330" t="s">
        <v>375</v>
      </c>
      <c r="C330" s="1">
        <v>45614</v>
      </c>
      <c r="D330" s="1">
        <v>45650</v>
      </c>
      <c r="E330" s="1">
        <v>45652</v>
      </c>
      <c r="F330" t="s">
        <v>35</v>
      </c>
      <c r="G330" t="s">
        <v>22</v>
      </c>
      <c r="H330" t="s">
        <v>46</v>
      </c>
      <c r="I330">
        <v>36</v>
      </c>
      <c r="J330">
        <v>2</v>
      </c>
      <c r="K330">
        <v>3525</v>
      </c>
      <c r="L330">
        <v>7050</v>
      </c>
      <c r="M330" t="s">
        <v>24</v>
      </c>
      <c r="N330">
        <v>0</v>
      </c>
      <c r="O330" t="s">
        <v>25</v>
      </c>
    </row>
    <row r="331" spans="1:15" x14ac:dyDescent="0.35">
      <c r="A331">
        <v>1330</v>
      </c>
      <c r="B331" t="s">
        <v>376</v>
      </c>
      <c r="C331" s="1">
        <v>45333</v>
      </c>
      <c r="D331" s="1">
        <v>45350</v>
      </c>
      <c r="E331" s="1">
        <v>45353</v>
      </c>
      <c r="F331" t="s">
        <v>35</v>
      </c>
      <c r="G331" t="s">
        <v>22</v>
      </c>
      <c r="H331" t="s">
        <v>23</v>
      </c>
      <c r="I331">
        <v>17</v>
      </c>
      <c r="J331">
        <v>3</v>
      </c>
      <c r="K331">
        <v>4751</v>
      </c>
      <c r="L331">
        <v>14253</v>
      </c>
      <c r="M331" t="s">
        <v>51</v>
      </c>
      <c r="N331">
        <v>1</v>
      </c>
      <c r="O331" t="s">
        <v>25</v>
      </c>
    </row>
    <row r="332" spans="1:15" x14ac:dyDescent="0.35">
      <c r="A332">
        <v>1331</v>
      </c>
      <c r="B332" t="s">
        <v>361</v>
      </c>
      <c r="C332" s="1">
        <v>45416</v>
      </c>
      <c r="D332" s="1">
        <v>45457</v>
      </c>
      <c r="E332" s="1">
        <v>45462</v>
      </c>
      <c r="F332" t="s">
        <v>38</v>
      </c>
      <c r="G332" t="s">
        <v>39</v>
      </c>
      <c r="H332" t="s">
        <v>46</v>
      </c>
      <c r="I332">
        <v>41</v>
      </c>
      <c r="J332">
        <v>5</v>
      </c>
      <c r="K332">
        <v>7257</v>
      </c>
      <c r="L332">
        <v>36285</v>
      </c>
      <c r="M332" t="s">
        <v>24</v>
      </c>
      <c r="N332">
        <v>1</v>
      </c>
      <c r="O332" t="s">
        <v>25</v>
      </c>
    </row>
    <row r="333" spans="1:15" x14ac:dyDescent="0.35">
      <c r="A333">
        <v>1332</v>
      </c>
      <c r="B333" t="s">
        <v>377</v>
      </c>
      <c r="C333" s="1">
        <v>45458</v>
      </c>
      <c r="D333" s="1">
        <v>45482</v>
      </c>
      <c r="E333" s="1">
        <v>45485</v>
      </c>
      <c r="F333" t="s">
        <v>38</v>
      </c>
      <c r="G333" t="s">
        <v>22</v>
      </c>
      <c r="H333" t="s">
        <v>46</v>
      </c>
      <c r="I333">
        <v>24</v>
      </c>
      <c r="J333">
        <v>3</v>
      </c>
      <c r="K333">
        <v>3304</v>
      </c>
      <c r="L333">
        <v>9912</v>
      </c>
      <c r="M333" t="s">
        <v>51</v>
      </c>
      <c r="N333">
        <v>0</v>
      </c>
      <c r="O333" t="s">
        <v>25</v>
      </c>
    </row>
    <row r="334" spans="1:15" x14ac:dyDescent="0.35">
      <c r="A334">
        <v>1333</v>
      </c>
      <c r="B334" t="s">
        <v>378</v>
      </c>
      <c r="C334" s="1">
        <v>45532</v>
      </c>
      <c r="D334" s="1">
        <v>45534</v>
      </c>
      <c r="E334" s="1">
        <v>45537</v>
      </c>
      <c r="F334" t="s">
        <v>35</v>
      </c>
      <c r="G334" t="s">
        <v>39</v>
      </c>
      <c r="H334" t="s">
        <v>30</v>
      </c>
      <c r="I334">
        <v>2</v>
      </c>
      <c r="J334">
        <v>3</v>
      </c>
      <c r="K334">
        <v>4951</v>
      </c>
      <c r="L334">
        <v>14853</v>
      </c>
      <c r="M334" t="s">
        <v>51</v>
      </c>
      <c r="N334">
        <v>0</v>
      </c>
      <c r="O334" t="s">
        <v>25</v>
      </c>
    </row>
    <row r="335" spans="1:15" x14ac:dyDescent="0.35">
      <c r="A335">
        <v>1334</v>
      </c>
      <c r="B335" t="s">
        <v>173</v>
      </c>
      <c r="C335" s="1">
        <v>45571</v>
      </c>
      <c r="D335" s="1">
        <v>45611</v>
      </c>
      <c r="E335" s="1">
        <v>45616</v>
      </c>
      <c r="F335" t="s">
        <v>60</v>
      </c>
      <c r="G335" t="s">
        <v>39</v>
      </c>
      <c r="H335" t="s">
        <v>23</v>
      </c>
      <c r="I335">
        <v>40</v>
      </c>
      <c r="J335">
        <v>5</v>
      </c>
      <c r="K335">
        <v>7131</v>
      </c>
      <c r="L335">
        <v>35655</v>
      </c>
      <c r="M335" t="s">
        <v>24</v>
      </c>
      <c r="N335">
        <v>0</v>
      </c>
      <c r="O335" t="s">
        <v>31</v>
      </c>
    </row>
    <row r="336" spans="1:15" x14ac:dyDescent="0.35">
      <c r="A336">
        <v>1335</v>
      </c>
      <c r="B336" t="s">
        <v>379</v>
      </c>
      <c r="C336" s="1">
        <v>45479</v>
      </c>
      <c r="D336" s="1">
        <v>45494</v>
      </c>
      <c r="E336" s="1">
        <v>45498</v>
      </c>
      <c r="F336" t="s">
        <v>35</v>
      </c>
      <c r="G336" t="s">
        <v>39</v>
      </c>
      <c r="H336" t="s">
        <v>30</v>
      </c>
      <c r="I336">
        <v>15</v>
      </c>
      <c r="J336">
        <v>4</v>
      </c>
      <c r="K336">
        <v>3891</v>
      </c>
      <c r="L336">
        <v>15564</v>
      </c>
      <c r="M336" t="s">
        <v>24</v>
      </c>
      <c r="N336">
        <v>0</v>
      </c>
      <c r="O336" t="s">
        <v>31</v>
      </c>
    </row>
    <row r="337" spans="1:15" x14ac:dyDescent="0.35">
      <c r="A337">
        <v>1336</v>
      </c>
      <c r="B337" t="s">
        <v>336</v>
      </c>
      <c r="C337" s="1">
        <v>45593</v>
      </c>
      <c r="D337" s="1">
        <v>45625</v>
      </c>
      <c r="E337" s="1">
        <v>45630</v>
      </c>
      <c r="F337" t="s">
        <v>60</v>
      </c>
      <c r="G337" t="s">
        <v>39</v>
      </c>
      <c r="H337" t="s">
        <v>30</v>
      </c>
      <c r="I337">
        <v>32</v>
      </c>
      <c r="J337">
        <v>5</v>
      </c>
      <c r="K337">
        <v>3735</v>
      </c>
      <c r="L337">
        <v>18675</v>
      </c>
      <c r="M337" t="s">
        <v>51</v>
      </c>
      <c r="N337">
        <v>1</v>
      </c>
      <c r="O337" t="s">
        <v>31</v>
      </c>
    </row>
    <row r="338" spans="1:15" x14ac:dyDescent="0.35">
      <c r="A338">
        <v>1337</v>
      </c>
      <c r="B338" t="s">
        <v>380</v>
      </c>
      <c r="C338" s="1">
        <v>45310</v>
      </c>
      <c r="D338" s="1">
        <v>45349</v>
      </c>
      <c r="E338" s="1">
        <v>45352</v>
      </c>
      <c r="F338" t="s">
        <v>60</v>
      </c>
      <c r="G338" t="s">
        <v>39</v>
      </c>
      <c r="H338" t="s">
        <v>23</v>
      </c>
      <c r="I338">
        <v>39</v>
      </c>
      <c r="J338">
        <v>3</v>
      </c>
      <c r="K338">
        <v>6532</v>
      </c>
      <c r="L338">
        <v>19596</v>
      </c>
      <c r="M338" t="s">
        <v>51</v>
      </c>
      <c r="N338">
        <v>1</v>
      </c>
      <c r="O338" t="s">
        <v>31</v>
      </c>
    </row>
    <row r="339" spans="1:15" x14ac:dyDescent="0.35">
      <c r="A339">
        <v>1338</v>
      </c>
      <c r="B339" t="s">
        <v>164</v>
      </c>
      <c r="C339" s="1">
        <v>45359</v>
      </c>
      <c r="D339" s="1">
        <v>45418</v>
      </c>
      <c r="E339" s="1">
        <v>45422</v>
      </c>
      <c r="F339" t="s">
        <v>35</v>
      </c>
      <c r="G339" t="s">
        <v>39</v>
      </c>
      <c r="H339" t="s">
        <v>23</v>
      </c>
      <c r="I339">
        <v>59</v>
      </c>
      <c r="J339">
        <v>4</v>
      </c>
      <c r="K339">
        <v>5780</v>
      </c>
      <c r="L339">
        <v>23120</v>
      </c>
      <c r="M339" t="s">
        <v>51</v>
      </c>
      <c r="N339">
        <v>1</v>
      </c>
      <c r="O339" t="s">
        <v>25</v>
      </c>
    </row>
    <row r="340" spans="1:15" x14ac:dyDescent="0.35">
      <c r="A340">
        <v>1339</v>
      </c>
      <c r="B340" t="s">
        <v>381</v>
      </c>
      <c r="C340" s="1">
        <v>45509</v>
      </c>
      <c r="D340" s="1">
        <v>45515</v>
      </c>
      <c r="E340" s="1">
        <v>45516</v>
      </c>
      <c r="F340" t="s">
        <v>29</v>
      </c>
      <c r="G340" t="s">
        <v>22</v>
      </c>
      <c r="H340" t="s">
        <v>46</v>
      </c>
      <c r="I340">
        <v>6</v>
      </c>
      <c r="J340">
        <v>1</v>
      </c>
      <c r="K340">
        <v>8516</v>
      </c>
      <c r="L340">
        <v>8516</v>
      </c>
      <c r="M340" t="s">
        <v>24</v>
      </c>
      <c r="N340">
        <v>0</v>
      </c>
      <c r="O340" t="s">
        <v>25</v>
      </c>
    </row>
    <row r="341" spans="1:15" x14ac:dyDescent="0.35">
      <c r="A341">
        <v>1340</v>
      </c>
      <c r="B341" t="s">
        <v>382</v>
      </c>
      <c r="C341" s="1">
        <v>45393</v>
      </c>
      <c r="D341" s="1">
        <v>45394</v>
      </c>
      <c r="E341" s="1">
        <v>45399</v>
      </c>
      <c r="F341" t="s">
        <v>38</v>
      </c>
      <c r="G341" t="s">
        <v>22</v>
      </c>
      <c r="H341" t="s">
        <v>46</v>
      </c>
      <c r="I341">
        <v>1</v>
      </c>
      <c r="J341">
        <v>5</v>
      </c>
      <c r="K341">
        <v>8760</v>
      </c>
      <c r="L341">
        <v>43800</v>
      </c>
      <c r="M341" t="s">
        <v>24</v>
      </c>
      <c r="N341">
        <v>1</v>
      </c>
      <c r="O341" t="s">
        <v>31</v>
      </c>
    </row>
    <row r="342" spans="1:15" x14ac:dyDescent="0.35">
      <c r="A342">
        <v>1341</v>
      </c>
      <c r="B342" t="s">
        <v>79</v>
      </c>
      <c r="C342" s="1">
        <v>45333</v>
      </c>
      <c r="D342" s="1">
        <v>45380</v>
      </c>
      <c r="E342" s="1">
        <v>45385</v>
      </c>
      <c r="F342" t="s">
        <v>21</v>
      </c>
      <c r="G342" t="s">
        <v>22</v>
      </c>
      <c r="H342" t="s">
        <v>46</v>
      </c>
      <c r="I342">
        <v>47</v>
      </c>
      <c r="J342">
        <v>5</v>
      </c>
      <c r="K342">
        <v>7223</v>
      </c>
      <c r="L342">
        <v>36115</v>
      </c>
      <c r="M342" t="s">
        <v>51</v>
      </c>
      <c r="N342">
        <v>0</v>
      </c>
      <c r="O342" t="s">
        <v>31</v>
      </c>
    </row>
    <row r="343" spans="1:15" x14ac:dyDescent="0.35">
      <c r="A343">
        <v>1342</v>
      </c>
      <c r="B343" t="s">
        <v>383</v>
      </c>
      <c r="C343" s="1">
        <v>45579</v>
      </c>
      <c r="D343" s="1">
        <v>45602</v>
      </c>
      <c r="E343" s="1">
        <v>45606</v>
      </c>
      <c r="F343" t="s">
        <v>35</v>
      </c>
      <c r="G343" t="s">
        <v>39</v>
      </c>
      <c r="H343" t="s">
        <v>46</v>
      </c>
      <c r="I343">
        <v>23</v>
      </c>
      <c r="J343">
        <v>4</v>
      </c>
      <c r="K343">
        <v>7344</v>
      </c>
      <c r="L343">
        <v>29376</v>
      </c>
      <c r="M343" t="s">
        <v>51</v>
      </c>
      <c r="N343">
        <v>1</v>
      </c>
      <c r="O343" t="s">
        <v>31</v>
      </c>
    </row>
    <row r="344" spans="1:15" x14ac:dyDescent="0.35">
      <c r="A344">
        <v>1343</v>
      </c>
      <c r="B344" t="s">
        <v>384</v>
      </c>
      <c r="C344" s="1">
        <v>45458</v>
      </c>
      <c r="D344" s="1">
        <v>45516</v>
      </c>
      <c r="E344" s="1">
        <v>45517</v>
      </c>
      <c r="F344" t="s">
        <v>60</v>
      </c>
      <c r="G344" t="s">
        <v>39</v>
      </c>
      <c r="H344" t="s">
        <v>30</v>
      </c>
      <c r="I344">
        <v>58</v>
      </c>
      <c r="J344">
        <v>1</v>
      </c>
      <c r="K344">
        <v>6049</v>
      </c>
      <c r="L344">
        <v>6049</v>
      </c>
      <c r="M344" t="s">
        <v>51</v>
      </c>
      <c r="N344">
        <v>0</v>
      </c>
      <c r="O344" t="s">
        <v>31</v>
      </c>
    </row>
    <row r="345" spans="1:15" x14ac:dyDescent="0.35">
      <c r="A345">
        <v>1344</v>
      </c>
      <c r="B345" t="s">
        <v>385</v>
      </c>
      <c r="C345" s="1">
        <v>45400</v>
      </c>
      <c r="D345" s="1">
        <v>45439</v>
      </c>
      <c r="E345" s="1">
        <v>45440</v>
      </c>
      <c r="F345" t="s">
        <v>35</v>
      </c>
      <c r="G345" t="s">
        <v>39</v>
      </c>
      <c r="H345" t="s">
        <v>30</v>
      </c>
      <c r="I345">
        <v>39</v>
      </c>
      <c r="J345">
        <v>1</v>
      </c>
      <c r="K345">
        <v>6700</v>
      </c>
      <c r="L345">
        <v>6700</v>
      </c>
      <c r="M345" t="s">
        <v>24</v>
      </c>
      <c r="N345">
        <v>1</v>
      </c>
      <c r="O345" t="s">
        <v>31</v>
      </c>
    </row>
    <row r="346" spans="1:15" x14ac:dyDescent="0.35">
      <c r="A346">
        <v>1345</v>
      </c>
      <c r="B346" t="s">
        <v>386</v>
      </c>
      <c r="C346" s="1">
        <v>45327</v>
      </c>
      <c r="D346" s="1">
        <v>45384</v>
      </c>
      <c r="E346" s="1">
        <v>45388</v>
      </c>
      <c r="F346" t="s">
        <v>38</v>
      </c>
      <c r="G346" t="s">
        <v>22</v>
      </c>
      <c r="H346" t="s">
        <v>23</v>
      </c>
      <c r="I346">
        <v>57</v>
      </c>
      <c r="J346">
        <v>4</v>
      </c>
      <c r="K346">
        <v>6641</v>
      </c>
      <c r="L346">
        <v>26564</v>
      </c>
      <c r="M346" t="s">
        <v>51</v>
      </c>
      <c r="N346">
        <v>1</v>
      </c>
      <c r="O346" t="s">
        <v>31</v>
      </c>
    </row>
    <row r="347" spans="1:15" x14ac:dyDescent="0.35">
      <c r="A347">
        <v>1346</v>
      </c>
      <c r="B347" t="s">
        <v>387</v>
      </c>
      <c r="C347" s="1">
        <v>45523</v>
      </c>
      <c r="D347" s="1">
        <v>45540</v>
      </c>
      <c r="E347" s="1">
        <v>45542</v>
      </c>
      <c r="F347" t="s">
        <v>60</v>
      </c>
      <c r="G347" t="s">
        <v>22</v>
      </c>
      <c r="H347" t="s">
        <v>46</v>
      </c>
      <c r="I347">
        <v>17</v>
      </c>
      <c r="J347">
        <v>2</v>
      </c>
      <c r="K347">
        <v>3854</v>
      </c>
      <c r="L347">
        <v>7708</v>
      </c>
      <c r="M347" t="s">
        <v>24</v>
      </c>
      <c r="N347">
        <v>1</v>
      </c>
      <c r="O347" t="s">
        <v>31</v>
      </c>
    </row>
    <row r="348" spans="1:15" x14ac:dyDescent="0.35">
      <c r="A348">
        <v>1347</v>
      </c>
      <c r="B348" t="s">
        <v>388</v>
      </c>
      <c r="C348" s="1">
        <v>45520</v>
      </c>
      <c r="D348" s="1">
        <v>45554</v>
      </c>
      <c r="E348" s="1">
        <v>45559</v>
      </c>
      <c r="F348" t="s">
        <v>21</v>
      </c>
      <c r="G348" t="s">
        <v>22</v>
      </c>
      <c r="H348" t="s">
        <v>46</v>
      </c>
      <c r="I348">
        <v>34</v>
      </c>
      <c r="J348">
        <v>5</v>
      </c>
      <c r="K348">
        <v>7835</v>
      </c>
      <c r="L348">
        <v>39175</v>
      </c>
      <c r="M348" t="s">
        <v>24</v>
      </c>
      <c r="N348">
        <v>0</v>
      </c>
      <c r="O348" t="s">
        <v>31</v>
      </c>
    </row>
    <row r="349" spans="1:15" x14ac:dyDescent="0.35">
      <c r="A349">
        <v>1348</v>
      </c>
      <c r="B349" t="s">
        <v>389</v>
      </c>
      <c r="C349" s="1">
        <v>45644</v>
      </c>
      <c r="D349" s="1">
        <v>45703</v>
      </c>
      <c r="E349" s="1">
        <v>45708</v>
      </c>
      <c r="F349" t="s">
        <v>21</v>
      </c>
      <c r="G349" t="s">
        <v>39</v>
      </c>
      <c r="H349" t="s">
        <v>46</v>
      </c>
      <c r="I349">
        <v>59</v>
      </c>
      <c r="J349">
        <v>5</v>
      </c>
      <c r="K349">
        <v>7577</v>
      </c>
      <c r="L349">
        <v>37885</v>
      </c>
      <c r="M349" t="s">
        <v>51</v>
      </c>
      <c r="N349">
        <v>1</v>
      </c>
      <c r="O349" t="s">
        <v>25</v>
      </c>
    </row>
    <row r="350" spans="1:15" x14ac:dyDescent="0.35">
      <c r="A350">
        <v>1349</v>
      </c>
      <c r="B350" t="s">
        <v>61</v>
      </c>
      <c r="C350" s="1">
        <v>45455</v>
      </c>
      <c r="D350" s="1">
        <v>45496</v>
      </c>
      <c r="E350" s="1">
        <v>45499</v>
      </c>
      <c r="F350" t="s">
        <v>21</v>
      </c>
      <c r="G350" t="s">
        <v>39</v>
      </c>
      <c r="H350" t="s">
        <v>30</v>
      </c>
      <c r="I350">
        <v>41</v>
      </c>
      <c r="J350">
        <v>3</v>
      </c>
      <c r="K350">
        <v>7555</v>
      </c>
      <c r="L350">
        <v>22665</v>
      </c>
      <c r="M350" t="s">
        <v>24</v>
      </c>
      <c r="N350">
        <v>0</v>
      </c>
      <c r="O350" t="s">
        <v>25</v>
      </c>
    </row>
    <row r="351" spans="1:15" x14ac:dyDescent="0.35">
      <c r="A351">
        <v>1350</v>
      </c>
      <c r="B351" t="s">
        <v>390</v>
      </c>
      <c r="C351" s="1">
        <v>45364</v>
      </c>
      <c r="D351" s="1">
        <v>45393</v>
      </c>
      <c r="E351" s="1">
        <v>45397</v>
      </c>
      <c r="F351" t="s">
        <v>29</v>
      </c>
      <c r="G351" t="s">
        <v>39</v>
      </c>
      <c r="H351" t="s">
        <v>23</v>
      </c>
      <c r="I351">
        <v>29</v>
      </c>
      <c r="J351">
        <v>4</v>
      </c>
      <c r="K351">
        <v>8111</v>
      </c>
      <c r="L351">
        <v>32444</v>
      </c>
      <c r="M351" t="s">
        <v>24</v>
      </c>
      <c r="N351">
        <v>1</v>
      </c>
      <c r="O351" t="s">
        <v>25</v>
      </c>
    </row>
    <row r="352" spans="1:15" x14ac:dyDescent="0.35">
      <c r="A352">
        <v>1351</v>
      </c>
      <c r="B352" t="s">
        <v>215</v>
      </c>
      <c r="C352" s="1">
        <v>45427</v>
      </c>
      <c r="D352" s="1">
        <v>45436</v>
      </c>
      <c r="E352" s="1">
        <v>45439</v>
      </c>
      <c r="F352" t="s">
        <v>60</v>
      </c>
      <c r="G352" t="s">
        <v>22</v>
      </c>
      <c r="H352" t="s">
        <v>30</v>
      </c>
      <c r="I352">
        <v>9</v>
      </c>
      <c r="J352">
        <v>3</v>
      </c>
      <c r="K352">
        <v>4336</v>
      </c>
      <c r="L352">
        <v>13008</v>
      </c>
      <c r="M352" t="s">
        <v>51</v>
      </c>
      <c r="N352">
        <v>1</v>
      </c>
      <c r="O352" t="s">
        <v>25</v>
      </c>
    </row>
    <row r="353" spans="1:15" x14ac:dyDescent="0.35">
      <c r="A353">
        <v>1352</v>
      </c>
      <c r="B353" t="s">
        <v>337</v>
      </c>
      <c r="C353" s="1">
        <v>45644</v>
      </c>
      <c r="D353" s="1">
        <v>45657</v>
      </c>
      <c r="E353" s="1">
        <v>45660</v>
      </c>
      <c r="F353" t="s">
        <v>60</v>
      </c>
      <c r="G353" t="s">
        <v>39</v>
      </c>
      <c r="H353" t="s">
        <v>23</v>
      </c>
      <c r="I353">
        <v>13</v>
      </c>
      <c r="J353">
        <v>3</v>
      </c>
      <c r="K353">
        <v>5392</v>
      </c>
      <c r="L353">
        <v>16176</v>
      </c>
      <c r="M353" t="s">
        <v>51</v>
      </c>
      <c r="N353">
        <v>1</v>
      </c>
      <c r="O353" t="s">
        <v>31</v>
      </c>
    </row>
    <row r="354" spans="1:15" x14ac:dyDescent="0.35">
      <c r="A354">
        <v>1353</v>
      </c>
      <c r="B354" t="s">
        <v>303</v>
      </c>
      <c r="C354" s="1">
        <v>45361</v>
      </c>
      <c r="D354" s="1">
        <v>45367</v>
      </c>
      <c r="E354" s="1">
        <v>45368</v>
      </c>
      <c r="F354" t="s">
        <v>29</v>
      </c>
      <c r="G354" t="s">
        <v>39</v>
      </c>
      <c r="H354" t="s">
        <v>23</v>
      </c>
      <c r="I354">
        <v>6</v>
      </c>
      <c r="J354">
        <v>1</v>
      </c>
      <c r="K354">
        <v>4996</v>
      </c>
      <c r="L354">
        <v>4996</v>
      </c>
      <c r="M354" t="s">
        <v>51</v>
      </c>
      <c r="N354">
        <v>0</v>
      </c>
      <c r="O354" t="s">
        <v>25</v>
      </c>
    </row>
    <row r="355" spans="1:15" x14ac:dyDescent="0.35">
      <c r="A355">
        <v>1354</v>
      </c>
      <c r="B355" t="s">
        <v>315</v>
      </c>
      <c r="C355" s="1">
        <v>45487</v>
      </c>
      <c r="D355" s="1">
        <v>45493</v>
      </c>
      <c r="E355" s="1">
        <v>45498</v>
      </c>
      <c r="F355" t="s">
        <v>60</v>
      </c>
      <c r="G355" t="s">
        <v>39</v>
      </c>
      <c r="H355" t="s">
        <v>30</v>
      </c>
      <c r="I355">
        <v>6</v>
      </c>
      <c r="J355">
        <v>5</v>
      </c>
      <c r="K355">
        <v>5083</v>
      </c>
      <c r="L355">
        <v>25415</v>
      </c>
      <c r="M355" t="s">
        <v>51</v>
      </c>
      <c r="N355">
        <v>0</v>
      </c>
      <c r="O355" t="s">
        <v>31</v>
      </c>
    </row>
    <row r="356" spans="1:15" x14ac:dyDescent="0.35">
      <c r="A356">
        <v>1355</v>
      </c>
      <c r="B356" t="s">
        <v>391</v>
      </c>
      <c r="C356" s="1">
        <v>45560</v>
      </c>
      <c r="D356" s="1">
        <v>45580</v>
      </c>
      <c r="E356" s="1">
        <v>45583</v>
      </c>
      <c r="F356" t="s">
        <v>29</v>
      </c>
      <c r="G356" t="s">
        <v>39</v>
      </c>
      <c r="H356" t="s">
        <v>30</v>
      </c>
      <c r="I356">
        <v>20</v>
      </c>
      <c r="J356">
        <v>3</v>
      </c>
      <c r="K356">
        <v>5058</v>
      </c>
      <c r="L356">
        <v>15174</v>
      </c>
      <c r="M356" t="s">
        <v>51</v>
      </c>
      <c r="N356">
        <v>0</v>
      </c>
      <c r="O356" t="s">
        <v>25</v>
      </c>
    </row>
    <row r="357" spans="1:15" x14ac:dyDescent="0.35">
      <c r="A357">
        <v>1356</v>
      </c>
      <c r="B357" t="s">
        <v>392</v>
      </c>
      <c r="C357" s="1">
        <v>45340</v>
      </c>
      <c r="D357" s="1">
        <v>45392</v>
      </c>
      <c r="E357" s="1">
        <v>45393</v>
      </c>
      <c r="F357" t="s">
        <v>35</v>
      </c>
      <c r="G357" t="s">
        <v>22</v>
      </c>
      <c r="H357" t="s">
        <v>23</v>
      </c>
      <c r="I357">
        <v>52</v>
      </c>
      <c r="J357">
        <v>1</v>
      </c>
      <c r="K357">
        <v>8077</v>
      </c>
      <c r="L357">
        <v>8077</v>
      </c>
      <c r="M357" t="s">
        <v>51</v>
      </c>
      <c r="N357">
        <v>1</v>
      </c>
      <c r="O357" t="s">
        <v>31</v>
      </c>
    </row>
    <row r="358" spans="1:15" x14ac:dyDescent="0.35">
      <c r="A358">
        <v>1357</v>
      </c>
      <c r="B358" t="s">
        <v>393</v>
      </c>
      <c r="C358" s="1">
        <v>45607</v>
      </c>
      <c r="D358" s="1">
        <v>45660</v>
      </c>
      <c r="E358" s="1">
        <v>45664</v>
      </c>
      <c r="F358" t="s">
        <v>38</v>
      </c>
      <c r="G358" t="s">
        <v>22</v>
      </c>
      <c r="H358" t="s">
        <v>30</v>
      </c>
      <c r="I358">
        <v>53</v>
      </c>
      <c r="J358">
        <v>4</v>
      </c>
      <c r="K358">
        <v>6118</v>
      </c>
      <c r="L358">
        <v>24472</v>
      </c>
      <c r="M358" t="s">
        <v>51</v>
      </c>
      <c r="N358">
        <v>0</v>
      </c>
      <c r="O358" t="s">
        <v>31</v>
      </c>
    </row>
    <row r="359" spans="1:15" x14ac:dyDescent="0.35">
      <c r="A359">
        <v>1358</v>
      </c>
      <c r="B359" t="s">
        <v>394</v>
      </c>
      <c r="C359" s="1">
        <v>45421</v>
      </c>
      <c r="D359" s="1">
        <v>45424</v>
      </c>
      <c r="E359" s="1">
        <v>45427</v>
      </c>
      <c r="F359" t="s">
        <v>21</v>
      </c>
      <c r="G359" t="s">
        <v>39</v>
      </c>
      <c r="H359" t="s">
        <v>30</v>
      </c>
      <c r="I359">
        <v>3</v>
      </c>
      <c r="J359">
        <v>3</v>
      </c>
      <c r="K359">
        <v>4059</v>
      </c>
      <c r="L359">
        <v>12177</v>
      </c>
      <c r="M359" t="s">
        <v>24</v>
      </c>
      <c r="N359">
        <v>1</v>
      </c>
      <c r="O359" t="s">
        <v>25</v>
      </c>
    </row>
    <row r="360" spans="1:15" x14ac:dyDescent="0.35">
      <c r="A360">
        <v>1359</v>
      </c>
      <c r="B360" t="s">
        <v>340</v>
      </c>
      <c r="C360" s="1">
        <v>45296</v>
      </c>
      <c r="D360" s="1">
        <v>45313</v>
      </c>
      <c r="E360" s="1">
        <v>45318</v>
      </c>
      <c r="F360" t="s">
        <v>29</v>
      </c>
      <c r="G360" t="s">
        <v>39</v>
      </c>
      <c r="H360" t="s">
        <v>23</v>
      </c>
      <c r="I360">
        <v>17</v>
      </c>
      <c r="J360">
        <v>5</v>
      </c>
      <c r="K360">
        <v>4007</v>
      </c>
      <c r="L360">
        <v>20035</v>
      </c>
      <c r="M360" t="s">
        <v>51</v>
      </c>
      <c r="N360">
        <v>0</v>
      </c>
      <c r="O360" t="s">
        <v>25</v>
      </c>
    </row>
    <row r="361" spans="1:15" x14ac:dyDescent="0.35">
      <c r="A361">
        <v>1360</v>
      </c>
      <c r="B361" t="s">
        <v>99</v>
      </c>
      <c r="C361" s="1">
        <v>45318</v>
      </c>
      <c r="D361" s="1">
        <v>45367</v>
      </c>
      <c r="E361" s="1">
        <v>45370</v>
      </c>
      <c r="F361" t="s">
        <v>29</v>
      </c>
      <c r="G361" t="s">
        <v>22</v>
      </c>
      <c r="H361" t="s">
        <v>23</v>
      </c>
      <c r="I361">
        <v>49</v>
      </c>
      <c r="J361">
        <v>3</v>
      </c>
      <c r="K361">
        <v>6571</v>
      </c>
      <c r="L361">
        <v>19713</v>
      </c>
      <c r="M361" t="s">
        <v>51</v>
      </c>
      <c r="N361">
        <v>1</v>
      </c>
      <c r="O361" t="s">
        <v>31</v>
      </c>
    </row>
    <row r="362" spans="1:15" x14ac:dyDescent="0.35">
      <c r="A362">
        <v>1361</v>
      </c>
      <c r="B362" t="s">
        <v>395</v>
      </c>
      <c r="C362" s="1">
        <v>45451</v>
      </c>
      <c r="D362" s="1">
        <v>45463</v>
      </c>
      <c r="E362" s="1">
        <v>45467</v>
      </c>
      <c r="F362" t="s">
        <v>29</v>
      </c>
      <c r="G362" t="s">
        <v>22</v>
      </c>
      <c r="H362" t="s">
        <v>46</v>
      </c>
      <c r="I362">
        <v>12</v>
      </c>
      <c r="J362">
        <v>4</v>
      </c>
      <c r="K362">
        <v>4563</v>
      </c>
      <c r="L362">
        <v>18252</v>
      </c>
      <c r="M362" t="s">
        <v>51</v>
      </c>
      <c r="N362">
        <v>0</v>
      </c>
      <c r="O362" t="s">
        <v>31</v>
      </c>
    </row>
    <row r="363" spans="1:15" x14ac:dyDescent="0.35">
      <c r="A363">
        <v>1362</v>
      </c>
      <c r="B363" t="s">
        <v>396</v>
      </c>
      <c r="C363" s="1">
        <v>45440</v>
      </c>
      <c r="D363" s="1">
        <v>45488</v>
      </c>
      <c r="E363" s="1">
        <v>45491</v>
      </c>
      <c r="F363" t="s">
        <v>35</v>
      </c>
      <c r="G363" t="s">
        <v>39</v>
      </c>
      <c r="H363" t="s">
        <v>30</v>
      </c>
      <c r="I363">
        <v>48</v>
      </c>
      <c r="J363">
        <v>3</v>
      </c>
      <c r="K363">
        <v>6142</v>
      </c>
      <c r="L363">
        <v>18426</v>
      </c>
      <c r="M363" t="s">
        <v>51</v>
      </c>
      <c r="N363">
        <v>1</v>
      </c>
      <c r="O363" t="s">
        <v>31</v>
      </c>
    </row>
    <row r="364" spans="1:15" x14ac:dyDescent="0.35">
      <c r="A364">
        <v>1363</v>
      </c>
      <c r="B364" t="s">
        <v>397</v>
      </c>
      <c r="C364" s="1">
        <v>45555</v>
      </c>
      <c r="D364" s="1">
        <v>45602</v>
      </c>
      <c r="E364" s="1">
        <v>45607</v>
      </c>
      <c r="F364" t="s">
        <v>29</v>
      </c>
      <c r="G364" t="s">
        <v>22</v>
      </c>
      <c r="H364" t="s">
        <v>23</v>
      </c>
      <c r="I364">
        <v>47</v>
      </c>
      <c r="J364">
        <v>5</v>
      </c>
      <c r="K364">
        <v>4500</v>
      </c>
      <c r="L364">
        <v>22500</v>
      </c>
      <c r="M364" t="s">
        <v>51</v>
      </c>
      <c r="N364">
        <v>1</v>
      </c>
      <c r="O364" t="s">
        <v>25</v>
      </c>
    </row>
    <row r="365" spans="1:15" x14ac:dyDescent="0.35">
      <c r="A365">
        <v>1364</v>
      </c>
      <c r="B365" t="s">
        <v>89</v>
      </c>
      <c r="C365" s="1">
        <v>45521</v>
      </c>
      <c r="D365" s="1">
        <v>45566</v>
      </c>
      <c r="E365" s="1">
        <v>45567</v>
      </c>
      <c r="F365" t="s">
        <v>38</v>
      </c>
      <c r="G365" t="s">
        <v>22</v>
      </c>
      <c r="H365" t="s">
        <v>30</v>
      </c>
      <c r="I365">
        <v>45</v>
      </c>
      <c r="J365">
        <v>1</v>
      </c>
      <c r="K365">
        <v>8886</v>
      </c>
      <c r="L365">
        <v>8886</v>
      </c>
      <c r="M365" t="s">
        <v>51</v>
      </c>
      <c r="N365">
        <v>1</v>
      </c>
      <c r="O365" t="s">
        <v>25</v>
      </c>
    </row>
    <row r="366" spans="1:15" x14ac:dyDescent="0.35">
      <c r="A366">
        <v>1365</v>
      </c>
      <c r="B366" t="s">
        <v>398</v>
      </c>
      <c r="C366" s="1">
        <v>45491</v>
      </c>
      <c r="D366" s="1">
        <v>45546</v>
      </c>
      <c r="E366" s="1">
        <v>45551</v>
      </c>
      <c r="F366" t="s">
        <v>38</v>
      </c>
      <c r="G366" t="s">
        <v>39</v>
      </c>
      <c r="H366" t="s">
        <v>30</v>
      </c>
      <c r="I366">
        <v>55</v>
      </c>
      <c r="J366">
        <v>5</v>
      </c>
      <c r="K366">
        <v>8569</v>
      </c>
      <c r="L366">
        <v>42845</v>
      </c>
      <c r="M366" t="s">
        <v>24</v>
      </c>
      <c r="N366">
        <v>1</v>
      </c>
      <c r="O366" t="s">
        <v>31</v>
      </c>
    </row>
    <row r="367" spans="1:15" x14ac:dyDescent="0.35">
      <c r="A367">
        <v>1366</v>
      </c>
      <c r="B367" t="s">
        <v>399</v>
      </c>
      <c r="C367" s="1">
        <v>45341</v>
      </c>
      <c r="D367" s="1">
        <v>45342</v>
      </c>
      <c r="E367" s="1">
        <v>45343</v>
      </c>
      <c r="F367" t="s">
        <v>21</v>
      </c>
      <c r="G367" t="s">
        <v>22</v>
      </c>
      <c r="H367" t="s">
        <v>23</v>
      </c>
      <c r="I367">
        <v>1</v>
      </c>
      <c r="J367">
        <v>1</v>
      </c>
      <c r="K367">
        <v>7507</v>
      </c>
      <c r="L367">
        <v>7507</v>
      </c>
      <c r="M367" t="s">
        <v>51</v>
      </c>
      <c r="N367">
        <v>0</v>
      </c>
      <c r="O367" t="s">
        <v>25</v>
      </c>
    </row>
    <row r="368" spans="1:15" x14ac:dyDescent="0.35">
      <c r="A368">
        <v>1367</v>
      </c>
      <c r="B368" t="s">
        <v>83</v>
      </c>
      <c r="C368" s="1">
        <v>45358</v>
      </c>
      <c r="D368" s="1">
        <v>45375</v>
      </c>
      <c r="E368" s="1">
        <v>45377</v>
      </c>
      <c r="F368" t="s">
        <v>35</v>
      </c>
      <c r="G368" t="s">
        <v>22</v>
      </c>
      <c r="H368" t="s">
        <v>46</v>
      </c>
      <c r="I368">
        <v>17</v>
      </c>
      <c r="J368">
        <v>2</v>
      </c>
      <c r="K368">
        <v>3794</v>
      </c>
      <c r="L368">
        <v>7588</v>
      </c>
      <c r="M368" t="s">
        <v>24</v>
      </c>
      <c r="N368">
        <v>0</v>
      </c>
      <c r="O368" t="s">
        <v>31</v>
      </c>
    </row>
    <row r="369" spans="1:15" x14ac:dyDescent="0.35">
      <c r="A369">
        <v>1368</v>
      </c>
      <c r="B369" t="s">
        <v>400</v>
      </c>
      <c r="C369" s="1">
        <v>45591</v>
      </c>
      <c r="D369" s="1">
        <v>45594</v>
      </c>
      <c r="E369" s="1">
        <v>45599</v>
      </c>
      <c r="F369" t="s">
        <v>38</v>
      </c>
      <c r="G369" t="s">
        <v>22</v>
      </c>
      <c r="H369" t="s">
        <v>23</v>
      </c>
      <c r="I369">
        <v>3</v>
      </c>
      <c r="J369">
        <v>5</v>
      </c>
      <c r="K369">
        <v>6565</v>
      </c>
      <c r="L369">
        <v>32825</v>
      </c>
      <c r="M369" t="s">
        <v>51</v>
      </c>
      <c r="N369">
        <v>0</v>
      </c>
      <c r="O369" t="s">
        <v>25</v>
      </c>
    </row>
    <row r="370" spans="1:15" x14ac:dyDescent="0.35">
      <c r="A370">
        <v>1369</v>
      </c>
      <c r="B370" t="s">
        <v>401</v>
      </c>
      <c r="C370" s="1">
        <v>45349</v>
      </c>
      <c r="D370" s="1">
        <v>45375</v>
      </c>
      <c r="E370" s="1">
        <v>45380</v>
      </c>
      <c r="F370" t="s">
        <v>60</v>
      </c>
      <c r="G370" t="s">
        <v>22</v>
      </c>
      <c r="H370" t="s">
        <v>23</v>
      </c>
      <c r="I370">
        <v>26</v>
      </c>
      <c r="J370">
        <v>5</v>
      </c>
      <c r="K370">
        <v>8398</v>
      </c>
      <c r="L370">
        <v>41990</v>
      </c>
      <c r="M370" t="s">
        <v>24</v>
      </c>
      <c r="N370">
        <v>0</v>
      </c>
      <c r="O370" t="s">
        <v>25</v>
      </c>
    </row>
    <row r="371" spans="1:15" x14ac:dyDescent="0.35">
      <c r="A371">
        <v>1370</v>
      </c>
      <c r="B371" t="s">
        <v>402</v>
      </c>
      <c r="C371" s="1">
        <v>45550</v>
      </c>
      <c r="D371" s="1">
        <v>45565</v>
      </c>
      <c r="E371" s="1">
        <v>45569</v>
      </c>
      <c r="F371" t="s">
        <v>60</v>
      </c>
      <c r="G371" t="s">
        <v>39</v>
      </c>
      <c r="H371" t="s">
        <v>30</v>
      </c>
      <c r="I371">
        <v>15</v>
      </c>
      <c r="J371">
        <v>4</v>
      </c>
      <c r="K371">
        <v>5252</v>
      </c>
      <c r="L371">
        <v>21008</v>
      </c>
      <c r="M371" t="s">
        <v>24</v>
      </c>
      <c r="N371">
        <v>1</v>
      </c>
      <c r="O371" t="s">
        <v>25</v>
      </c>
    </row>
    <row r="372" spans="1:15" x14ac:dyDescent="0.35">
      <c r="A372">
        <v>1371</v>
      </c>
      <c r="B372" t="s">
        <v>403</v>
      </c>
      <c r="C372" s="1">
        <v>45633</v>
      </c>
      <c r="D372" s="1">
        <v>45669</v>
      </c>
      <c r="E372" s="1">
        <v>45672</v>
      </c>
      <c r="F372" t="s">
        <v>60</v>
      </c>
      <c r="G372" t="s">
        <v>22</v>
      </c>
      <c r="H372" t="s">
        <v>46</v>
      </c>
      <c r="I372">
        <v>36</v>
      </c>
      <c r="J372">
        <v>3</v>
      </c>
      <c r="K372">
        <v>4253</v>
      </c>
      <c r="L372">
        <v>12759</v>
      </c>
      <c r="M372" t="s">
        <v>24</v>
      </c>
      <c r="N372">
        <v>1</v>
      </c>
      <c r="O372" t="s">
        <v>25</v>
      </c>
    </row>
    <row r="373" spans="1:15" x14ac:dyDescent="0.35">
      <c r="A373">
        <v>1372</v>
      </c>
      <c r="B373" t="s">
        <v>152</v>
      </c>
      <c r="C373" s="1">
        <v>45617</v>
      </c>
      <c r="D373" s="1">
        <v>45649</v>
      </c>
      <c r="E373" s="1">
        <v>45650</v>
      </c>
      <c r="F373" t="s">
        <v>29</v>
      </c>
      <c r="G373" t="s">
        <v>22</v>
      </c>
      <c r="H373" t="s">
        <v>23</v>
      </c>
      <c r="I373">
        <v>32</v>
      </c>
      <c r="J373">
        <v>1</v>
      </c>
      <c r="K373">
        <v>6710</v>
      </c>
      <c r="L373">
        <v>6710</v>
      </c>
      <c r="M373" t="s">
        <v>51</v>
      </c>
      <c r="N373">
        <v>0</v>
      </c>
      <c r="O373" t="s">
        <v>25</v>
      </c>
    </row>
    <row r="374" spans="1:15" x14ac:dyDescent="0.35">
      <c r="A374">
        <v>1373</v>
      </c>
      <c r="B374" t="s">
        <v>404</v>
      </c>
      <c r="C374" s="1">
        <v>45421</v>
      </c>
      <c r="D374" s="1">
        <v>45453</v>
      </c>
      <c r="E374" s="1">
        <v>45454</v>
      </c>
      <c r="F374" t="s">
        <v>29</v>
      </c>
      <c r="G374" t="s">
        <v>39</v>
      </c>
      <c r="H374" t="s">
        <v>30</v>
      </c>
      <c r="I374">
        <v>32</v>
      </c>
      <c r="J374">
        <v>1</v>
      </c>
      <c r="K374">
        <v>4103</v>
      </c>
      <c r="L374">
        <v>4103</v>
      </c>
      <c r="M374" t="s">
        <v>51</v>
      </c>
      <c r="N374">
        <v>1</v>
      </c>
      <c r="O374" t="s">
        <v>31</v>
      </c>
    </row>
    <row r="375" spans="1:15" x14ac:dyDescent="0.35">
      <c r="A375">
        <v>1374</v>
      </c>
      <c r="B375" t="s">
        <v>401</v>
      </c>
      <c r="C375" s="1">
        <v>45506</v>
      </c>
      <c r="D375" s="1">
        <v>45510</v>
      </c>
      <c r="E375" s="1">
        <v>45514</v>
      </c>
      <c r="F375" t="s">
        <v>60</v>
      </c>
      <c r="G375" t="s">
        <v>22</v>
      </c>
      <c r="H375" t="s">
        <v>23</v>
      </c>
      <c r="I375">
        <v>4</v>
      </c>
      <c r="J375">
        <v>4</v>
      </c>
      <c r="K375">
        <v>3822</v>
      </c>
      <c r="L375">
        <v>15288</v>
      </c>
      <c r="M375" t="s">
        <v>51</v>
      </c>
      <c r="N375">
        <v>0</v>
      </c>
      <c r="O375" t="s">
        <v>31</v>
      </c>
    </row>
    <row r="376" spans="1:15" x14ac:dyDescent="0.35">
      <c r="A376">
        <v>1375</v>
      </c>
      <c r="B376" t="s">
        <v>405</v>
      </c>
      <c r="C376" s="1">
        <v>45463</v>
      </c>
      <c r="D376" s="1">
        <v>45481</v>
      </c>
      <c r="E376" s="1">
        <v>45485</v>
      </c>
      <c r="F376" t="s">
        <v>21</v>
      </c>
      <c r="G376" t="s">
        <v>39</v>
      </c>
      <c r="H376" t="s">
        <v>30</v>
      </c>
      <c r="I376">
        <v>18</v>
      </c>
      <c r="J376">
        <v>4</v>
      </c>
      <c r="K376">
        <v>8456</v>
      </c>
      <c r="L376">
        <v>33824</v>
      </c>
      <c r="M376" t="s">
        <v>51</v>
      </c>
      <c r="N376">
        <v>1</v>
      </c>
      <c r="O376" t="s">
        <v>25</v>
      </c>
    </row>
    <row r="377" spans="1:15" x14ac:dyDescent="0.35">
      <c r="A377">
        <v>1376</v>
      </c>
      <c r="B377" t="s">
        <v>406</v>
      </c>
      <c r="C377" s="1">
        <v>45549</v>
      </c>
      <c r="D377" s="1">
        <v>45598</v>
      </c>
      <c r="E377" s="1">
        <v>45601</v>
      </c>
      <c r="F377" t="s">
        <v>21</v>
      </c>
      <c r="G377" t="s">
        <v>39</v>
      </c>
      <c r="H377" t="s">
        <v>23</v>
      </c>
      <c r="I377">
        <v>49</v>
      </c>
      <c r="J377">
        <v>3</v>
      </c>
      <c r="K377">
        <v>4941</v>
      </c>
      <c r="L377">
        <v>14823</v>
      </c>
      <c r="M377" t="s">
        <v>51</v>
      </c>
      <c r="N377">
        <v>1</v>
      </c>
      <c r="O377" t="s">
        <v>31</v>
      </c>
    </row>
    <row r="378" spans="1:15" x14ac:dyDescent="0.35">
      <c r="A378">
        <v>1377</v>
      </c>
      <c r="B378" t="s">
        <v>407</v>
      </c>
      <c r="C378" s="1">
        <v>45393</v>
      </c>
      <c r="D378" s="1">
        <v>45412</v>
      </c>
      <c r="E378" s="1">
        <v>45415</v>
      </c>
      <c r="F378" t="s">
        <v>29</v>
      </c>
      <c r="G378" t="s">
        <v>22</v>
      </c>
      <c r="H378" t="s">
        <v>46</v>
      </c>
      <c r="I378">
        <v>19</v>
      </c>
      <c r="J378">
        <v>3</v>
      </c>
      <c r="K378">
        <v>3598</v>
      </c>
      <c r="L378">
        <v>10794</v>
      </c>
      <c r="M378" t="s">
        <v>51</v>
      </c>
      <c r="N378">
        <v>1</v>
      </c>
      <c r="O378" t="s">
        <v>31</v>
      </c>
    </row>
    <row r="379" spans="1:15" x14ac:dyDescent="0.35">
      <c r="A379">
        <v>1378</v>
      </c>
      <c r="B379" t="s">
        <v>408</v>
      </c>
      <c r="C379" s="1">
        <v>45500</v>
      </c>
      <c r="D379" s="1">
        <v>45543</v>
      </c>
      <c r="E379" s="1">
        <v>45548</v>
      </c>
      <c r="F379" t="s">
        <v>60</v>
      </c>
      <c r="G379" t="s">
        <v>22</v>
      </c>
      <c r="H379" t="s">
        <v>23</v>
      </c>
      <c r="I379">
        <v>43</v>
      </c>
      <c r="J379">
        <v>5</v>
      </c>
      <c r="K379">
        <v>7573</v>
      </c>
      <c r="L379">
        <v>37865</v>
      </c>
      <c r="M379" t="s">
        <v>24</v>
      </c>
      <c r="N379">
        <v>1</v>
      </c>
      <c r="O379" t="s">
        <v>25</v>
      </c>
    </row>
    <row r="380" spans="1:15" x14ac:dyDescent="0.35">
      <c r="A380">
        <v>1379</v>
      </c>
      <c r="B380" t="s">
        <v>409</v>
      </c>
      <c r="C380" s="1">
        <v>45582</v>
      </c>
      <c r="D380" s="1">
        <v>45634</v>
      </c>
      <c r="E380" s="1">
        <v>45636</v>
      </c>
      <c r="F380" t="s">
        <v>21</v>
      </c>
      <c r="G380" t="s">
        <v>22</v>
      </c>
      <c r="H380" t="s">
        <v>30</v>
      </c>
      <c r="I380">
        <v>52</v>
      </c>
      <c r="J380">
        <v>2</v>
      </c>
      <c r="K380">
        <v>4005</v>
      </c>
      <c r="L380">
        <v>8010</v>
      </c>
      <c r="M380" t="s">
        <v>24</v>
      </c>
      <c r="N380">
        <v>1</v>
      </c>
      <c r="O380" t="s">
        <v>31</v>
      </c>
    </row>
    <row r="381" spans="1:15" x14ac:dyDescent="0.35">
      <c r="A381">
        <v>1380</v>
      </c>
      <c r="B381" t="s">
        <v>410</v>
      </c>
      <c r="C381" s="1">
        <v>45645</v>
      </c>
      <c r="D381" s="1">
        <v>45680</v>
      </c>
      <c r="E381" s="1">
        <v>45683</v>
      </c>
      <c r="F381" t="s">
        <v>29</v>
      </c>
      <c r="G381" t="s">
        <v>22</v>
      </c>
      <c r="H381" t="s">
        <v>23</v>
      </c>
      <c r="I381">
        <v>35</v>
      </c>
      <c r="J381">
        <v>3</v>
      </c>
      <c r="K381">
        <v>3626</v>
      </c>
      <c r="L381">
        <v>10878</v>
      </c>
      <c r="M381" t="s">
        <v>24</v>
      </c>
      <c r="N381">
        <v>0</v>
      </c>
      <c r="O381" t="s">
        <v>25</v>
      </c>
    </row>
    <row r="382" spans="1:15" x14ac:dyDescent="0.35">
      <c r="A382">
        <v>1381</v>
      </c>
      <c r="B382" t="s">
        <v>411</v>
      </c>
      <c r="C382" s="1">
        <v>45577</v>
      </c>
      <c r="D382" s="1">
        <v>45617</v>
      </c>
      <c r="E382" s="1">
        <v>45621</v>
      </c>
      <c r="F382" t="s">
        <v>60</v>
      </c>
      <c r="G382" t="s">
        <v>22</v>
      </c>
      <c r="H382" t="s">
        <v>46</v>
      </c>
      <c r="I382">
        <v>40</v>
      </c>
      <c r="J382">
        <v>4</v>
      </c>
      <c r="K382">
        <v>2796</v>
      </c>
      <c r="L382">
        <v>11184</v>
      </c>
      <c r="M382" t="s">
        <v>51</v>
      </c>
      <c r="N382">
        <v>0</v>
      </c>
      <c r="O382" t="s">
        <v>31</v>
      </c>
    </row>
    <row r="383" spans="1:15" x14ac:dyDescent="0.35">
      <c r="A383">
        <v>1382</v>
      </c>
      <c r="B383" t="s">
        <v>282</v>
      </c>
      <c r="C383" s="1">
        <v>45407</v>
      </c>
      <c r="D383" s="1">
        <v>45421</v>
      </c>
      <c r="E383" s="1">
        <v>45424</v>
      </c>
      <c r="F383" t="s">
        <v>35</v>
      </c>
      <c r="G383" t="s">
        <v>39</v>
      </c>
      <c r="H383" t="s">
        <v>46</v>
      </c>
      <c r="I383">
        <v>14</v>
      </c>
      <c r="J383">
        <v>3</v>
      </c>
      <c r="K383">
        <v>5549</v>
      </c>
      <c r="L383">
        <v>16647</v>
      </c>
      <c r="M383" t="s">
        <v>51</v>
      </c>
      <c r="N383">
        <v>0</v>
      </c>
      <c r="O383" t="s">
        <v>31</v>
      </c>
    </row>
    <row r="384" spans="1:15" x14ac:dyDescent="0.35">
      <c r="A384">
        <v>1383</v>
      </c>
      <c r="B384" t="s">
        <v>412</v>
      </c>
      <c r="C384" s="1">
        <v>45555</v>
      </c>
      <c r="D384" s="1">
        <v>45613</v>
      </c>
      <c r="E384" s="1">
        <v>45614</v>
      </c>
      <c r="F384" t="s">
        <v>60</v>
      </c>
      <c r="G384" t="s">
        <v>22</v>
      </c>
      <c r="H384" t="s">
        <v>46</v>
      </c>
      <c r="I384">
        <v>58</v>
      </c>
      <c r="J384">
        <v>1</v>
      </c>
      <c r="K384">
        <v>4725</v>
      </c>
      <c r="L384">
        <v>4725</v>
      </c>
      <c r="M384" t="s">
        <v>24</v>
      </c>
      <c r="N384">
        <v>1</v>
      </c>
      <c r="O384" t="s">
        <v>31</v>
      </c>
    </row>
    <row r="385" spans="1:15" x14ac:dyDescent="0.35">
      <c r="A385">
        <v>1384</v>
      </c>
      <c r="B385" t="s">
        <v>413</v>
      </c>
      <c r="C385" s="1">
        <v>45441</v>
      </c>
      <c r="D385" s="1">
        <v>45474</v>
      </c>
      <c r="E385" s="1">
        <v>45476</v>
      </c>
      <c r="F385" t="s">
        <v>60</v>
      </c>
      <c r="G385" t="s">
        <v>39</v>
      </c>
      <c r="H385" t="s">
        <v>46</v>
      </c>
      <c r="I385">
        <v>33</v>
      </c>
      <c r="J385">
        <v>2</v>
      </c>
      <c r="K385">
        <v>8958</v>
      </c>
      <c r="L385">
        <v>17916</v>
      </c>
      <c r="M385" t="s">
        <v>51</v>
      </c>
      <c r="N385">
        <v>0</v>
      </c>
      <c r="O385" t="s">
        <v>31</v>
      </c>
    </row>
    <row r="386" spans="1:15" x14ac:dyDescent="0.35">
      <c r="A386">
        <v>1385</v>
      </c>
      <c r="B386" t="s">
        <v>414</v>
      </c>
      <c r="C386" s="1">
        <v>45591</v>
      </c>
      <c r="D386" s="1">
        <v>45605</v>
      </c>
      <c r="E386" s="1">
        <v>45610</v>
      </c>
      <c r="F386" t="s">
        <v>38</v>
      </c>
      <c r="G386" t="s">
        <v>22</v>
      </c>
      <c r="H386" t="s">
        <v>30</v>
      </c>
      <c r="I386">
        <v>14</v>
      </c>
      <c r="J386">
        <v>5</v>
      </c>
      <c r="K386">
        <v>7658</v>
      </c>
      <c r="L386">
        <v>38290</v>
      </c>
      <c r="M386" t="s">
        <v>51</v>
      </c>
      <c r="N386">
        <v>0</v>
      </c>
      <c r="O386" t="s">
        <v>31</v>
      </c>
    </row>
    <row r="387" spans="1:15" x14ac:dyDescent="0.35">
      <c r="A387">
        <v>1386</v>
      </c>
      <c r="B387" t="s">
        <v>415</v>
      </c>
      <c r="C387" s="1">
        <v>45327</v>
      </c>
      <c r="D387" s="1">
        <v>45361</v>
      </c>
      <c r="E387" s="1">
        <v>45362</v>
      </c>
      <c r="F387" t="s">
        <v>38</v>
      </c>
      <c r="G387" t="s">
        <v>39</v>
      </c>
      <c r="H387" t="s">
        <v>23</v>
      </c>
      <c r="I387">
        <v>34</v>
      </c>
      <c r="J387">
        <v>1</v>
      </c>
      <c r="K387">
        <v>6854</v>
      </c>
      <c r="L387">
        <v>6854</v>
      </c>
      <c r="M387" t="s">
        <v>51</v>
      </c>
      <c r="N387">
        <v>1</v>
      </c>
      <c r="O387" t="s">
        <v>31</v>
      </c>
    </row>
    <row r="388" spans="1:15" x14ac:dyDescent="0.35">
      <c r="A388">
        <v>1387</v>
      </c>
      <c r="B388" t="s">
        <v>416</v>
      </c>
      <c r="C388" s="1">
        <v>45624</v>
      </c>
      <c r="D388" s="1">
        <v>45679</v>
      </c>
      <c r="E388" s="1">
        <v>45680</v>
      </c>
      <c r="F388" t="s">
        <v>35</v>
      </c>
      <c r="G388" t="s">
        <v>22</v>
      </c>
      <c r="H388" t="s">
        <v>46</v>
      </c>
      <c r="I388">
        <v>55</v>
      </c>
      <c r="J388">
        <v>1</v>
      </c>
      <c r="K388">
        <v>6287</v>
      </c>
      <c r="L388">
        <v>6287</v>
      </c>
      <c r="M388" t="s">
        <v>24</v>
      </c>
      <c r="N388">
        <v>1</v>
      </c>
      <c r="O388" t="s">
        <v>31</v>
      </c>
    </row>
    <row r="389" spans="1:15" x14ac:dyDescent="0.35">
      <c r="A389">
        <v>1388</v>
      </c>
      <c r="B389" t="s">
        <v>417</v>
      </c>
      <c r="C389" s="1">
        <v>45578</v>
      </c>
      <c r="D389" s="1">
        <v>45582</v>
      </c>
      <c r="E389" s="1">
        <v>45584</v>
      </c>
      <c r="F389" t="s">
        <v>35</v>
      </c>
      <c r="G389" t="s">
        <v>22</v>
      </c>
      <c r="H389" t="s">
        <v>23</v>
      </c>
      <c r="I389">
        <v>4</v>
      </c>
      <c r="J389">
        <v>2</v>
      </c>
      <c r="K389">
        <v>8650</v>
      </c>
      <c r="L389">
        <v>17300</v>
      </c>
      <c r="M389" t="s">
        <v>24</v>
      </c>
      <c r="N389">
        <v>0</v>
      </c>
      <c r="O389" t="s">
        <v>25</v>
      </c>
    </row>
    <row r="390" spans="1:15" x14ac:dyDescent="0.35">
      <c r="A390">
        <v>1389</v>
      </c>
      <c r="B390" t="s">
        <v>418</v>
      </c>
      <c r="C390" s="1">
        <v>45594</v>
      </c>
      <c r="D390" s="1">
        <v>45618</v>
      </c>
      <c r="E390" s="1">
        <v>45623</v>
      </c>
      <c r="F390" t="s">
        <v>60</v>
      </c>
      <c r="G390" t="s">
        <v>22</v>
      </c>
      <c r="H390" t="s">
        <v>30</v>
      </c>
      <c r="I390">
        <v>24</v>
      </c>
      <c r="J390">
        <v>5</v>
      </c>
      <c r="K390">
        <v>4596</v>
      </c>
      <c r="L390">
        <v>22980</v>
      </c>
      <c r="M390" t="s">
        <v>51</v>
      </c>
      <c r="N390">
        <v>0</v>
      </c>
      <c r="O390" t="s">
        <v>25</v>
      </c>
    </row>
    <row r="391" spans="1:15" x14ac:dyDescent="0.35">
      <c r="A391">
        <v>1390</v>
      </c>
      <c r="B391" t="s">
        <v>419</v>
      </c>
      <c r="C391" s="1">
        <v>45602</v>
      </c>
      <c r="D391" s="1">
        <v>45661</v>
      </c>
      <c r="E391" s="1">
        <v>45665</v>
      </c>
      <c r="F391" t="s">
        <v>21</v>
      </c>
      <c r="G391" t="s">
        <v>22</v>
      </c>
      <c r="H391" t="s">
        <v>23</v>
      </c>
      <c r="I391">
        <v>59</v>
      </c>
      <c r="J391">
        <v>4</v>
      </c>
      <c r="K391">
        <v>6109</v>
      </c>
      <c r="L391">
        <v>24436</v>
      </c>
      <c r="M391" t="s">
        <v>24</v>
      </c>
      <c r="N391">
        <v>0</v>
      </c>
      <c r="O391" t="s">
        <v>25</v>
      </c>
    </row>
    <row r="392" spans="1:15" x14ac:dyDescent="0.35">
      <c r="A392">
        <v>1391</v>
      </c>
      <c r="B392" t="s">
        <v>420</v>
      </c>
      <c r="C392" s="1">
        <v>45499</v>
      </c>
      <c r="D392" s="1">
        <v>45528</v>
      </c>
      <c r="E392" s="1">
        <v>45533</v>
      </c>
      <c r="F392" t="s">
        <v>35</v>
      </c>
      <c r="G392" t="s">
        <v>22</v>
      </c>
      <c r="H392" t="s">
        <v>23</v>
      </c>
      <c r="I392">
        <v>29</v>
      </c>
      <c r="J392">
        <v>5</v>
      </c>
      <c r="K392">
        <v>4708</v>
      </c>
      <c r="L392">
        <v>23540</v>
      </c>
      <c r="M392" t="s">
        <v>24</v>
      </c>
      <c r="N392">
        <v>1</v>
      </c>
      <c r="O392" t="s">
        <v>25</v>
      </c>
    </row>
    <row r="393" spans="1:15" x14ac:dyDescent="0.35">
      <c r="A393">
        <v>1392</v>
      </c>
      <c r="B393" t="s">
        <v>421</v>
      </c>
      <c r="C393" s="1">
        <v>45397</v>
      </c>
      <c r="D393" s="1">
        <v>45416</v>
      </c>
      <c r="E393" s="1">
        <v>45419</v>
      </c>
      <c r="F393" t="s">
        <v>60</v>
      </c>
      <c r="G393" t="s">
        <v>39</v>
      </c>
      <c r="H393" t="s">
        <v>46</v>
      </c>
      <c r="I393">
        <v>19</v>
      </c>
      <c r="J393">
        <v>3</v>
      </c>
      <c r="K393">
        <v>8488</v>
      </c>
      <c r="L393">
        <v>25464</v>
      </c>
      <c r="M393" t="s">
        <v>51</v>
      </c>
      <c r="N393">
        <v>1</v>
      </c>
      <c r="O393" t="s">
        <v>31</v>
      </c>
    </row>
    <row r="394" spans="1:15" x14ac:dyDescent="0.35">
      <c r="A394">
        <v>1393</v>
      </c>
      <c r="B394" t="s">
        <v>246</v>
      </c>
      <c r="C394" s="1">
        <v>45449</v>
      </c>
      <c r="D394" s="1">
        <v>45455</v>
      </c>
      <c r="E394" s="1">
        <v>45456</v>
      </c>
      <c r="F394" t="s">
        <v>29</v>
      </c>
      <c r="G394" t="s">
        <v>22</v>
      </c>
      <c r="H394" t="s">
        <v>46</v>
      </c>
      <c r="I394">
        <v>6</v>
      </c>
      <c r="J394">
        <v>1</v>
      </c>
      <c r="K394">
        <v>2675</v>
      </c>
      <c r="L394">
        <v>2675</v>
      </c>
      <c r="M394" t="s">
        <v>51</v>
      </c>
      <c r="N394">
        <v>0</v>
      </c>
      <c r="O394" t="s">
        <v>31</v>
      </c>
    </row>
    <row r="395" spans="1:15" x14ac:dyDescent="0.35">
      <c r="A395">
        <v>1394</v>
      </c>
      <c r="B395" t="s">
        <v>422</v>
      </c>
      <c r="C395" s="1">
        <v>45412</v>
      </c>
      <c r="D395" s="1">
        <v>45469</v>
      </c>
      <c r="E395" s="1">
        <v>45472</v>
      </c>
      <c r="F395" t="s">
        <v>38</v>
      </c>
      <c r="G395" t="s">
        <v>22</v>
      </c>
      <c r="H395" t="s">
        <v>30</v>
      </c>
      <c r="I395">
        <v>57</v>
      </c>
      <c r="J395">
        <v>3</v>
      </c>
      <c r="K395">
        <v>7596</v>
      </c>
      <c r="L395">
        <v>22788</v>
      </c>
      <c r="M395" t="s">
        <v>24</v>
      </c>
      <c r="N395">
        <v>1</v>
      </c>
      <c r="O395" t="s">
        <v>31</v>
      </c>
    </row>
    <row r="396" spans="1:15" x14ac:dyDescent="0.35">
      <c r="A396">
        <v>1395</v>
      </c>
      <c r="B396" t="s">
        <v>423</v>
      </c>
      <c r="C396" s="1">
        <v>45346</v>
      </c>
      <c r="D396" s="1">
        <v>45379</v>
      </c>
      <c r="E396" s="1">
        <v>45383</v>
      </c>
      <c r="F396" t="s">
        <v>21</v>
      </c>
      <c r="G396" t="s">
        <v>22</v>
      </c>
      <c r="H396" t="s">
        <v>23</v>
      </c>
      <c r="I396">
        <v>33</v>
      </c>
      <c r="J396">
        <v>4</v>
      </c>
      <c r="K396">
        <v>8514</v>
      </c>
      <c r="L396">
        <v>34056</v>
      </c>
      <c r="M396" t="s">
        <v>24</v>
      </c>
      <c r="N396">
        <v>0</v>
      </c>
      <c r="O396" t="s">
        <v>25</v>
      </c>
    </row>
    <row r="397" spans="1:15" x14ac:dyDescent="0.35">
      <c r="A397">
        <v>1396</v>
      </c>
      <c r="B397" t="s">
        <v>424</v>
      </c>
      <c r="C397" s="1">
        <v>45303</v>
      </c>
      <c r="D397" s="1">
        <v>45352</v>
      </c>
      <c r="E397" s="1">
        <v>45355</v>
      </c>
      <c r="F397" t="s">
        <v>60</v>
      </c>
      <c r="G397" t="s">
        <v>39</v>
      </c>
      <c r="H397" t="s">
        <v>30</v>
      </c>
      <c r="I397">
        <v>49</v>
      </c>
      <c r="J397">
        <v>3</v>
      </c>
      <c r="K397">
        <v>5002</v>
      </c>
      <c r="L397">
        <v>15006</v>
      </c>
      <c r="M397" t="s">
        <v>51</v>
      </c>
      <c r="N397">
        <v>0</v>
      </c>
      <c r="O397" t="s">
        <v>25</v>
      </c>
    </row>
    <row r="398" spans="1:15" x14ac:dyDescent="0.35">
      <c r="A398">
        <v>1397</v>
      </c>
      <c r="B398" t="s">
        <v>425</v>
      </c>
      <c r="C398" s="1">
        <v>45436</v>
      </c>
      <c r="D398" s="1">
        <v>45476</v>
      </c>
      <c r="E398" s="1">
        <v>45481</v>
      </c>
      <c r="F398" t="s">
        <v>29</v>
      </c>
      <c r="G398" t="s">
        <v>22</v>
      </c>
      <c r="H398" t="s">
        <v>30</v>
      </c>
      <c r="I398">
        <v>40</v>
      </c>
      <c r="J398">
        <v>5</v>
      </c>
      <c r="K398">
        <v>6499</v>
      </c>
      <c r="L398">
        <v>32495</v>
      </c>
      <c r="M398" t="s">
        <v>51</v>
      </c>
      <c r="N398">
        <v>1</v>
      </c>
      <c r="O398" t="s">
        <v>25</v>
      </c>
    </row>
    <row r="399" spans="1:15" x14ac:dyDescent="0.35">
      <c r="A399">
        <v>1398</v>
      </c>
      <c r="B399" t="s">
        <v>426</v>
      </c>
      <c r="C399" s="1">
        <v>45427</v>
      </c>
      <c r="D399" s="1">
        <v>45446</v>
      </c>
      <c r="E399" s="1">
        <v>45449</v>
      </c>
      <c r="F399" t="s">
        <v>38</v>
      </c>
      <c r="G399" t="s">
        <v>39</v>
      </c>
      <c r="H399" t="s">
        <v>30</v>
      </c>
      <c r="I399">
        <v>19</v>
      </c>
      <c r="J399">
        <v>3</v>
      </c>
      <c r="K399">
        <v>4167</v>
      </c>
      <c r="L399">
        <v>12501</v>
      </c>
      <c r="M399" t="s">
        <v>51</v>
      </c>
      <c r="N399">
        <v>1</v>
      </c>
      <c r="O399" t="s">
        <v>31</v>
      </c>
    </row>
    <row r="400" spans="1:15" x14ac:dyDescent="0.35">
      <c r="A400">
        <v>1399</v>
      </c>
      <c r="B400" t="s">
        <v>427</v>
      </c>
      <c r="C400" s="1">
        <v>45294</v>
      </c>
      <c r="D400" s="1">
        <v>45347</v>
      </c>
      <c r="E400" s="1">
        <v>45351</v>
      </c>
      <c r="F400" t="s">
        <v>29</v>
      </c>
      <c r="G400" t="s">
        <v>22</v>
      </c>
      <c r="H400" t="s">
        <v>46</v>
      </c>
      <c r="I400">
        <v>53</v>
      </c>
      <c r="J400">
        <v>4</v>
      </c>
      <c r="K400">
        <v>6871</v>
      </c>
      <c r="L400">
        <v>27484</v>
      </c>
      <c r="M400" t="s">
        <v>24</v>
      </c>
      <c r="N400">
        <v>0</v>
      </c>
      <c r="O400" t="s">
        <v>25</v>
      </c>
    </row>
    <row r="401" spans="1:15" x14ac:dyDescent="0.35">
      <c r="A401">
        <v>1400</v>
      </c>
      <c r="B401" t="s">
        <v>428</v>
      </c>
      <c r="C401" s="1">
        <v>45435</v>
      </c>
      <c r="D401" s="1">
        <v>45436</v>
      </c>
      <c r="E401" s="1">
        <v>45440</v>
      </c>
      <c r="F401" t="s">
        <v>60</v>
      </c>
      <c r="G401" t="s">
        <v>39</v>
      </c>
      <c r="H401" t="s">
        <v>46</v>
      </c>
      <c r="I401">
        <v>1</v>
      </c>
      <c r="J401">
        <v>4</v>
      </c>
      <c r="K401">
        <v>5045</v>
      </c>
      <c r="L401">
        <v>20180</v>
      </c>
      <c r="M401" t="s">
        <v>24</v>
      </c>
      <c r="N401">
        <v>0</v>
      </c>
      <c r="O401" t="s">
        <v>31</v>
      </c>
    </row>
    <row r="402" spans="1:15" x14ac:dyDescent="0.35">
      <c r="A402">
        <v>1401</v>
      </c>
      <c r="B402" t="s">
        <v>429</v>
      </c>
      <c r="C402" s="1">
        <v>45321</v>
      </c>
      <c r="D402" s="1">
        <v>45326</v>
      </c>
      <c r="E402" s="1">
        <v>45330</v>
      </c>
      <c r="F402" t="s">
        <v>35</v>
      </c>
      <c r="G402" t="s">
        <v>22</v>
      </c>
      <c r="H402" t="s">
        <v>23</v>
      </c>
      <c r="I402">
        <v>5</v>
      </c>
      <c r="J402">
        <v>4</v>
      </c>
      <c r="K402">
        <v>3175</v>
      </c>
      <c r="L402">
        <v>12700</v>
      </c>
      <c r="M402" t="s">
        <v>51</v>
      </c>
      <c r="N402">
        <v>1</v>
      </c>
      <c r="O402" t="s">
        <v>25</v>
      </c>
    </row>
    <row r="403" spans="1:15" x14ac:dyDescent="0.35">
      <c r="A403">
        <v>1402</v>
      </c>
      <c r="B403" t="s">
        <v>430</v>
      </c>
      <c r="C403" s="1">
        <v>45528</v>
      </c>
      <c r="D403" s="1">
        <v>45555</v>
      </c>
      <c r="E403" s="1">
        <v>45560</v>
      </c>
      <c r="F403" t="s">
        <v>38</v>
      </c>
      <c r="G403" t="s">
        <v>22</v>
      </c>
      <c r="H403" t="s">
        <v>23</v>
      </c>
      <c r="I403">
        <v>27</v>
      </c>
      <c r="J403">
        <v>5</v>
      </c>
      <c r="K403">
        <v>4323</v>
      </c>
      <c r="L403">
        <v>21615</v>
      </c>
      <c r="M403" t="s">
        <v>51</v>
      </c>
      <c r="N403">
        <v>0</v>
      </c>
      <c r="O403" t="s">
        <v>31</v>
      </c>
    </row>
    <row r="404" spans="1:15" x14ac:dyDescent="0.35">
      <c r="A404">
        <v>1403</v>
      </c>
      <c r="B404" t="s">
        <v>431</v>
      </c>
      <c r="C404" s="1">
        <v>45570</v>
      </c>
      <c r="D404" s="1">
        <v>45586</v>
      </c>
      <c r="E404" s="1">
        <v>45590</v>
      </c>
      <c r="F404" t="s">
        <v>29</v>
      </c>
      <c r="G404" t="s">
        <v>39</v>
      </c>
      <c r="H404" t="s">
        <v>23</v>
      </c>
      <c r="I404">
        <v>16</v>
      </c>
      <c r="J404">
        <v>4</v>
      </c>
      <c r="K404">
        <v>7647</v>
      </c>
      <c r="L404">
        <v>30588</v>
      </c>
      <c r="M404" t="s">
        <v>51</v>
      </c>
      <c r="N404">
        <v>0</v>
      </c>
      <c r="O404" t="s">
        <v>25</v>
      </c>
    </row>
    <row r="405" spans="1:15" x14ac:dyDescent="0.35">
      <c r="A405">
        <v>1404</v>
      </c>
      <c r="B405" t="s">
        <v>432</v>
      </c>
      <c r="C405" s="1">
        <v>45639</v>
      </c>
      <c r="D405" s="1">
        <v>45645</v>
      </c>
      <c r="E405" s="1">
        <v>45646</v>
      </c>
      <c r="F405" t="s">
        <v>35</v>
      </c>
      <c r="G405" t="s">
        <v>22</v>
      </c>
      <c r="H405" t="s">
        <v>46</v>
      </c>
      <c r="I405">
        <v>6</v>
      </c>
      <c r="J405">
        <v>1</v>
      </c>
      <c r="K405">
        <v>3856</v>
      </c>
      <c r="L405">
        <v>3856</v>
      </c>
      <c r="M405" t="s">
        <v>51</v>
      </c>
      <c r="N405">
        <v>0</v>
      </c>
      <c r="O405" t="s">
        <v>31</v>
      </c>
    </row>
    <row r="406" spans="1:15" x14ac:dyDescent="0.35">
      <c r="A406">
        <v>1405</v>
      </c>
      <c r="B406" t="s">
        <v>433</v>
      </c>
      <c r="C406" s="1">
        <v>45406</v>
      </c>
      <c r="D406" s="1">
        <v>45446</v>
      </c>
      <c r="E406" s="1">
        <v>45450</v>
      </c>
      <c r="F406" t="s">
        <v>21</v>
      </c>
      <c r="G406" t="s">
        <v>39</v>
      </c>
      <c r="H406" t="s">
        <v>46</v>
      </c>
      <c r="I406">
        <v>40</v>
      </c>
      <c r="J406">
        <v>4</v>
      </c>
      <c r="K406">
        <v>5572</v>
      </c>
      <c r="L406">
        <v>22288</v>
      </c>
      <c r="M406" t="s">
        <v>24</v>
      </c>
      <c r="N406">
        <v>1</v>
      </c>
      <c r="O406" t="s">
        <v>25</v>
      </c>
    </row>
    <row r="407" spans="1:15" x14ac:dyDescent="0.35">
      <c r="A407">
        <v>1406</v>
      </c>
      <c r="B407" t="s">
        <v>434</v>
      </c>
      <c r="C407" s="1">
        <v>45395</v>
      </c>
      <c r="D407" s="1">
        <v>45408</v>
      </c>
      <c r="E407" s="1">
        <v>45411</v>
      </c>
      <c r="F407" t="s">
        <v>60</v>
      </c>
      <c r="G407" t="s">
        <v>22</v>
      </c>
      <c r="H407" t="s">
        <v>30</v>
      </c>
      <c r="I407">
        <v>13</v>
      </c>
      <c r="J407">
        <v>3</v>
      </c>
      <c r="K407">
        <v>5759</v>
      </c>
      <c r="L407">
        <v>17277</v>
      </c>
      <c r="M407" t="s">
        <v>51</v>
      </c>
      <c r="N407">
        <v>1</v>
      </c>
      <c r="O407" t="s">
        <v>25</v>
      </c>
    </row>
    <row r="408" spans="1:15" x14ac:dyDescent="0.35">
      <c r="A408">
        <v>1407</v>
      </c>
      <c r="B408" t="s">
        <v>435</v>
      </c>
      <c r="C408" s="1">
        <v>45409</v>
      </c>
      <c r="D408" s="1">
        <v>45457</v>
      </c>
      <c r="E408" s="1">
        <v>45460</v>
      </c>
      <c r="F408" t="s">
        <v>60</v>
      </c>
      <c r="G408" t="s">
        <v>22</v>
      </c>
      <c r="H408" t="s">
        <v>46</v>
      </c>
      <c r="I408">
        <v>48</v>
      </c>
      <c r="J408">
        <v>3</v>
      </c>
      <c r="K408">
        <v>8699</v>
      </c>
      <c r="L408">
        <v>26097</v>
      </c>
      <c r="M408" t="s">
        <v>51</v>
      </c>
      <c r="N408">
        <v>0</v>
      </c>
      <c r="O408" t="s">
        <v>31</v>
      </c>
    </row>
    <row r="409" spans="1:15" x14ac:dyDescent="0.35">
      <c r="A409">
        <v>1408</v>
      </c>
      <c r="B409" t="s">
        <v>436</v>
      </c>
      <c r="C409" s="1">
        <v>45296</v>
      </c>
      <c r="D409" s="1">
        <v>45331</v>
      </c>
      <c r="E409" s="1">
        <v>45334</v>
      </c>
      <c r="F409" t="s">
        <v>38</v>
      </c>
      <c r="G409" t="s">
        <v>39</v>
      </c>
      <c r="H409" t="s">
        <v>30</v>
      </c>
      <c r="I409">
        <v>35</v>
      </c>
      <c r="J409">
        <v>3</v>
      </c>
      <c r="K409">
        <v>3046</v>
      </c>
      <c r="L409">
        <v>9138</v>
      </c>
      <c r="M409" t="s">
        <v>24</v>
      </c>
      <c r="N409">
        <v>0</v>
      </c>
      <c r="O409" t="s">
        <v>31</v>
      </c>
    </row>
    <row r="410" spans="1:15" x14ac:dyDescent="0.35">
      <c r="A410">
        <v>1409</v>
      </c>
      <c r="B410" t="s">
        <v>437</v>
      </c>
      <c r="C410" s="1">
        <v>45651</v>
      </c>
      <c r="D410" s="1">
        <v>45670</v>
      </c>
      <c r="E410" s="1">
        <v>45675</v>
      </c>
      <c r="F410" t="s">
        <v>29</v>
      </c>
      <c r="G410" t="s">
        <v>22</v>
      </c>
      <c r="H410" t="s">
        <v>30</v>
      </c>
      <c r="I410">
        <v>19</v>
      </c>
      <c r="J410">
        <v>5</v>
      </c>
      <c r="K410">
        <v>7731</v>
      </c>
      <c r="L410">
        <v>38655</v>
      </c>
      <c r="M410" t="s">
        <v>51</v>
      </c>
      <c r="N410">
        <v>1</v>
      </c>
      <c r="O410" t="s">
        <v>25</v>
      </c>
    </row>
    <row r="411" spans="1:15" x14ac:dyDescent="0.35">
      <c r="A411">
        <v>1410</v>
      </c>
      <c r="B411" t="s">
        <v>408</v>
      </c>
      <c r="C411" s="1">
        <v>45539</v>
      </c>
      <c r="D411" s="1">
        <v>45551</v>
      </c>
      <c r="E411" s="1">
        <v>45554</v>
      </c>
      <c r="F411" t="s">
        <v>21</v>
      </c>
      <c r="G411" t="s">
        <v>39</v>
      </c>
      <c r="H411" t="s">
        <v>46</v>
      </c>
      <c r="I411">
        <v>12</v>
      </c>
      <c r="J411">
        <v>3</v>
      </c>
      <c r="K411">
        <v>4583</v>
      </c>
      <c r="L411">
        <v>13749</v>
      </c>
      <c r="M411" t="s">
        <v>24</v>
      </c>
      <c r="N411">
        <v>1</v>
      </c>
      <c r="O411" t="s">
        <v>31</v>
      </c>
    </row>
    <row r="412" spans="1:15" x14ac:dyDescent="0.35">
      <c r="A412">
        <v>1411</v>
      </c>
      <c r="B412" t="s">
        <v>438</v>
      </c>
      <c r="C412" s="1">
        <v>45655</v>
      </c>
      <c r="D412" s="1">
        <v>45671</v>
      </c>
      <c r="E412" s="1">
        <v>45676</v>
      </c>
      <c r="F412" t="s">
        <v>38</v>
      </c>
      <c r="G412" t="s">
        <v>39</v>
      </c>
      <c r="H412" t="s">
        <v>30</v>
      </c>
      <c r="I412">
        <v>16</v>
      </c>
      <c r="J412">
        <v>5</v>
      </c>
      <c r="K412">
        <v>4540</v>
      </c>
      <c r="L412">
        <v>22700</v>
      </c>
      <c r="M412" t="s">
        <v>24</v>
      </c>
      <c r="N412">
        <v>0</v>
      </c>
      <c r="O412" t="s">
        <v>25</v>
      </c>
    </row>
    <row r="413" spans="1:15" x14ac:dyDescent="0.35">
      <c r="A413">
        <v>1412</v>
      </c>
      <c r="B413" t="s">
        <v>439</v>
      </c>
      <c r="C413" s="1">
        <v>45612</v>
      </c>
      <c r="D413" s="1">
        <v>45671</v>
      </c>
      <c r="E413" s="1">
        <v>45676</v>
      </c>
      <c r="F413" t="s">
        <v>38</v>
      </c>
      <c r="G413" t="s">
        <v>22</v>
      </c>
      <c r="H413" t="s">
        <v>30</v>
      </c>
      <c r="I413">
        <v>59</v>
      </c>
      <c r="J413">
        <v>5</v>
      </c>
      <c r="K413">
        <v>7034</v>
      </c>
      <c r="L413">
        <v>35170</v>
      </c>
      <c r="M413" t="s">
        <v>24</v>
      </c>
      <c r="N413">
        <v>1</v>
      </c>
      <c r="O413" t="s">
        <v>31</v>
      </c>
    </row>
    <row r="414" spans="1:15" x14ac:dyDescent="0.35">
      <c r="A414">
        <v>1413</v>
      </c>
      <c r="B414" t="s">
        <v>440</v>
      </c>
      <c r="C414" s="1">
        <v>45412</v>
      </c>
      <c r="D414" s="1">
        <v>45455</v>
      </c>
      <c r="E414" s="1">
        <v>45459</v>
      </c>
      <c r="F414" t="s">
        <v>29</v>
      </c>
      <c r="G414" t="s">
        <v>22</v>
      </c>
      <c r="H414" t="s">
        <v>23</v>
      </c>
      <c r="I414">
        <v>43</v>
      </c>
      <c r="J414">
        <v>4</v>
      </c>
      <c r="K414">
        <v>4252</v>
      </c>
      <c r="L414">
        <v>17008</v>
      </c>
      <c r="M414" t="s">
        <v>51</v>
      </c>
      <c r="N414">
        <v>1</v>
      </c>
      <c r="O414" t="s">
        <v>25</v>
      </c>
    </row>
    <row r="415" spans="1:15" x14ac:dyDescent="0.35">
      <c r="A415">
        <v>1414</v>
      </c>
      <c r="B415" t="s">
        <v>441</v>
      </c>
      <c r="C415" s="1">
        <v>45577</v>
      </c>
      <c r="D415" s="1">
        <v>45587</v>
      </c>
      <c r="E415" s="1">
        <v>45588</v>
      </c>
      <c r="F415" t="s">
        <v>21</v>
      </c>
      <c r="G415" t="s">
        <v>22</v>
      </c>
      <c r="H415" t="s">
        <v>30</v>
      </c>
      <c r="I415">
        <v>10</v>
      </c>
      <c r="J415">
        <v>1</v>
      </c>
      <c r="K415">
        <v>4115</v>
      </c>
      <c r="L415">
        <v>4115</v>
      </c>
      <c r="M415" t="s">
        <v>24</v>
      </c>
      <c r="N415">
        <v>0</v>
      </c>
      <c r="O415" t="s">
        <v>31</v>
      </c>
    </row>
    <row r="416" spans="1:15" x14ac:dyDescent="0.35">
      <c r="A416">
        <v>1415</v>
      </c>
      <c r="B416" t="s">
        <v>442</v>
      </c>
      <c r="C416" s="1">
        <v>45440</v>
      </c>
      <c r="D416" s="1">
        <v>45465</v>
      </c>
      <c r="E416" s="1">
        <v>45469</v>
      </c>
      <c r="F416" t="s">
        <v>29</v>
      </c>
      <c r="G416" t="s">
        <v>39</v>
      </c>
      <c r="H416" t="s">
        <v>46</v>
      </c>
      <c r="I416">
        <v>25</v>
      </c>
      <c r="J416">
        <v>4</v>
      </c>
      <c r="K416">
        <v>4349</v>
      </c>
      <c r="L416">
        <v>17396</v>
      </c>
      <c r="M416" t="s">
        <v>51</v>
      </c>
      <c r="N416">
        <v>1</v>
      </c>
      <c r="O416" t="s">
        <v>25</v>
      </c>
    </row>
    <row r="417" spans="1:15" x14ac:dyDescent="0.35">
      <c r="A417">
        <v>1416</v>
      </c>
      <c r="B417" t="s">
        <v>443</v>
      </c>
      <c r="C417" s="1">
        <v>45375</v>
      </c>
      <c r="D417" s="1">
        <v>45395</v>
      </c>
      <c r="E417" s="1">
        <v>45399</v>
      </c>
      <c r="F417" t="s">
        <v>60</v>
      </c>
      <c r="G417" t="s">
        <v>39</v>
      </c>
      <c r="H417" t="s">
        <v>46</v>
      </c>
      <c r="I417">
        <v>20</v>
      </c>
      <c r="J417">
        <v>4</v>
      </c>
      <c r="K417">
        <v>5142</v>
      </c>
      <c r="L417">
        <v>20568</v>
      </c>
      <c r="M417" t="s">
        <v>24</v>
      </c>
      <c r="N417">
        <v>0</v>
      </c>
      <c r="O417" t="s">
        <v>25</v>
      </c>
    </row>
    <row r="418" spans="1:15" x14ac:dyDescent="0.35">
      <c r="A418">
        <v>1417</v>
      </c>
      <c r="B418" t="s">
        <v>404</v>
      </c>
      <c r="C418" s="1">
        <v>45522</v>
      </c>
      <c r="D418" s="1">
        <v>45553</v>
      </c>
      <c r="E418" s="1">
        <v>45558</v>
      </c>
      <c r="F418" t="s">
        <v>35</v>
      </c>
      <c r="G418" t="s">
        <v>22</v>
      </c>
      <c r="H418" t="s">
        <v>30</v>
      </c>
      <c r="I418">
        <v>31</v>
      </c>
      <c r="J418">
        <v>5</v>
      </c>
      <c r="K418">
        <v>4100</v>
      </c>
      <c r="L418">
        <v>20500</v>
      </c>
      <c r="M418" t="s">
        <v>24</v>
      </c>
      <c r="N418">
        <v>1</v>
      </c>
      <c r="O418" t="s">
        <v>25</v>
      </c>
    </row>
    <row r="419" spans="1:15" x14ac:dyDescent="0.35">
      <c r="A419">
        <v>1418</v>
      </c>
      <c r="B419" t="s">
        <v>444</v>
      </c>
      <c r="C419" s="1">
        <v>45579</v>
      </c>
      <c r="D419" s="1">
        <v>45583</v>
      </c>
      <c r="E419" s="1">
        <v>45588</v>
      </c>
      <c r="F419" t="s">
        <v>60</v>
      </c>
      <c r="G419" t="s">
        <v>39</v>
      </c>
      <c r="H419" t="s">
        <v>23</v>
      </c>
      <c r="I419">
        <v>4</v>
      </c>
      <c r="J419">
        <v>5</v>
      </c>
      <c r="K419">
        <v>5896</v>
      </c>
      <c r="L419">
        <v>29480</v>
      </c>
      <c r="M419" t="s">
        <v>24</v>
      </c>
      <c r="N419">
        <v>0</v>
      </c>
      <c r="O419" t="s">
        <v>31</v>
      </c>
    </row>
    <row r="420" spans="1:15" x14ac:dyDescent="0.35">
      <c r="A420">
        <v>1419</v>
      </c>
      <c r="B420" t="s">
        <v>445</v>
      </c>
      <c r="C420" s="1">
        <v>45452</v>
      </c>
      <c r="D420" s="1">
        <v>45496</v>
      </c>
      <c r="E420" s="1">
        <v>45499</v>
      </c>
      <c r="F420" t="s">
        <v>60</v>
      </c>
      <c r="G420" t="s">
        <v>39</v>
      </c>
      <c r="H420" t="s">
        <v>46</v>
      </c>
      <c r="I420">
        <v>44</v>
      </c>
      <c r="J420">
        <v>3</v>
      </c>
      <c r="K420">
        <v>8259</v>
      </c>
      <c r="L420">
        <v>24777</v>
      </c>
      <c r="M420" t="s">
        <v>51</v>
      </c>
      <c r="N420">
        <v>1</v>
      </c>
      <c r="O420" t="s">
        <v>25</v>
      </c>
    </row>
    <row r="421" spans="1:15" x14ac:dyDescent="0.35">
      <c r="A421">
        <v>1420</v>
      </c>
      <c r="B421" t="s">
        <v>251</v>
      </c>
      <c r="C421" s="1">
        <v>45563</v>
      </c>
      <c r="D421" s="1">
        <v>45586</v>
      </c>
      <c r="E421" s="1">
        <v>45589</v>
      </c>
      <c r="F421" t="s">
        <v>38</v>
      </c>
      <c r="G421" t="s">
        <v>39</v>
      </c>
      <c r="H421" t="s">
        <v>46</v>
      </c>
      <c r="I421">
        <v>23</v>
      </c>
      <c r="J421">
        <v>3</v>
      </c>
      <c r="K421">
        <v>6902</v>
      </c>
      <c r="L421">
        <v>20706</v>
      </c>
      <c r="M421" t="s">
        <v>51</v>
      </c>
      <c r="N421">
        <v>1</v>
      </c>
      <c r="O421" t="s">
        <v>31</v>
      </c>
    </row>
    <row r="422" spans="1:15" x14ac:dyDescent="0.35">
      <c r="A422">
        <v>1421</v>
      </c>
      <c r="B422" t="s">
        <v>446</v>
      </c>
      <c r="C422" s="1">
        <v>45329</v>
      </c>
      <c r="D422" s="1">
        <v>45331</v>
      </c>
      <c r="E422" s="1">
        <v>45335</v>
      </c>
      <c r="F422" t="s">
        <v>60</v>
      </c>
      <c r="G422" t="s">
        <v>39</v>
      </c>
      <c r="H422" t="s">
        <v>23</v>
      </c>
      <c r="I422">
        <v>2</v>
      </c>
      <c r="J422">
        <v>4</v>
      </c>
      <c r="K422">
        <v>6105</v>
      </c>
      <c r="L422">
        <v>24420</v>
      </c>
      <c r="M422" t="s">
        <v>24</v>
      </c>
      <c r="N422">
        <v>1</v>
      </c>
      <c r="O422" t="s">
        <v>31</v>
      </c>
    </row>
    <row r="423" spans="1:15" x14ac:dyDescent="0.35">
      <c r="A423">
        <v>1422</v>
      </c>
      <c r="B423" t="s">
        <v>447</v>
      </c>
      <c r="C423" s="1">
        <v>45517</v>
      </c>
      <c r="D423" s="1">
        <v>45573</v>
      </c>
      <c r="E423" s="1">
        <v>45575</v>
      </c>
      <c r="F423" t="s">
        <v>21</v>
      </c>
      <c r="G423" t="s">
        <v>22</v>
      </c>
      <c r="H423" t="s">
        <v>30</v>
      </c>
      <c r="I423">
        <v>56</v>
      </c>
      <c r="J423">
        <v>2</v>
      </c>
      <c r="K423">
        <v>6299</v>
      </c>
      <c r="L423">
        <v>12598</v>
      </c>
      <c r="M423" t="s">
        <v>51</v>
      </c>
      <c r="N423">
        <v>0</v>
      </c>
      <c r="O423" t="s">
        <v>31</v>
      </c>
    </row>
    <row r="424" spans="1:15" x14ac:dyDescent="0.35">
      <c r="A424">
        <v>1423</v>
      </c>
      <c r="B424" t="s">
        <v>448</v>
      </c>
      <c r="C424" s="1">
        <v>45433</v>
      </c>
      <c r="D424" s="1">
        <v>45455</v>
      </c>
      <c r="E424" s="1">
        <v>45457</v>
      </c>
      <c r="F424" t="s">
        <v>60</v>
      </c>
      <c r="G424" t="s">
        <v>22</v>
      </c>
      <c r="H424" t="s">
        <v>46</v>
      </c>
      <c r="I424">
        <v>22</v>
      </c>
      <c r="J424">
        <v>2</v>
      </c>
      <c r="K424">
        <v>3118</v>
      </c>
      <c r="L424">
        <v>6236</v>
      </c>
      <c r="M424" t="s">
        <v>24</v>
      </c>
      <c r="N424">
        <v>0</v>
      </c>
      <c r="O424" t="s">
        <v>25</v>
      </c>
    </row>
    <row r="425" spans="1:15" x14ac:dyDescent="0.35">
      <c r="A425">
        <v>1424</v>
      </c>
      <c r="B425" t="s">
        <v>449</v>
      </c>
      <c r="C425" s="1">
        <v>45583</v>
      </c>
      <c r="D425" s="1">
        <v>45634</v>
      </c>
      <c r="E425" s="1">
        <v>45637</v>
      </c>
      <c r="F425" t="s">
        <v>21</v>
      </c>
      <c r="G425" t="s">
        <v>22</v>
      </c>
      <c r="H425" t="s">
        <v>30</v>
      </c>
      <c r="I425">
        <v>51</v>
      </c>
      <c r="J425">
        <v>3</v>
      </c>
      <c r="K425">
        <v>3632</v>
      </c>
      <c r="L425">
        <v>10896</v>
      </c>
      <c r="M425" t="s">
        <v>24</v>
      </c>
      <c r="N425">
        <v>1</v>
      </c>
      <c r="O425" t="s">
        <v>31</v>
      </c>
    </row>
    <row r="426" spans="1:15" x14ac:dyDescent="0.35">
      <c r="A426">
        <v>1425</v>
      </c>
      <c r="B426" t="s">
        <v>219</v>
      </c>
      <c r="C426" s="1">
        <v>45442</v>
      </c>
      <c r="D426" s="1">
        <v>45499</v>
      </c>
      <c r="E426" s="1">
        <v>45501</v>
      </c>
      <c r="F426" t="s">
        <v>29</v>
      </c>
      <c r="G426" t="s">
        <v>39</v>
      </c>
      <c r="H426" t="s">
        <v>30</v>
      </c>
      <c r="I426">
        <v>57</v>
      </c>
      <c r="J426">
        <v>2</v>
      </c>
      <c r="K426">
        <v>7991</v>
      </c>
      <c r="L426">
        <v>15982</v>
      </c>
      <c r="M426" t="s">
        <v>24</v>
      </c>
      <c r="N426">
        <v>0</v>
      </c>
      <c r="O426" t="s">
        <v>31</v>
      </c>
    </row>
    <row r="427" spans="1:15" x14ac:dyDescent="0.35">
      <c r="A427">
        <v>1426</v>
      </c>
      <c r="B427" t="s">
        <v>395</v>
      </c>
      <c r="C427" s="1">
        <v>45405</v>
      </c>
      <c r="D427" s="1">
        <v>45442</v>
      </c>
      <c r="E427" s="1">
        <v>45445</v>
      </c>
      <c r="F427" t="s">
        <v>38</v>
      </c>
      <c r="G427" t="s">
        <v>39</v>
      </c>
      <c r="H427" t="s">
        <v>30</v>
      </c>
      <c r="I427">
        <v>37</v>
      </c>
      <c r="J427">
        <v>3</v>
      </c>
      <c r="K427">
        <v>8824</v>
      </c>
      <c r="L427">
        <v>26472</v>
      </c>
      <c r="M427" t="s">
        <v>24</v>
      </c>
      <c r="N427">
        <v>0</v>
      </c>
      <c r="O427" t="s">
        <v>31</v>
      </c>
    </row>
    <row r="428" spans="1:15" x14ac:dyDescent="0.35">
      <c r="A428">
        <v>1427</v>
      </c>
      <c r="B428" t="s">
        <v>450</v>
      </c>
      <c r="C428" s="1">
        <v>45528</v>
      </c>
      <c r="D428" s="1">
        <v>45536</v>
      </c>
      <c r="E428" s="1">
        <v>45541</v>
      </c>
      <c r="F428" t="s">
        <v>21</v>
      </c>
      <c r="G428" t="s">
        <v>39</v>
      </c>
      <c r="H428" t="s">
        <v>30</v>
      </c>
      <c r="I428">
        <v>8</v>
      </c>
      <c r="J428">
        <v>5</v>
      </c>
      <c r="K428">
        <v>7975</v>
      </c>
      <c r="L428">
        <v>39875</v>
      </c>
      <c r="M428" t="s">
        <v>51</v>
      </c>
      <c r="N428">
        <v>0</v>
      </c>
      <c r="O428" t="s">
        <v>25</v>
      </c>
    </row>
    <row r="429" spans="1:15" x14ac:dyDescent="0.35">
      <c r="A429">
        <v>1428</v>
      </c>
      <c r="B429" t="s">
        <v>174</v>
      </c>
      <c r="C429" s="1">
        <v>45357</v>
      </c>
      <c r="D429" s="1">
        <v>45364</v>
      </c>
      <c r="E429" s="1">
        <v>45368</v>
      </c>
      <c r="F429" t="s">
        <v>60</v>
      </c>
      <c r="G429" t="s">
        <v>39</v>
      </c>
      <c r="H429" t="s">
        <v>46</v>
      </c>
      <c r="I429">
        <v>7</v>
      </c>
      <c r="J429">
        <v>4</v>
      </c>
      <c r="K429">
        <v>8295</v>
      </c>
      <c r="L429">
        <v>33180</v>
      </c>
      <c r="M429" t="s">
        <v>24</v>
      </c>
      <c r="N429">
        <v>0</v>
      </c>
      <c r="O429" t="s">
        <v>31</v>
      </c>
    </row>
    <row r="430" spans="1:15" x14ac:dyDescent="0.35">
      <c r="A430">
        <v>1429</v>
      </c>
      <c r="B430" t="s">
        <v>451</v>
      </c>
      <c r="C430" s="1">
        <v>45652</v>
      </c>
      <c r="D430" s="1">
        <v>45666</v>
      </c>
      <c r="E430" s="1">
        <v>45667</v>
      </c>
      <c r="F430" t="s">
        <v>38</v>
      </c>
      <c r="G430" t="s">
        <v>22</v>
      </c>
      <c r="H430" t="s">
        <v>23</v>
      </c>
      <c r="I430">
        <v>14</v>
      </c>
      <c r="J430">
        <v>1</v>
      </c>
      <c r="K430">
        <v>4615</v>
      </c>
      <c r="L430">
        <v>4615</v>
      </c>
      <c r="M430" t="s">
        <v>51</v>
      </c>
      <c r="N430">
        <v>0</v>
      </c>
      <c r="O430" t="s">
        <v>31</v>
      </c>
    </row>
    <row r="431" spans="1:15" x14ac:dyDescent="0.35">
      <c r="A431">
        <v>1430</v>
      </c>
      <c r="B431" t="s">
        <v>452</v>
      </c>
      <c r="C431" s="1">
        <v>45632</v>
      </c>
      <c r="D431" s="1">
        <v>45688</v>
      </c>
      <c r="E431" s="1">
        <v>45692</v>
      </c>
      <c r="F431" t="s">
        <v>38</v>
      </c>
      <c r="G431" t="s">
        <v>39</v>
      </c>
      <c r="H431" t="s">
        <v>46</v>
      </c>
      <c r="I431">
        <v>56</v>
      </c>
      <c r="J431">
        <v>4</v>
      </c>
      <c r="K431">
        <v>4839</v>
      </c>
      <c r="L431">
        <v>19356</v>
      </c>
      <c r="M431" t="s">
        <v>24</v>
      </c>
      <c r="N431">
        <v>1</v>
      </c>
      <c r="O431" t="s">
        <v>31</v>
      </c>
    </row>
    <row r="432" spans="1:15" x14ac:dyDescent="0.35">
      <c r="A432">
        <v>1431</v>
      </c>
      <c r="B432" t="s">
        <v>18</v>
      </c>
      <c r="C432" s="1">
        <v>45549</v>
      </c>
      <c r="D432" s="1">
        <v>45604</v>
      </c>
      <c r="E432" s="1">
        <v>45607</v>
      </c>
      <c r="F432" t="s">
        <v>21</v>
      </c>
      <c r="G432" t="s">
        <v>39</v>
      </c>
      <c r="H432" t="s">
        <v>23</v>
      </c>
      <c r="I432">
        <v>55</v>
      </c>
      <c r="J432">
        <v>3</v>
      </c>
      <c r="K432">
        <v>5239</v>
      </c>
      <c r="L432">
        <v>15717</v>
      </c>
      <c r="M432" t="s">
        <v>24</v>
      </c>
      <c r="N432">
        <v>1</v>
      </c>
      <c r="O432" t="s">
        <v>31</v>
      </c>
    </row>
    <row r="433" spans="1:15" x14ac:dyDescent="0.35">
      <c r="A433">
        <v>1432</v>
      </c>
      <c r="B433" t="s">
        <v>453</v>
      </c>
      <c r="C433" s="1">
        <v>45540</v>
      </c>
      <c r="D433" s="1">
        <v>45543</v>
      </c>
      <c r="E433" s="1">
        <v>45546</v>
      </c>
      <c r="F433" t="s">
        <v>21</v>
      </c>
      <c r="G433" t="s">
        <v>22</v>
      </c>
      <c r="H433" t="s">
        <v>30</v>
      </c>
      <c r="I433">
        <v>3</v>
      </c>
      <c r="J433">
        <v>3</v>
      </c>
      <c r="K433">
        <v>6776</v>
      </c>
      <c r="L433">
        <v>20328</v>
      </c>
      <c r="M433" t="s">
        <v>24</v>
      </c>
      <c r="N433">
        <v>0</v>
      </c>
      <c r="O433" t="s">
        <v>25</v>
      </c>
    </row>
    <row r="434" spans="1:15" x14ac:dyDescent="0.35">
      <c r="A434">
        <v>1433</v>
      </c>
      <c r="B434" t="s">
        <v>454</v>
      </c>
      <c r="C434" s="1">
        <v>45622</v>
      </c>
      <c r="D434" s="1">
        <v>45672</v>
      </c>
      <c r="E434" s="1">
        <v>45676</v>
      </c>
      <c r="F434" t="s">
        <v>35</v>
      </c>
      <c r="G434" t="s">
        <v>22</v>
      </c>
      <c r="H434" t="s">
        <v>23</v>
      </c>
      <c r="I434">
        <v>50</v>
      </c>
      <c r="J434">
        <v>4</v>
      </c>
      <c r="K434">
        <v>3987</v>
      </c>
      <c r="L434">
        <v>15948</v>
      </c>
      <c r="M434" t="s">
        <v>24</v>
      </c>
      <c r="N434">
        <v>1</v>
      </c>
      <c r="O434" t="s">
        <v>25</v>
      </c>
    </row>
    <row r="435" spans="1:15" x14ac:dyDescent="0.35">
      <c r="A435">
        <v>1434</v>
      </c>
      <c r="B435" t="s">
        <v>455</v>
      </c>
      <c r="C435" s="1">
        <v>45614</v>
      </c>
      <c r="D435" s="1">
        <v>45630</v>
      </c>
      <c r="E435" s="1">
        <v>45633</v>
      </c>
      <c r="F435" t="s">
        <v>35</v>
      </c>
      <c r="G435" t="s">
        <v>22</v>
      </c>
      <c r="H435" t="s">
        <v>30</v>
      </c>
      <c r="I435">
        <v>16</v>
      </c>
      <c r="J435">
        <v>3</v>
      </c>
      <c r="K435">
        <v>7509</v>
      </c>
      <c r="L435">
        <v>22527</v>
      </c>
      <c r="M435" t="s">
        <v>24</v>
      </c>
      <c r="N435">
        <v>1</v>
      </c>
      <c r="O435" t="s">
        <v>31</v>
      </c>
    </row>
    <row r="436" spans="1:15" x14ac:dyDescent="0.35">
      <c r="A436">
        <v>1435</v>
      </c>
      <c r="B436" t="s">
        <v>456</v>
      </c>
      <c r="C436" s="1">
        <v>45471</v>
      </c>
      <c r="D436" s="1">
        <v>45526</v>
      </c>
      <c r="E436" s="1">
        <v>45528</v>
      </c>
      <c r="F436" t="s">
        <v>38</v>
      </c>
      <c r="G436" t="s">
        <v>39</v>
      </c>
      <c r="H436" t="s">
        <v>46</v>
      </c>
      <c r="I436">
        <v>55</v>
      </c>
      <c r="J436">
        <v>2</v>
      </c>
      <c r="K436">
        <v>4057</v>
      </c>
      <c r="L436">
        <v>8114</v>
      </c>
      <c r="M436" t="s">
        <v>51</v>
      </c>
      <c r="N436">
        <v>1</v>
      </c>
      <c r="O436" t="s">
        <v>31</v>
      </c>
    </row>
    <row r="437" spans="1:15" x14ac:dyDescent="0.35">
      <c r="A437">
        <v>1436</v>
      </c>
      <c r="B437" t="s">
        <v>304</v>
      </c>
      <c r="C437" s="1">
        <v>45481</v>
      </c>
      <c r="D437" s="1">
        <v>45500</v>
      </c>
      <c r="E437" s="1">
        <v>45502</v>
      </c>
      <c r="F437" t="s">
        <v>35</v>
      </c>
      <c r="G437" t="s">
        <v>39</v>
      </c>
      <c r="H437" t="s">
        <v>46</v>
      </c>
      <c r="I437">
        <v>19</v>
      </c>
      <c r="J437">
        <v>2</v>
      </c>
      <c r="K437">
        <v>4613</v>
      </c>
      <c r="L437">
        <v>9226</v>
      </c>
      <c r="M437" t="s">
        <v>51</v>
      </c>
      <c r="N437">
        <v>0</v>
      </c>
      <c r="O437" t="s">
        <v>31</v>
      </c>
    </row>
    <row r="438" spans="1:15" x14ac:dyDescent="0.35">
      <c r="A438">
        <v>1437</v>
      </c>
      <c r="B438" t="s">
        <v>457</v>
      </c>
      <c r="C438" s="1">
        <v>45445</v>
      </c>
      <c r="D438" s="1">
        <v>45496</v>
      </c>
      <c r="E438" s="1">
        <v>45499</v>
      </c>
      <c r="F438" t="s">
        <v>60</v>
      </c>
      <c r="G438" t="s">
        <v>39</v>
      </c>
      <c r="H438" t="s">
        <v>23</v>
      </c>
      <c r="I438">
        <v>51</v>
      </c>
      <c r="J438">
        <v>3</v>
      </c>
      <c r="K438">
        <v>3544</v>
      </c>
      <c r="L438">
        <v>10632</v>
      </c>
      <c r="M438" t="s">
        <v>24</v>
      </c>
      <c r="N438">
        <v>1</v>
      </c>
      <c r="O438" t="s">
        <v>31</v>
      </c>
    </row>
    <row r="439" spans="1:15" x14ac:dyDescent="0.35">
      <c r="A439">
        <v>1438</v>
      </c>
      <c r="B439" t="s">
        <v>458</v>
      </c>
      <c r="C439" s="1">
        <v>45487</v>
      </c>
      <c r="D439" s="1">
        <v>45505</v>
      </c>
      <c r="E439" s="1">
        <v>45508</v>
      </c>
      <c r="F439" t="s">
        <v>29</v>
      </c>
      <c r="G439" t="s">
        <v>39</v>
      </c>
      <c r="H439" t="s">
        <v>30</v>
      </c>
      <c r="I439">
        <v>18</v>
      </c>
      <c r="J439">
        <v>3</v>
      </c>
      <c r="K439">
        <v>8231</v>
      </c>
      <c r="L439">
        <v>24693</v>
      </c>
      <c r="M439" t="s">
        <v>51</v>
      </c>
      <c r="N439">
        <v>1</v>
      </c>
      <c r="O439" t="s">
        <v>25</v>
      </c>
    </row>
    <row r="440" spans="1:15" x14ac:dyDescent="0.35">
      <c r="A440">
        <v>1439</v>
      </c>
      <c r="B440" t="s">
        <v>459</v>
      </c>
      <c r="C440" s="1">
        <v>45602</v>
      </c>
      <c r="D440" s="1">
        <v>45654</v>
      </c>
      <c r="E440" s="1">
        <v>45656</v>
      </c>
      <c r="F440" t="s">
        <v>38</v>
      </c>
      <c r="G440" t="s">
        <v>39</v>
      </c>
      <c r="H440" t="s">
        <v>30</v>
      </c>
      <c r="I440">
        <v>52</v>
      </c>
      <c r="J440">
        <v>2</v>
      </c>
      <c r="K440">
        <v>4931</v>
      </c>
      <c r="L440">
        <v>9862</v>
      </c>
      <c r="M440" t="s">
        <v>51</v>
      </c>
      <c r="N440">
        <v>0</v>
      </c>
      <c r="O440" t="s">
        <v>25</v>
      </c>
    </row>
    <row r="441" spans="1:15" x14ac:dyDescent="0.35">
      <c r="A441">
        <v>1440</v>
      </c>
      <c r="B441" t="s">
        <v>460</v>
      </c>
      <c r="C441" s="1">
        <v>45553</v>
      </c>
      <c r="D441" s="1">
        <v>45569</v>
      </c>
      <c r="E441" s="1">
        <v>45572</v>
      </c>
      <c r="F441" t="s">
        <v>29</v>
      </c>
      <c r="G441" t="s">
        <v>39</v>
      </c>
      <c r="H441" t="s">
        <v>23</v>
      </c>
      <c r="I441">
        <v>16</v>
      </c>
      <c r="J441">
        <v>3</v>
      </c>
      <c r="K441">
        <v>8234</v>
      </c>
      <c r="L441">
        <v>24702</v>
      </c>
      <c r="M441" t="s">
        <v>24</v>
      </c>
      <c r="N441">
        <v>1</v>
      </c>
      <c r="O441" t="s">
        <v>25</v>
      </c>
    </row>
    <row r="442" spans="1:15" x14ac:dyDescent="0.35">
      <c r="A442">
        <v>1441</v>
      </c>
      <c r="B442" t="s">
        <v>461</v>
      </c>
      <c r="C442" s="1">
        <v>45434</v>
      </c>
      <c r="D442" s="1">
        <v>45442</v>
      </c>
      <c r="E442" s="1">
        <v>45445</v>
      </c>
      <c r="F442" t="s">
        <v>35</v>
      </c>
      <c r="G442" t="s">
        <v>22</v>
      </c>
      <c r="H442" t="s">
        <v>30</v>
      </c>
      <c r="I442">
        <v>8</v>
      </c>
      <c r="J442">
        <v>3</v>
      </c>
      <c r="K442">
        <v>4082</v>
      </c>
      <c r="L442">
        <v>12246</v>
      </c>
      <c r="M442" t="s">
        <v>24</v>
      </c>
      <c r="N442">
        <v>1</v>
      </c>
      <c r="O442" t="s">
        <v>25</v>
      </c>
    </row>
    <row r="443" spans="1:15" x14ac:dyDescent="0.35">
      <c r="A443">
        <v>1442</v>
      </c>
      <c r="B443" t="s">
        <v>462</v>
      </c>
      <c r="C443" s="1">
        <v>45633</v>
      </c>
      <c r="D443" s="1">
        <v>45666</v>
      </c>
      <c r="E443" s="1">
        <v>45670</v>
      </c>
      <c r="F443" t="s">
        <v>21</v>
      </c>
      <c r="G443" t="s">
        <v>39</v>
      </c>
      <c r="H443" t="s">
        <v>30</v>
      </c>
      <c r="I443">
        <v>33</v>
      </c>
      <c r="J443">
        <v>4</v>
      </c>
      <c r="K443">
        <v>8682</v>
      </c>
      <c r="L443">
        <v>34728</v>
      </c>
      <c r="M443" t="s">
        <v>24</v>
      </c>
      <c r="N443">
        <v>0</v>
      </c>
      <c r="O443" t="s">
        <v>31</v>
      </c>
    </row>
    <row r="444" spans="1:15" x14ac:dyDescent="0.35">
      <c r="A444">
        <v>1443</v>
      </c>
      <c r="B444" t="s">
        <v>463</v>
      </c>
      <c r="C444" s="1">
        <v>45607</v>
      </c>
      <c r="D444" s="1">
        <v>45656</v>
      </c>
      <c r="E444" s="1">
        <v>45657</v>
      </c>
      <c r="F444" t="s">
        <v>38</v>
      </c>
      <c r="G444" t="s">
        <v>22</v>
      </c>
      <c r="H444" t="s">
        <v>30</v>
      </c>
      <c r="I444">
        <v>49</v>
      </c>
      <c r="J444">
        <v>1</v>
      </c>
      <c r="K444">
        <v>3808</v>
      </c>
      <c r="L444">
        <v>3808</v>
      </c>
      <c r="M444" t="s">
        <v>24</v>
      </c>
      <c r="N444">
        <v>1</v>
      </c>
      <c r="O444" t="s">
        <v>31</v>
      </c>
    </row>
    <row r="445" spans="1:15" x14ac:dyDescent="0.35">
      <c r="A445">
        <v>1444</v>
      </c>
      <c r="B445" t="s">
        <v>464</v>
      </c>
      <c r="C445" s="1">
        <v>45392</v>
      </c>
      <c r="D445" s="1">
        <v>45404</v>
      </c>
      <c r="E445" s="1">
        <v>45406</v>
      </c>
      <c r="F445" t="s">
        <v>35</v>
      </c>
      <c r="G445" t="s">
        <v>22</v>
      </c>
      <c r="H445" t="s">
        <v>46</v>
      </c>
      <c r="I445">
        <v>12</v>
      </c>
      <c r="J445">
        <v>2</v>
      </c>
      <c r="K445">
        <v>7417</v>
      </c>
      <c r="L445">
        <v>14834</v>
      </c>
      <c r="M445" t="s">
        <v>51</v>
      </c>
      <c r="N445">
        <v>1</v>
      </c>
      <c r="O445" t="s">
        <v>25</v>
      </c>
    </row>
    <row r="446" spans="1:15" x14ac:dyDescent="0.35">
      <c r="A446">
        <v>1445</v>
      </c>
      <c r="B446" t="s">
        <v>465</v>
      </c>
      <c r="C446" s="1">
        <v>45535</v>
      </c>
      <c r="D446" s="1">
        <v>45588</v>
      </c>
      <c r="E446" s="1">
        <v>45592</v>
      </c>
      <c r="F446" t="s">
        <v>60</v>
      </c>
      <c r="G446" t="s">
        <v>22</v>
      </c>
      <c r="H446" t="s">
        <v>46</v>
      </c>
      <c r="I446">
        <v>53</v>
      </c>
      <c r="J446">
        <v>4</v>
      </c>
      <c r="K446">
        <v>3101</v>
      </c>
      <c r="L446">
        <v>12404</v>
      </c>
      <c r="M446" t="s">
        <v>51</v>
      </c>
      <c r="N446">
        <v>1</v>
      </c>
      <c r="O446" t="s">
        <v>25</v>
      </c>
    </row>
    <row r="447" spans="1:15" x14ac:dyDescent="0.35">
      <c r="A447">
        <v>1446</v>
      </c>
      <c r="B447" t="s">
        <v>154</v>
      </c>
      <c r="C447" s="1">
        <v>45303</v>
      </c>
      <c r="D447" s="1">
        <v>45314</v>
      </c>
      <c r="E447" s="1">
        <v>45315</v>
      </c>
      <c r="F447" t="s">
        <v>38</v>
      </c>
      <c r="G447" t="s">
        <v>39</v>
      </c>
      <c r="H447" t="s">
        <v>46</v>
      </c>
      <c r="I447">
        <v>11</v>
      </c>
      <c r="J447">
        <v>1</v>
      </c>
      <c r="K447">
        <v>4120</v>
      </c>
      <c r="L447">
        <v>4120</v>
      </c>
      <c r="M447" t="s">
        <v>51</v>
      </c>
      <c r="N447">
        <v>0</v>
      </c>
      <c r="O447" t="s">
        <v>31</v>
      </c>
    </row>
    <row r="448" spans="1:15" x14ac:dyDescent="0.35">
      <c r="A448">
        <v>1447</v>
      </c>
      <c r="B448" t="s">
        <v>466</v>
      </c>
      <c r="C448" s="1">
        <v>45530</v>
      </c>
      <c r="D448" s="1">
        <v>45535</v>
      </c>
      <c r="E448" s="1">
        <v>45538</v>
      </c>
      <c r="F448" t="s">
        <v>38</v>
      </c>
      <c r="G448" t="s">
        <v>39</v>
      </c>
      <c r="H448" t="s">
        <v>30</v>
      </c>
      <c r="I448">
        <v>5</v>
      </c>
      <c r="J448">
        <v>3</v>
      </c>
      <c r="K448">
        <v>7380</v>
      </c>
      <c r="L448">
        <v>22140</v>
      </c>
      <c r="M448" t="s">
        <v>51</v>
      </c>
      <c r="N448">
        <v>1</v>
      </c>
      <c r="O448" t="s">
        <v>31</v>
      </c>
    </row>
    <row r="449" spans="1:15" x14ac:dyDescent="0.35">
      <c r="A449">
        <v>1448</v>
      </c>
      <c r="B449" t="s">
        <v>467</v>
      </c>
      <c r="C449" s="1">
        <v>45340</v>
      </c>
      <c r="D449" s="1">
        <v>45367</v>
      </c>
      <c r="E449" s="1">
        <v>45370</v>
      </c>
      <c r="F449" t="s">
        <v>21</v>
      </c>
      <c r="G449" t="s">
        <v>22</v>
      </c>
      <c r="H449" t="s">
        <v>46</v>
      </c>
      <c r="I449">
        <v>27</v>
      </c>
      <c r="J449">
        <v>3</v>
      </c>
      <c r="K449">
        <v>7807</v>
      </c>
      <c r="L449">
        <v>23421</v>
      </c>
      <c r="M449" t="s">
        <v>24</v>
      </c>
      <c r="N449">
        <v>0</v>
      </c>
      <c r="O449" t="s">
        <v>31</v>
      </c>
    </row>
    <row r="450" spans="1:15" x14ac:dyDescent="0.35">
      <c r="A450">
        <v>1449</v>
      </c>
      <c r="B450" t="s">
        <v>468</v>
      </c>
      <c r="C450" s="1">
        <v>45333</v>
      </c>
      <c r="D450" s="1">
        <v>45345</v>
      </c>
      <c r="E450" s="1">
        <v>45349</v>
      </c>
      <c r="F450" t="s">
        <v>38</v>
      </c>
      <c r="G450" t="s">
        <v>39</v>
      </c>
      <c r="H450" t="s">
        <v>30</v>
      </c>
      <c r="I450">
        <v>12</v>
      </c>
      <c r="J450">
        <v>4</v>
      </c>
      <c r="K450">
        <v>7266</v>
      </c>
      <c r="L450">
        <v>29064</v>
      </c>
      <c r="M450" t="s">
        <v>24</v>
      </c>
      <c r="N450">
        <v>0</v>
      </c>
      <c r="O450" t="s">
        <v>31</v>
      </c>
    </row>
    <row r="451" spans="1:15" x14ac:dyDescent="0.35">
      <c r="A451">
        <v>1450</v>
      </c>
      <c r="B451" t="s">
        <v>469</v>
      </c>
      <c r="C451" s="1">
        <v>45457</v>
      </c>
      <c r="D451" s="1">
        <v>45474</v>
      </c>
      <c r="E451" s="1">
        <v>45477</v>
      </c>
      <c r="F451" t="s">
        <v>21</v>
      </c>
      <c r="G451" t="s">
        <v>39</v>
      </c>
      <c r="H451" t="s">
        <v>30</v>
      </c>
      <c r="I451">
        <v>17</v>
      </c>
      <c r="J451">
        <v>3</v>
      </c>
      <c r="K451">
        <v>7862</v>
      </c>
      <c r="L451">
        <v>23586</v>
      </c>
      <c r="M451" t="s">
        <v>24</v>
      </c>
      <c r="N451">
        <v>1</v>
      </c>
      <c r="O451" t="s">
        <v>31</v>
      </c>
    </row>
    <row r="452" spans="1:15" x14ac:dyDescent="0.35">
      <c r="A452">
        <v>1451</v>
      </c>
      <c r="B452" t="s">
        <v>130</v>
      </c>
      <c r="C452" s="1">
        <v>45373</v>
      </c>
      <c r="D452" s="1">
        <v>45379</v>
      </c>
      <c r="E452" s="1">
        <v>45384</v>
      </c>
      <c r="F452" t="s">
        <v>35</v>
      </c>
      <c r="G452" t="s">
        <v>22</v>
      </c>
      <c r="H452" t="s">
        <v>23</v>
      </c>
      <c r="I452">
        <v>6</v>
      </c>
      <c r="J452">
        <v>5</v>
      </c>
      <c r="K452">
        <v>7692</v>
      </c>
      <c r="L452">
        <v>38460</v>
      </c>
      <c r="M452" t="s">
        <v>24</v>
      </c>
      <c r="N452">
        <v>0</v>
      </c>
      <c r="O452" t="s">
        <v>25</v>
      </c>
    </row>
    <row r="453" spans="1:15" x14ac:dyDescent="0.35">
      <c r="A453">
        <v>1452</v>
      </c>
      <c r="B453" t="s">
        <v>470</v>
      </c>
      <c r="C453" s="1">
        <v>45582</v>
      </c>
      <c r="D453" s="1">
        <v>45615</v>
      </c>
      <c r="E453" s="1">
        <v>45619</v>
      </c>
      <c r="F453" t="s">
        <v>60</v>
      </c>
      <c r="G453" t="s">
        <v>39</v>
      </c>
      <c r="H453" t="s">
        <v>30</v>
      </c>
      <c r="I453">
        <v>33</v>
      </c>
      <c r="J453">
        <v>4</v>
      </c>
      <c r="K453">
        <v>8593</v>
      </c>
      <c r="L453">
        <v>34372</v>
      </c>
      <c r="M453" t="s">
        <v>51</v>
      </c>
      <c r="N453">
        <v>1</v>
      </c>
      <c r="O453" t="s">
        <v>25</v>
      </c>
    </row>
    <row r="454" spans="1:15" x14ac:dyDescent="0.35">
      <c r="A454">
        <v>1453</v>
      </c>
      <c r="B454" t="s">
        <v>471</v>
      </c>
      <c r="C454" s="1">
        <v>45449</v>
      </c>
      <c r="D454" s="1">
        <v>45454</v>
      </c>
      <c r="E454" s="1">
        <v>45455</v>
      </c>
      <c r="F454" t="s">
        <v>60</v>
      </c>
      <c r="G454" t="s">
        <v>39</v>
      </c>
      <c r="H454" t="s">
        <v>46</v>
      </c>
      <c r="I454">
        <v>5</v>
      </c>
      <c r="J454">
        <v>1</v>
      </c>
      <c r="K454">
        <v>2600</v>
      </c>
      <c r="L454">
        <v>2600</v>
      </c>
      <c r="M454" t="s">
        <v>51</v>
      </c>
      <c r="N454">
        <v>0</v>
      </c>
      <c r="O454" t="s">
        <v>31</v>
      </c>
    </row>
    <row r="455" spans="1:15" x14ac:dyDescent="0.35">
      <c r="A455">
        <v>1454</v>
      </c>
      <c r="B455" t="s">
        <v>472</v>
      </c>
      <c r="C455" s="1">
        <v>45507</v>
      </c>
      <c r="D455" s="1">
        <v>45564</v>
      </c>
      <c r="E455" s="1">
        <v>45568</v>
      </c>
      <c r="F455" t="s">
        <v>38</v>
      </c>
      <c r="G455" t="s">
        <v>39</v>
      </c>
      <c r="H455" t="s">
        <v>46</v>
      </c>
      <c r="I455">
        <v>57</v>
      </c>
      <c r="J455">
        <v>4</v>
      </c>
      <c r="K455">
        <v>8375</v>
      </c>
      <c r="L455">
        <v>33500</v>
      </c>
      <c r="M455" t="s">
        <v>24</v>
      </c>
      <c r="N455">
        <v>0</v>
      </c>
      <c r="O455" t="s">
        <v>31</v>
      </c>
    </row>
    <row r="456" spans="1:15" x14ac:dyDescent="0.35">
      <c r="A456">
        <v>1455</v>
      </c>
      <c r="B456" t="s">
        <v>473</v>
      </c>
      <c r="C456" s="1">
        <v>45449</v>
      </c>
      <c r="D456" s="1">
        <v>45477</v>
      </c>
      <c r="E456" s="1">
        <v>45479</v>
      </c>
      <c r="F456" t="s">
        <v>38</v>
      </c>
      <c r="G456" t="s">
        <v>39</v>
      </c>
      <c r="H456" t="s">
        <v>30</v>
      </c>
      <c r="I456">
        <v>28</v>
      </c>
      <c r="J456">
        <v>2</v>
      </c>
      <c r="K456">
        <v>6771</v>
      </c>
      <c r="L456">
        <v>13542</v>
      </c>
      <c r="M456" t="s">
        <v>51</v>
      </c>
      <c r="N456">
        <v>0</v>
      </c>
      <c r="O456" t="s">
        <v>25</v>
      </c>
    </row>
    <row r="457" spans="1:15" x14ac:dyDescent="0.35">
      <c r="A457">
        <v>1456</v>
      </c>
      <c r="B457" t="s">
        <v>474</v>
      </c>
      <c r="C457" s="1">
        <v>45425</v>
      </c>
      <c r="D457" s="1">
        <v>45439</v>
      </c>
      <c r="E457" s="1">
        <v>45443</v>
      </c>
      <c r="F457" t="s">
        <v>35</v>
      </c>
      <c r="G457" t="s">
        <v>22</v>
      </c>
      <c r="H457" t="s">
        <v>46</v>
      </c>
      <c r="I457">
        <v>14</v>
      </c>
      <c r="J457">
        <v>4</v>
      </c>
      <c r="K457">
        <v>2737</v>
      </c>
      <c r="L457">
        <v>10948</v>
      </c>
      <c r="M457" t="s">
        <v>51</v>
      </c>
      <c r="N457">
        <v>1</v>
      </c>
      <c r="O457" t="s">
        <v>31</v>
      </c>
    </row>
    <row r="458" spans="1:15" x14ac:dyDescent="0.35">
      <c r="A458">
        <v>1457</v>
      </c>
      <c r="B458" t="s">
        <v>414</v>
      </c>
      <c r="C458" s="1">
        <v>45358</v>
      </c>
      <c r="D458" s="1">
        <v>45363</v>
      </c>
      <c r="E458" s="1">
        <v>45366</v>
      </c>
      <c r="F458" t="s">
        <v>21</v>
      </c>
      <c r="G458" t="s">
        <v>22</v>
      </c>
      <c r="H458" t="s">
        <v>30</v>
      </c>
      <c r="I458">
        <v>5</v>
      </c>
      <c r="J458">
        <v>3</v>
      </c>
      <c r="K458">
        <v>7718</v>
      </c>
      <c r="L458">
        <v>23154</v>
      </c>
      <c r="M458" t="s">
        <v>24</v>
      </c>
      <c r="N458">
        <v>0</v>
      </c>
      <c r="O458" t="s">
        <v>25</v>
      </c>
    </row>
    <row r="459" spans="1:15" x14ac:dyDescent="0.35">
      <c r="A459">
        <v>1458</v>
      </c>
      <c r="B459" t="s">
        <v>253</v>
      </c>
      <c r="C459" s="1">
        <v>45627</v>
      </c>
      <c r="D459" s="1">
        <v>45681</v>
      </c>
      <c r="E459" s="1">
        <v>45684</v>
      </c>
      <c r="F459" t="s">
        <v>60</v>
      </c>
      <c r="G459" t="s">
        <v>39</v>
      </c>
      <c r="H459" t="s">
        <v>23</v>
      </c>
      <c r="I459">
        <v>54</v>
      </c>
      <c r="J459">
        <v>3</v>
      </c>
      <c r="K459">
        <v>6525</v>
      </c>
      <c r="L459">
        <v>19575</v>
      </c>
      <c r="M459" t="s">
        <v>51</v>
      </c>
      <c r="N459">
        <v>1</v>
      </c>
      <c r="O459" t="s">
        <v>25</v>
      </c>
    </row>
    <row r="460" spans="1:15" x14ac:dyDescent="0.35">
      <c r="A460">
        <v>1459</v>
      </c>
      <c r="B460" t="s">
        <v>469</v>
      </c>
      <c r="C460" s="1">
        <v>45298</v>
      </c>
      <c r="D460" s="1">
        <v>45354</v>
      </c>
      <c r="E460" s="1">
        <v>45359</v>
      </c>
      <c r="F460" t="s">
        <v>21</v>
      </c>
      <c r="G460" t="s">
        <v>39</v>
      </c>
      <c r="H460" t="s">
        <v>30</v>
      </c>
      <c r="I460">
        <v>56</v>
      </c>
      <c r="J460">
        <v>5</v>
      </c>
      <c r="K460">
        <v>5418</v>
      </c>
      <c r="L460">
        <v>27090</v>
      </c>
      <c r="M460" t="s">
        <v>24</v>
      </c>
      <c r="N460">
        <v>1</v>
      </c>
      <c r="O460" t="s">
        <v>25</v>
      </c>
    </row>
    <row r="461" spans="1:15" x14ac:dyDescent="0.35">
      <c r="A461">
        <v>1460</v>
      </c>
      <c r="B461" t="s">
        <v>475</v>
      </c>
      <c r="C461" s="1">
        <v>45305</v>
      </c>
      <c r="D461" s="1">
        <v>45364</v>
      </c>
      <c r="E461" s="1">
        <v>45369</v>
      </c>
      <c r="F461" t="s">
        <v>35</v>
      </c>
      <c r="G461" t="s">
        <v>39</v>
      </c>
      <c r="H461" t="s">
        <v>30</v>
      </c>
      <c r="I461">
        <v>59</v>
      </c>
      <c r="J461">
        <v>5</v>
      </c>
      <c r="K461">
        <v>8573</v>
      </c>
      <c r="L461">
        <v>42865</v>
      </c>
      <c r="M461" t="s">
        <v>51</v>
      </c>
      <c r="N461">
        <v>1</v>
      </c>
      <c r="O461" t="s">
        <v>25</v>
      </c>
    </row>
    <row r="462" spans="1:15" x14ac:dyDescent="0.35">
      <c r="A462">
        <v>1461</v>
      </c>
      <c r="B462" t="s">
        <v>476</v>
      </c>
      <c r="C462" s="1">
        <v>45364</v>
      </c>
      <c r="D462" s="1">
        <v>45397</v>
      </c>
      <c r="E462" s="1">
        <v>45402</v>
      </c>
      <c r="F462" t="s">
        <v>60</v>
      </c>
      <c r="G462" t="s">
        <v>22</v>
      </c>
      <c r="H462" t="s">
        <v>23</v>
      </c>
      <c r="I462">
        <v>33</v>
      </c>
      <c r="J462">
        <v>5</v>
      </c>
      <c r="K462">
        <v>5042</v>
      </c>
      <c r="L462">
        <v>25210</v>
      </c>
      <c r="M462" t="s">
        <v>51</v>
      </c>
      <c r="N462">
        <v>1</v>
      </c>
      <c r="O462" t="s">
        <v>31</v>
      </c>
    </row>
    <row r="463" spans="1:15" x14ac:dyDescent="0.35">
      <c r="A463">
        <v>1462</v>
      </c>
      <c r="B463" t="s">
        <v>477</v>
      </c>
      <c r="C463" s="1">
        <v>45454</v>
      </c>
      <c r="D463" s="1">
        <v>45504</v>
      </c>
      <c r="E463" s="1">
        <v>45505</v>
      </c>
      <c r="F463" t="s">
        <v>60</v>
      </c>
      <c r="G463" t="s">
        <v>39</v>
      </c>
      <c r="H463" t="s">
        <v>46</v>
      </c>
      <c r="I463">
        <v>50</v>
      </c>
      <c r="J463">
        <v>1</v>
      </c>
      <c r="K463">
        <v>4503</v>
      </c>
      <c r="L463">
        <v>4503</v>
      </c>
      <c r="M463" t="s">
        <v>24</v>
      </c>
      <c r="N463">
        <v>1</v>
      </c>
      <c r="O463" t="s">
        <v>31</v>
      </c>
    </row>
    <row r="464" spans="1:15" x14ac:dyDescent="0.35">
      <c r="A464">
        <v>1463</v>
      </c>
      <c r="B464" t="s">
        <v>478</v>
      </c>
      <c r="C464" s="1">
        <v>45357</v>
      </c>
      <c r="D464" s="1">
        <v>45405</v>
      </c>
      <c r="E464" s="1">
        <v>45410</v>
      </c>
      <c r="F464" t="s">
        <v>29</v>
      </c>
      <c r="G464" t="s">
        <v>39</v>
      </c>
      <c r="H464" t="s">
        <v>23</v>
      </c>
      <c r="I464">
        <v>48</v>
      </c>
      <c r="J464">
        <v>5</v>
      </c>
      <c r="K464">
        <v>4037</v>
      </c>
      <c r="L464">
        <v>20185</v>
      </c>
      <c r="M464" t="s">
        <v>24</v>
      </c>
      <c r="N464">
        <v>1</v>
      </c>
      <c r="O464" t="s">
        <v>25</v>
      </c>
    </row>
    <row r="465" spans="1:15" x14ac:dyDescent="0.35">
      <c r="A465">
        <v>1464</v>
      </c>
      <c r="B465" t="s">
        <v>479</v>
      </c>
      <c r="C465" s="1">
        <v>45638</v>
      </c>
      <c r="D465" s="1">
        <v>45679</v>
      </c>
      <c r="E465" s="1">
        <v>45680</v>
      </c>
      <c r="F465" t="s">
        <v>35</v>
      </c>
      <c r="G465" t="s">
        <v>22</v>
      </c>
      <c r="H465" t="s">
        <v>23</v>
      </c>
      <c r="I465">
        <v>41</v>
      </c>
      <c r="J465">
        <v>1</v>
      </c>
      <c r="K465">
        <v>3254</v>
      </c>
      <c r="L465">
        <v>3254</v>
      </c>
      <c r="M465" t="s">
        <v>24</v>
      </c>
      <c r="N465">
        <v>1</v>
      </c>
      <c r="O465" t="s">
        <v>31</v>
      </c>
    </row>
    <row r="466" spans="1:15" x14ac:dyDescent="0.35">
      <c r="A466">
        <v>1465</v>
      </c>
      <c r="B466" t="s">
        <v>480</v>
      </c>
      <c r="C466" s="1">
        <v>45421</v>
      </c>
      <c r="D466" s="1">
        <v>45440</v>
      </c>
      <c r="E466" s="1">
        <v>45445</v>
      </c>
      <c r="F466" t="s">
        <v>35</v>
      </c>
      <c r="G466" t="s">
        <v>39</v>
      </c>
      <c r="H466" t="s">
        <v>30</v>
      </c>
      <c r="I466">
        <v>19</v>
      </c>
      <c r="J466">
        <v>5</v>
      </c>
      <c r="K466">
        <v>5868</v>
      </c>
      <c r="L466">
        <v>29340</v>
      </c>
      <c r="M466" t="s">
        <v>51</v>
      </c>
      <c r="N466">
        <v>0</v>
      </c>
      <c r="O466" t="s">
        <v>31</v>
      </c>
    </row>
    <row r="467" spans="1:15" x14ac:dyDescent="0.35">
      <c r="A467">
        <v>1466</v>
      </c>
      <c r="B467" t="s">
        <v>481</v>
      </c>
      <c r="C467" s="1">
        <v>45497</v>
      </c>
      <c r="D467" s="1">
        <v>45519</v>
      </c>
      <c r="E467" s="1">
        <v>45520</v>
      </c>
      <c r="F467" t="s">
        <v>29</v>
      </c>
      <c r="G467" t="s">
        <v>22</v>
      </c>
      <c r="H467" t="s">
        <v>30</v>
      </c>
      <c r="I467">
        <v>22</v>
      </c>
      <c r="J467">
        <v>1</v>
      </c>
      <c r="K467">
        <v>4758</v>
      </c>
      <c r="L467">
        <v>4758</v>
      </c>
      <c r="M467" t="s">
        <v>24</v>
      </c>
      <c r="N467">
        <v>0</v>
      </c>
      <c r="O467" t="s">
        <v>31</v>
      </c>
    </row>
    <row r="468" spans="1:15" x14ac:dyDescent="0.35">
      <c r="A468">
        <v>1467</v>
      </c>
      <c r="B468" t="s">
        <v>482</v>
      </c>
      <c r="C468" s="1">
        <v>45567</v>
      </c>
      <c r="D468" s="1">
        <v>45572</v>
      </c>
      <c r="E468" s="1">
        <v>45576</v>
      </c>
      <c r="F468" t="s">
        <v>21</v>
      </c>
      <c r="G468" t="s">
        <v>39</v>
      </c>
      <c r="H468" t="s">
        <v>23</v>
      </c>
      <c r="I468">
        <v>5</v>
      </c>
      <c r="J468">
        <v>4</v>
      </c>
      <c r="K468">
        <v>7742</v>
      </c>
      <c r="L468">
        <v>30968</v>
      </c>
      <c r="M468" t="s">
        <v>51</v>
      </c>
      <c r="N468">
        <v>0</v>
      </c>
      <c r="O468" t="s">
        <v>31</v>
      </c>
    </row>
    <row r="469" spans="1:15" x14ac:dyDescent="0.35">
      <c r="A469">
        <v>1468</v>
      </c>
      <c r="B469" t="s">
        <v>333</v>
      </c>
      <c r="C469" s="1">
        <v>45547</v>
      </c>
      <c r="D469" s="1">
        <v>45606</v>
      </c>
      <c r="E469" s="1">
        <v>45610</v>
      </c>
      <c r="F469" t="s">
        <v>29</v>
      </c>
      <c r="G469" t="s">
        <v>22</v>
      </c>
      <c r="H469" t="s">
        <v>46</v>
      </c>
      <c r="I469">
        <v>59</v>
      </c>
      <c r="J469">
        <v>4</v>
      </c>
      <c r="K469">
        <v>6165</v>
      </c>
      <c r="L469">
        <v>24660</v>
      </c>
      <c r="M469" t="s">
        <v>24</v>
      </c>
      <c r="N469">
        <v>1</v>
      </c>
      <c r="O469" t="s">
        <v>25</v>
      </c>
    </row>
    <row r="470" spans="1:15" x14ac:dyDescent="0.35">
      <c r="A470">
        <v>1469</v>
      </c>
      <c r="B470" t="s">
        <v>483</v>
      </c>
      <c r="C470" s="1">
        <v>45557</v>
      </c>
      <c r="D470" s="1">
        <v>45559</v>
      </c>
      <c r="E470" s="1">
        <v>45562</v>
      </c>
      <c r="F470" t="s">
        <v>35</v>
      </c>
      <c r="G470" t="s">
        <v>39</v>
      </c>
      <c r="H470" t="s">
        <v>23</v>
      </c>
      <c r="I470">
        <v>2</v>
      </c>
      <c r="J470">
        <v>3</v>
      </c>
      <c r="K470">
        <v>8007</v>
      </c>
      <c r="L470">
        <v>24021</v>
      </c>
      <c r="M470" t="s">
        <v>51</v>
      </c>
      <c r="N470">
        <v>0</v>
      </c>
      <c r="O470" t="s">
        <v>31</v>
      </c>
    </row>
    <row r="471" spans="1:15" x14ac:dyDescent="0.35">
      <c r="A471">
        <v>1470</v>
      </c>
      <c r="B471" t="s">
        <v>484</v>
      </c>
      <c r="C471" s="1">
        <v>45316</v>
      </c>
      <c r="D471" s="1">
        <v>45346</v>
      </c>
      <c r="E471" s="1">
        <v>45347</v>
      </c>
      <c r="F471" t="s">
        <v>21</v>
      </c>
      <c r="G471" t="s">
        <v>39</v>
      </c>
      <c r="H471" t="s">
        <v>46</v>
      </c>
      <c r="I471">
        <v>30</v>
      </c>
      <c r="J471">
        <v>1</v>
      </c>
      <c r="K471">
        <v>6735</v>
      </c>
      <c r="L471">
        <v>6735</v>
      </c>
      <c r="M471" t="s">
        <v>24</v>
      </c>
      <c r="N471">
        <v>1</v>
      </c>
      <c r="O471" t="s">
        <v>25</v>
      </c>
    </row>
    <row r="472" spans="1:15" x14ac:dyDescent="0.35">
      <c r="A472">
        <v>1471</v>
      </c>
      <c r="B472" t="s">
        <v>485</v>
      </c>
      <c r="C472" s="1">
        <v>45572</v>
      </c>
      <c r="D472" s="1">
        <v>45619</v>
      </c>
      <c r="E472" s="1">
        <v>45621</v>
      </c>
      <c r="F472" t="s">
        <v>60</v>
      </c>
      <c r="G472" t="s">
        <v>22</v>
      </c>
      <c r="H472" t="s">
        <v>23</v>
      </c>
      <c r="I472">
        <v>47</v>
      </c>
      <c r="J472">
        <v>2</v>
      </c>
      <c r="K472">
        <v>3040</v>
      </c>
      <c r="L472">
        <v>6080</v>
      </c>
      <c r="M472" t="s">
        <v>24</v>
      </c>
      <c r="N472">
        <v>1</v>
      </c>
      <c r="O472" t="s">
        <v>25</v>
      </c>
    </row>
    <row r="473" spans="1:15" x14ac:dyDescent="0.35">
      <c r="A473">
        <v>1472</v>
      </c>
      <c r="B473" t="s">
        <v>486</v>
      </c>
      <c r="C473" s="1">
        <v>45544</v>
      </c>
      <c r="D473" s="1">
        <v>45583</v>
      </c>
      <c r="E473" s="1">
        <v>45586</v>
      </c>
      <c r="F473" t="s">
        <v>29</v>
      </c>
      <c r="G473" t="s">
        <v>22</v>
      </c>
      <c r="H473" t="s">
        <v>23</v>
      </c>
      <c r="I473">
        <v>39</v>
      </c>
      <c r="J473">
        <v>3</v>
      </c>
      <c r="K473">
        <v>8010</v>
      </c>
      <c r="L473">
        <v>24030</v>
      </c>
      <c r="M473" t="s">
        <v>51</v>
      </c>
      <c r="N473">
        <v>0</v>
      </c>
      <c r="O473" t="s">
        <v>31</v>
      </c>
    </row>
    <row r="474" spans="1:15" x14ac:dyDescent="0.35">
      <c r="A474">
        <v>1473</v>
      </c>
      <c r="B474" t="s">
        <v>487</v>
      </c>
      <c r="C474" s="1">
        <v>45601</v>
      </c>
      <c r="D474" s="1">
        <v>45605</v>
      </c>
      <c r="E474" s="1">
        <v>45609</v>
      </c>
      <c r="F474" t="s">
        <v>21</v>
      </c>
      <c r="G474" t="s">
        <v>22</v>
      </c>
      <c r="H474" t="s">
        <v>46</v>
      </c>
      <c r="I474">
        <v>4</v>
      </c>
      <c r="J474">
        <v>4</v>
      </c>
      <c r="K474">
        <v>2769</v>
      </c>
      <c r="L474">
        <v>11076</v>
      </c>
      <c r="M474" t="s">
        <v>51</v>
      </c>
      <c r="N474">
        <v>1</v>
      </c>
      <c r="O474" t="s">
        <v>25</v>
      </c>
    </row>
    <row r="475" spans="1:15" x14ac:dyDescent="0.35">
      <c r="A475">
        <v>1474</v>
      </c>
      <c r="B475" t="s">
        <v>488</v>
      </c>
      <c r="C475" s="1">
        <v>45580</v>
      </c>
      <c r="D475" s="1">
        <v>45613</v>
      </c>
      <c r="E475" s="1">
        <v>45614</v>
      </c>
      <c r="F475" t="s">
        <v>21</v>
      </c>
      <c r="G475" t="s">
        <v>22</v>
      </c>
      <c r="H475" t="s">
        <v>23</v>
      </c>
      <c r="I475">
        <v>33</v>
      </c>
      <c r="J475">
        <v>1</v>
      </c>
      <c r="K475">
        <v>7631</v>
      </c>
      <c r="L475">
        <v>7631</v>
      </c>
      <c r="M475" t="s">
        <v>24</v>
      </c>
      <c r="N475">
        <v>1</v>
      </c>
      <c r="O475" t="s">
        <v>31</v>
      </c>
    </row>
    <row r="476" spans="1:15" x14ac:dyDescent="0.35">
      <c r="A476">
        <v>1475</v>
      </c>
      <c r="B476" t="s">
        <v>32</v>
      </c>
      <c r="C476" s="1">
        <v>45455</v>
      </c>
      <c r="D476" s="1">
        <v>45468</v>
      </c>
      <c r="E476" s="1">
        <v>45473</v>
      </c>
      <c r="F476" t="s">
        <v>21</v>
      </c>
      <c r="G476" t="s">
        <v>22</v>
      </c>
      <c r="H476" t="s">
        <v>30</v>
      </c>
      <c r="I476">
        <v>13</v>
      </c>
      <c r="J476">
        <v>5</v>
      </c>
      <c r="K476">
        <v>8486</v>
      </c>
      <c r="L476">
        <v>42430</v>
      </c>
      <c r="M476" t="s">
        <v>51</v>
      </c>
      <c r="N476">
        <v>1</v>
      </c>
      <c r="O476" t="s">
        <v>31</v>
      </c>
    </row>
    <row r="477" spans="1:15" x14ac:dyDescent="0.35">
      <c r="A477">
        <v>1476</v>
      </c>
      <c r="B477" t="s">
        <v>295</v>
      </c>
      <c r="C477" s="1">
        <v>45386</v>
      </c>
      <c r="D477" s="1">
        <v>45406</v>
      </c>
      <c r="E477" s="1">
        <v>45408</v>
      </c>
      <c r="F477" t="s">
        <v>29</v>
      </c>
      <c r="G477" t="s">
        <v>39</v>
      </c>
      <c r="H477" t="s">
        <v>23</v>
      </c>
      <c r="I477">
        <v>20</v>
      </c>
      <c r="J477">
        <v>2</v>
      </c>
      <c r="K477">
        <v>5960</v>
      </c>
      <c r="L477">
        <v>11920</v>
      </c>
      <c r="M477" t="s">
        <v>24</v>
      </c>
      <c r="N477">
        <v>1</v>
      </c>
      <c r="O477" t="s">
        <v>25</v>
      </c>
    </row>
    <row r="478" spans="1:15" x14ac:dyDescent="0.35">
      <c r="A478">
        <v>1477</v>
      </c>
      <c r="B478" t="s">
        <v>489</v>
      </c>
      <c r="C478" s="1">
        <v>45561</v>
      </c>
      <c r="D478" s="1">
        <v>45615</v>
      </c>
      <c r="E478" s="1">
        <v>45619</v>
      </c>
      <c r="F478" t="s">
        <v>60</v>
      </c>
      <c r="G478" t="s">
        <v>22</v>
      </c>
      <c r="H478" t="s">
        <v>30</v>
      </c>
      <c r="I478">
        <v>54</v>
      </c>
      <c r="J478">
        <v>4</v>
      </c>
      <c r="K478">
        <v>5908</v>
      </c>
      <c r="L478">
        <v>23632</v>
      </c>
      <c r="M478" t="s">
        <v>51</v>
      </c>
      <c r="N478">
        <v>1</v>
      </c>
      <c r="O478" t="s">
        <v>31</v>
      </c>
    </row>
    <row r="479" spans="1:15" x14ac:dyDescent="0.35">
      <c r="A479">
        <v>1478</v>
      </c>
      <c r="B479" t="s">
        <v>490</v>
      </c>
      <c r="C479" s="1">
        <v>45612</v>
      </c>
      <c r="D479" s="1">
        <v>45619</v>
      </c>
      <c r="E479" s="1">
        <v>45622</v>
      </c>
      <c r="F479" t="s">
        <v>21</v>
      </c>
      <c r="G479" t="s">
        <v>22</v>
      </c>
      <c r="H479" t="s">
        <v>46</v>
      </c>
      <c r="I479">
        <v>7</v>
      </c>
      <c r="J479">
        <v>3</v>
      </c>
      <c r="K479">
        <v>3005</v>
      </c>
      <c r="L479">
        <v>9015</v>
      </c>
      <c r="M479" t="s">
        <v>51</v>
      </c>
      <c r="N479">
        <v>0</v>
      </c>
      <c r="O479" t="s">
        <v>25</v>
      </c>
    </row>
    <row r="480" spans="1:15" x14ac:dyDescent="0.35">
      <c r="A480">
        <v>1479</v>
      </c>
      <c r="B480" t="s">
        <v>491</v>
      </c>
      <c r="C480" s="1">
        <v>45401</v>
      </c>
      <c r="D480" s="1">
        <v>45416</v>
      </c>
      <c r="E480" s="1">
        <v>45417</v>
      </c>
      <c r="F480" t="s">
        <v>29</v>
      </c>
      <c r="G480" t="s">
        <v>22</v>
      </c>
      <c r="H480" t="s">
        <v>46</v>
      </c>
      <c r="I480">
        <v>15</v>
      </c>
      <c r="J480">
        <v>1</v>
      </c>
      <c r="K480">
        <v>3629</v>
      </c>
      <c r="L480">
        <v>3629</v>
      </c>
      <c r="M480" t="s">
        <v>24</v>
      </c>
      <c r="N480">
        <v>1</v>
      </c>
      <c r="O480" t="s">
        <v>25</v>
      </c>
    </row>
    <row r="481" spans="1:15" x14ac:dyDescent="0.35">
      <c r="A481">
        <v>1480</v>
      </c>
      <c r="B481" t="s">
        <v>492</v>
      </c>
      <c r="C481" s="1">
        <v>45627</v>
      </c>
      <c r="D481" s="1">
        <v>45650</v>
      </c>
      <c r="E481" s="1">
        <v>45652</v>
      </c>
      <c r="F481" t="s">
        <v>35</v>
      </c>
      <c r="G481" t="s">
        <v>22</v>
      </c>
      <c r="H481" t="s">
        <v>30</v>
      </c>
      <c r="I481">
        <v>23</v>
      </c>
      <c r="J481">
        <v>2</v>
      </c>
      <c r="K481">
        <v>4579</v>
      </c>
      <c r="L481">
        <v>9158</v>
      </c>
      <c r="M481" t="s">
        <v>24</v>
      </c>
      <c r="N481">
        <v>1</v>
      </c>
      <c r="O481" t="s">
        <v>31</v>
      </c>
    </row>
    <row r="482" spans="1:15" x14ac:dyDescent="0.35">
      <c r="A482">
        <v>1481</v>
      </c>
      <c r="B482" t="s">
        <v>249</v>
      </c>
      <c r="C482" s="1">
        <v>45601</v>
      </c>
      <c r="D482" s="1">
        <v>45615</v>
      </c>
      <c r="E482" s="1">
        <v>45616</v>
      </c>
      <c r="F482" t="s">
        <v>29</v>
      </c>
      <c r="G482" t="s">
        <v>39</v>
      </c>
      <c r="H482" t="s">
        <v>23</v>
      </c>
      <c r="I482">
        <v>14</v>
      </c>
      <c r="J482">
        <v>1</v>
      </c>
      <c r="K482">
        <v>5645</v>
      </c>
      <c r="L482">
        <v>5645</v>
      </c>
      <c r="M482" t="s">
        <v>51</v>
      </c>
      <c r="N482">
        <v>1</v>
      </c>
      <c r="O482" t="s">
        <v>31</v>
      </c>
    </row>
    <row r="483" spans="1:15" x14ac:dyDescent="0.35">
      <c r="A483">
        <v>1482</v>
      </c>
      <c r="B483" t="s">
        <v>493</v>
      </c>
      <c r="C483" s="1">
        <v>45529</v>
      </c>
      <c r="D483" s="1">
        <v>45552</v>
      </c>
      <c r="E483" s="1">
        <v>45557</v>
      </c>
      <c r="F483" t="s">
        <v>29</v>
      </c>
      <c r="G483" t="s">
        <v>39</v>
      </c>
      <c r="H483" t="s">
        <v>30</v>
      </c>
      <c r="I483">
        <v>23</v>
      </c>
      <c r="J483">
        <v>5</v>
      </c>
      <c r="K483">
        <v>5742</v>
      </c>
      <c r="L483">
        <v>28710</v>
      </c>
      <c r="M483" t="s">
        <v>51</v>
      </c>
      <c r="N483">
        <v>0</v>
      </c>
      <c r="O483" t="s">
        <v>31</v>
      </c>
    </row>
    <row r="484" spans="1:15" x14ac:dyDescent="0.35">
      <c r="A484">
        <v>1483</v>
      </c>
      <c r="B484" t="s">
        <v>494</v>
      </c>
      <c r="C484" s="1">
        <v>45316</v>
      </c>
      <c r="D484" s="1">
        <v>45335</v>
      </c>
      <c r="E484" s="1">
        <v>45338</v>
      </c>
      <c r="F484" t="s">
        <v>29</v>
      </c>
      <c r="G484" t="s">
        <v>39</v>
      </c>
      <c r="H484" t="s">
        <v>30</v>
      </c>
      <c r="I484">
        <v>19</v>
      </c>
      <c r="J484">
        <v>3</v>
      </c>
      <c r="K484">
        <v>8468</v>
      </c>
      <c r="L484">
        <v>25404</v>
      </c>
      <c r="M484" t="s">
        <v>51</v>
      </c>
      <c r="N484">
        <v>0</v>
      </c>
      <c r="O484" t="s">
        <v>25</v>
      </c>
    </row>
    <row r="485" spans="1:15" x14ac:dyDescent="0.35">
      <c r="A485">
        <v>1484</v>
      </c>
      <c r="B485" t="s">
        <v>386</v>
      </c>
      <c r="C485" s="1">
        <v>45432</v>
      </c>
      <c r="D485" s="1">
        <v>45486</v>
      </c>
      <c r="E485" s="1">
        <v>45487</v>
      </c>
      <c r="F485" t="s">
        <v>21</v>
      </c>
      <c r="G485" t="s">
        <v>39</v>
      </c>
      <c r="H485" t="s">
        <v>46</v>
      </c>
      <c r="I485">
        <v>54</v>
      </c>
      <c r="J485">
        <v>1</v>
      </c>
      <c r="K485">
        <v>7688</v>
      </c>
      <c r="L485">
        <v>7688</v>
      </c>
      <c r="M485" t="s">
        <v>51</v>
      </c>
      <c r="N485">
        <v>1</v>
      </c>
      <c r="O485" t="s">
        <v>31</v>
      </c>
    </row>
    <row r="486" spans="1:15" x14ac:dyDescent="0.35">
      <c r="A486">
        <v>1485</v>
      </c>
      <c r="B486" t="s">
        <v>495</v>
      </c>
      <c r="C486" s="1">
        <v>45408</v>
      </c>
      <c r="D486" s="1">
        <v>45437</v>
      </c>
      <c r="E486" s="1">
        <v>45441</v>
      </c>
      <c r="F486" t="s">
        <v>29</v>
      </c>
      <c r="G486" t="s">
        <v>39</v>
      </c>
      <c r="H486" t="s">
        <v>30</v>
      </c>
      <c r="I486">
        <v>29</v>
      </c>
      <c r="J486">
        <v>4</v>
      </c>
      <c r="K486">
        <v>7408</v>
      </c>
      <c r="L486">
        <v>29632</v>
      </c>
      <c r="M486" t="s">
        <v>24</v>
      </c>
      <c r="N486">
        <v>0</v>
      </c>
      <c r="O486" t="s">
        <v>25</v>
      </c>
    </row>
    <row r="487" spans="1:15" x14ac:dyDescent="0.35">
      <c r="A487">
        <v>1486</v>
      </c>
      <c r="B487" t="s">
        <v>496</v>
      </c>
      <c r="C487" s="1">
        <v>45316</v>
      </c>
      <c r="D487" s="1">
        <v>45372</v>
      </c>
      <c r="E487" s="1">
        <v>45375</v>
      </c>
      <c r="F487" t="s">
        <v>35</v>
      </c>
      <c r="G487" t="s">
        <v>22</v>
      </c>
      <c r="H487" t="s">
        <v>23</v>
      </c>
      <c r="I487">
        <v>56</v>
      </c>
      <c r="J487">
        <v>3</v>
      </c>
      <c r="K487">
        <v>2861</v>
      </c>
      <c r="L487">
        <v>8583</v>
      </c>
      <c r="M487" t="s">
        <v>24</v>
      </c>
      <c r="N487">
        <v>1</v>
      </c>
      <c r="O487" t="s">
        <v>25</v>
      </c>
    </row>
    <row r="488" spans="1:15" x14ac:dyDescent="0.35">
      <c r="A488">
        <v>1487</v>
      </c>
      <c r="B488" t="s">
        <v>497</v>
      </c>
      <c r="C488" s="1">
        <v>45370</v>
      </c>
      <c r="D488" s="1">
        <v>45390</v>
      </c>
      <c r="E488" s="1">
        <v>45394</v>
      </c>
      <c r="F488" t="s">
        <v>21</v>
      </c>
      <c r="G488" t="s">
        <v>39</v>
      </c>
      <c r="H488" t="s">
        <v>30</v>
      </c>
      <c r="I488">
        <v>20</v>
      </c>
      <c r="J488">
        <v>4</v>
      </c>
      <c r="K488">
        <v>6220</v>
      </c>
      <c r="L488">
        <v>24880</v>
      </c>
      <c r="M488" t="s">
        <v>51</v>
      </c>
      <c r="N488">
        <v>1</v>
      </c>
      <c r="O488" t="s">
        <v>31</v>
      </c>
    </row>
    <row r="489" spans="1:15" x14ac:dyDescent="0.35">
      <c r="A489">
        <v>1488</v>
      </c>
      <c r="B489" t="s">
        <v>498</v>
      </c>
      <c r="C489" s="1">
        <v>45359</v>
      </c>
      <c r="D489" s="1">
        <v>45388</v>
      </c>
      <c r="E489" s="1">
        <v>45389</v>
      </c>
      <c r="F489" t="s">
        <v>35</v>
      </c>
      <c r="G489" t="s">
        <v>39</v>
      </c>
      <c r="H489" t="s">
        <v>46</v>
      </c>
      <c r="I489">
        <v>29</v>
      </c>
      <c r="J489">
        <v>1</v>
      </c>
      <c r="K489">
        <v>3956</v>
      </c>
      <c r="L489">
        <v>3956</v>
      </c>
      <c r="M489" t="s">
        <v>24</v>
      </c>
      <c r="N489">
        <v>1</v>
      </c>
      <c r="O489" t="s">
        <v>31</v>
      </c>
    </row>
    <row r="490" spans="1:15" x14ac:dyDescent="0.35">
      <c r="A490">
        <v>1489</v>
      </c>
      <c r="B490" t="s">
        <v>104</v>
      </c>
      <c r="C490" s="1">
        <v>45464</v>
      </c>
      <c r="D490" s="1">
        <v>45488</v>
      </c>
      <c r="E490" s="1">
        <v>45491</v>
      </c>
      <c r="F490" t="s">
        <v>38</v>
      </c>
      <c r="G490" t="s">
        <v>22</v>
      </c>
      <c r="H490" t="s">
        <v>23</v>
      </c>
      <c r="I490">
        <v>24</v>
      </c>
      <c r="J490">
        <v>3</v>
      </c>
      <c r="K490">
        <v>7524</v>
      </c>
      <c r="L490">
        <v>22572</v>
      </c>
      <c r="M490" t="s">
        <v>51</v>
      </c>
      <c r="N490">
        <v>1</v>
      </c>
      <c r="O490" t="s">
        <v>31</v>
      </c>
    </row>
    <row r="491" spans="1:15" x14ac:dyDescent="0.35">
      <c r="A491">
        <v>1490</v>
      </c>
      <c r="B491" t="s">
        <v>499</v>
      </c>
      <c r="C491" s="1">
        <v>45303</v>
      </c>
      <c r="D491" s="1">
        <v>45321</v>
      </c>
      <c r="E491" s="1">
        <v>45325</v>
      </c>
      <c r="F491" t="s">
        <v>29</v>
      </c>
      <c r="G491" t="s">
        <v>22</v>
      </c>
      <c r="H491" t="s">
        <v>46</v>
      </c>
      <c r="I491">
        <v>18</v>
      </c>
      <c r="J491">
        <v>4</v>
      </c>
      <c r="K491">
        <v>6567</v>
      </c>
      <c r="L491">
        <v>26268</v>
      </c>
      <c r="M491" t="s">
        <v>51</v>
      </c>
      <c r="N491">
        <v>1</v>
      </c>
      <c r="O491" t="s">
        <v>25</v>
      </c>
    </row>
    <row r="492" spans="1:15" x14ac:dyDescent="0.35">
      <c r="A492">
        <v>1491</v>
      </c>
      <c r="B492" t="s">
        <v>336</v>
      </c>
      <c r="C492" s="1">
        <v>45579</v>
      </c>
      <c r="D492" s="1">
        <v>45589</v>
      </c>
      <c r="E492" s="1">
        <v>45594</v>
      </c>
      <c r="F492" t="s">
        <v>21</v>
      </c>
      <c r="G492" t="s">
        <v>39</v>
      </c>
      <c r="H492" t="s">
        <v>30</v>
      </c>
      <c r="I492">
        <v>10</v>
      </c>
      <c r="J492">
        <v>5</v>
      </c>
      <c r="K492">
        <v>6695</v>
      </c>
      <c r="L492">
        <v>33475</v>
      </c>
      <c r="M492" t="s">
        <v>51</v>
      </c>
      <c r="N492">
        <v>0</v>
      </c>
      <c r="O492" t="s">
        <v>31</v>
      </c>
    </row>
    <row r="493" spans="1:15" x14ac:dyDescent="0.35">
      <c r="A493">
        <v>1492</v>
      </c>
      <c r="B493" t="s">
        <v>500</v>
      </c>
      <c r="C493" s="1">
        <v>45419</v>
      </c>
      <c r="D493" s="1">
        <v>45460</v>
      </c>
      <c r="E493" s="1">
        <v>45465</v>
      </c>
      <c r="F493" t="s">
        <v>21</v>
      </c>
      <c r="G493" t="s">
        <v>39</v>
      </c>
      <c r="H493" t="s">
        <v>30</v>
      </c>
      <c r="I493">
        <v>41</v>
      </c>
      <c r="J493">
        <v>5</v>
      </c>
      <c r="K493">
        <v>4181</v>
      </c>
      <c r="L493">
        <v>20905</v>
      </c>
      <c r="M493" t="s">
        <v>24</v>
      </c>
      <c r="N493">
        <v>1</v>
      </c>
      <c r="O493" t="s">
        <v>25</v>
      </c>
    </row>
    <row r="494" spans="1:15" x14ac:dyDescent="0.35">
      <c r="A494">
        <v>1493</v>
      </c>
      <c r="B494" t="s">
        <v>501</v>
      </c>
      <c r="C494" s="1">
        <v>45387</v>
      </c>
      <c r="D494" s="1">
        <v>45444</v>
      </c>
      <c r="E494" s="1">
        <v>45445</v>
      </c>
      <c r="F494" t="s">
        <v>29</v>
      </c>
      <c r="G494" t="s">
        <v>22</v>
      </c>
      <c r="H494" t="s">
        <v>46</v>
      </c>
      <c r="I494">
        <v>57</v>
      </c>
      <c r="J494">
        <v>1</v>
      </c>
      <c r="K494">
        <v>8652</v>
      </c>
      <c r="L494">
        <v>8652</v>
      </c>
      <c r="M494" t="s">
        <v>51</v>
      </c>
      <c r="N494">
        <v>1</v>
      </c>
      <c r="O494" t="s">
        <v>31</v>
      </c>
    </row>
    <row r="495" spans="1:15" x14ac:dyDescent="0.35">
      <c r="A495">
        <v>1494</v>
      </c>
      <c r="B495" t="s">
        <v>502</v>
      </c>
      <c r="C495" s="1">
        <v>45383</v>
      </c>
      <c r="D495" s="1">
        <v>45391</v>
      </c>
      <c r="E495" s="1">
        <v>45394</v>
      </c>
      <c r="F495" t="s">
        <v>60</v>
      </c>
      <c r="G495" t="s">
        <v>39</v>
      </c>
      <c r="H495" t="s">
        <v>46</v>
      </c>
      <c r="I495">
        <v>8</v>
      </c>
      <c r="J495">
        <v>3</v>
      </c>
      <c r="K495">
        <v>3552</v>
      </c>
      <c r="L495">
        <v>10656</v>
      </c>
      <c r="M495" t="s">
        <v>24</v>
      </c>
      <c r="N495">
        <v>1</v>
      </c>
      <c r="O495" t="s">
        <v>31</v>
      </c>
    </row>
    <row r="496" spans="1:15" x14ac:dyDescent="0.35">
      <c r="A496">
        <v>1495</v>
      </c>
      <c r="B496" t="s">
        <v>503</v>
      </c>
      <c r="C496" s="1">
        <v>45432</v>
      </c>
      <c r="D496" s="1">
        <v>45458</v>
      </c>
      <c r="E496" s="1">
        <v>45460</v>
      </c>
      <c r="F496" t="s">
        <v>60</v>
      </c>
      <c r="G496" t="s">
        <v>22</v>
      </c>
      <c r="H496" t="s">
        <v>23</v>
      </c>
      <c r="I496">
        <v>26</v>
      </c>
      <c r="J496">
        <v>2</v>
      </c>
      <c r="K496">
        <v>5009</v>
      </c>
      <c r="L496">
        <v>10018</v>
      </c>
      <c r="M496" t="s">
        <v>24</v>
      </c>
      <c r="N496">
        <v>1</v>
      </c>
      <c r="O496" t="s">
        <v>25</v>
      </c>
    </row>
    <row r="497" spans="1:15" x14ac:dyDescent="0.35">
      <c r="A497">
        <v>1496</v>
      </c>
      <c r="B497" t="s">
        <v>504</v>
      </c>
      <c r="C497" s="1">
        <v>45322</v>
      </c>
      <c r="D497" s="1">
        <v>45351</v>
      </c>
      <c r="E497" s="1">
        <v>45354</v>
      </c>
      <c r="F497" t="s">
        <v>35</v>
      </c>
      <c r="G497" t="s">
        <v>22</v>
      </c>
      <c r="H497" t="s">
        <v>46</v>
      </c>
      <c r="I497">
        <v>29</v>
      </c>
      <c r="J497">
        <v>3</v>
      </c>
      <c r="K497">
        <v>7516</v>
      </c>
      <c r="L497">
        <v>22548</v>
      </c>
      <c r="M497" t="s">
        <v>51</v>
      </c>
      <c r="N497">
        <v>1</v>
      </c>
      <c r="O497" t="s">
        <v>25</v>
      </c>
    </row>
    <row r="498" spans="1:15" x14ac:dyDescent="0.35">
      <c r="A498">
        <v>1497</v>
      </c>
      <c r="B498" t="s">
        <v>505</v>
      </c>
      <c r="C498" s="1">
        <v>45625</v>
      </c>
      <c r="D498" s="1">
        <v>45635</v>
      </c>
      <c r="E498" s="1">
        <v>45640</v>
      </c>
      <c r="F498" t="s">
        <v>29</v>
      </c>
      <c r="G498" t="s">
        <v>39</v>
      </c>
      <c r="H498" t="s">
        <v>46</v>
      </c>
      <c r="I498">
        <v>10</v>
      </c>
      <c r="J498">
        <v>5</v>
      </c>
      <c r="K498">
        <v>7227</v>
      </c>
      <c r="L498">
        <v>36135</v>
      </c>
      <c r="M498" t="s">
        <v>24</v>
      </c>
      <c r="N498">
        <v>0</v>
      </c>
      <c r="O498" t="s">
        <v>31</v>
      </c>
    </row>
    <row r="499" spans="1:15" x14ac:dyDescent="0.35">
      <c r="A499">
        <v>1498</v>
      </c>
      <c r="B499" t="s">
        <v>323</v>
      </c>
      <c r="C499" s="1">
        <v>45311</v>
      </c>
      <c r="D499" s="1">
        <v>45328</v>
      </c>
      <c r="E499" s="1">
        <v>45332</v>
      </c>
      <c r="F499" t="s">
        <v>29</v>
      </c>
      <c r="G499" t="s">
        <v>39</v>
      </c>
      <c r="H499" t="s">
        <v>30</v>
      </c>
      <c r="I499">
        <v>17</v>
      </c>
      <c r="J499">
        <v>4</v>
      </c>
      <c r="K499">
        <v>3181</v>
      </c>
      <c r="L499">
        <v>12724</v>
      </c>
      <c r="M499" t="s">
        <v>51</v>
      </c>
      <c r="N499">
        <v>0</v>
      </c>
      <c r="O499" t="s">
        <v>31</v>
      </c>
    </row>
    <row r="500" spans="1:15" x14ac:dyDescent="0.35">
      <c r="A500">
        <v>1499</v>
      </c>
      <c r="B500" t="s">
        <v>506</v>
      </c>
      <c r="C500" s="1">
        <v>45437</v>
      </c>
      <c r="D500" s="1">
        <v>45439</v>
      </c>
      <c r="E500" s="1">
        <v>45441</v>
      </c>
      <c r="F500" t="s">
        <v>38</v>
      </c>
      <c r="G500" t="s">
        <v>39</v>
      </c>
      <c r="H500" t="s">
        <v>30</v>
      </c>
      <c r="I500">
        <v>2</v>
      </c>
      <c r="J500">
        <v>2</v>
      </c>
      <c r="K500">
        <v>8800</v>
      </c>
      <c r="L500">
        <v>17600</v>
      </c>
      <c r="M500" t="s">
        <v>51</v>
      </c>
      <c r="N500">
        <v>0</v>
      </c>
      <c r="O500" t="s">
        <v>31</v>
      </c>
    </row>
    <row r="501" spans="1:15" x14ac:dyDescent="0.35">
      <c r="A501">
        <v>1500</v>
      </c>
      <c r="B501" t="s">
        <v>507</v>
      </c>
      <c r="C501" s="1">
        <v>45607</v>
      </c>
      <c r="D501" s="1">
        <v>45613</v>
      </c>
      <c r="E501" s="1">
        <v>45614</v>
      </c>
      <c r="F501" t="s">
        <v>60</v>
      </c>
      <c r="G501" t="s">
        <v>22</v>
      </c>
      <c r="H501" t="s">
        <v>46</v>
      </c>
      <c r="I501">
        <v>6</v>
      </c>
      <c r="J501">
        <v>1</v>
      </c>
      <c r="K501">
        <v>8978</v>
      </c>
      <c r="L501">
        <v>8978</v>
      </c>
      <c r="M501" t="s">
        <v>24</v>
      </c>
      <c r="N501">
        <v>1</v>
      </c>
      <c r="O501" t="s">
        <v>31</v>
      </c>
    </row>
    <row r="502" spans="1:15" x14ac:dyDescent="0.35">
      <c r="A502">
        <v>1501</v>
      </c>
      <c r="B502" t="s">
        <v>508</v>
      </c>
      <c r="C502" s="1">
        <v>45451</v>
      </c>
      <c r="D502" s="1">
        <v>45509</v>
      </c>
      <c r="E502" s="1">
        <v>45511</v>
      </c>
      <c r="F502" t="s">
        <v>60</v>
      </c>
      <c r="G502" t="s">
        <v>22</v>
      </c>
      <c r="H502" t="s">
        <v>46</v>
      </c>
      <c r="I502">
        <v>58</v>
      </c>
      <c r="J502">
        <v>2</v>
      </c>
      <c r="K502">
        <v>6432</v>
      </c>
      <c r="L502">
        <v>12864</v>
      </c>
      <c r="M502" t="s">
        <v>51</v>
      </c>
      <c r="N502">
        <v>1</v>
      </c>
      <c r="O502" t="s">
        <v>31</v>
      </c>
    </row>
    <row r="503" spans="1:15" x14ac:dyDescent="0.35">
      <c r="A503">
        <v>1502</v>
      </c>
      <c r="B503" t="s">
        <v>509</v>
      </c>
      <c r="C503" s="1">
        <v>45640</v>
      </c>
      <c r="D503" s="1">
        <v>45645</v>
      </c>
      <c r="E503" s="1">
        <v>45646</v>
      </c>
      <c r="F503" t="s">
        <v>29</v>
      </c>
      <c r="G503" t="s">
        <v>39</v>
      </c>
      <c r="H503" t="s">
        <v>30</v>
      </c>
      <c r="I503">
        <v>5</v>
      </c>
      <c r="J503">
        <v>1</v>
      </c>
      <c r="K503">
        <v>8903</v>
      </c>
      <c r="L503">
        <v>8903</v>
      </c>
      <c r="M503" t="s">
        <v>24</v>
      </c>
      <c r="N503">
        <v>1</v>
      </c>
      <c r="O503" t="s">
        <v>25</v>
      </c>
    </row>
    <row r="504" spans="1:15" x14ac:dyDescent="0.35">
      <c r="A504">
        <v>1503</v>
      </c>
      <c r="B504" t="s">
        <v>510</v>
      </c>
      <c r="C504" s="1">
        <v>45334</v>
      </c>
      <c r="D504" s="1">
        <v>45362</v>
      </c>
      <c r="E504" s="1">
        <v>45364</v>
      </c>
      <c r="F504" t="s">
        <v>35</v>
      </c>
      <c r="G504" t="s">
        <v>39</v>
      </c>
      <c r="H504" t="s">
        <v>23</v>
      </c>
      <c r="I504">
        <v>28</v>
      </c>
      <c r="J504">
        <v>2</v>
      </c>
      <c r="K504">
        <v>4629</v>
      </c>
      <c r="L504">
        <v>9258</v>
      </c>
      <c r="M504" t="s">
        <v>24</v>
      </c>
      <c r="N504">
        <v>1</v>
      </c>
      <c r="O504" t="s">
        <v>25</v>
      </c>
    </row>
    <row r="505" spans="1:15" x14ac:dyDescent="0.35">
      <c r="A505">
        <v>1504</v>
      </c>
      <c r="B505" t="s">
        <v>63</v>
      </c>
      <c r="C505" s="1">
        <v>45545</v>
      </c>
      <c r="D505" s="1">
        <v>45586</v>
      </c>
      <c r="E505" s="1">
        <v>45587</v>
      </c>
      <c r="F505" t="s">
        <v>29</v>
      </c>
      <c r="G505" t="s">
        <v>39</v>
      </c>
      <c r="H505" t="s">
        <v>23</v>
      </c>
      <c r="I505">
        <v>41</v>
      </c>
      <c r="J505">
        <v>1</v>
      </c>
      <c r="K505">
        <v>7349</v>
      </c>
      <c r="L505">
        <v>7349</v>
      </c>
      <c r="M505" t="s">
        <v>24</v>
      </c>
      <c r="N505">
        <v>1</v>
      </c>
      <c r="O505" t="s">
        <v>25</v>
      </c>
    </row>
    <row r="506" spans="1:15" x14ac:dyDescent="0.35">
      <c r="A506">
        <v>1505</v>
      </c>
      <c r="B506" t="s">
        <v>477</v>
      </c>
      <c r="C506" s="1">
        <v>45421</v>
      </c>
      <c r="D506" s="1">
        <v>45426</v>
      </c>
      <c r="E506" s="1">
        <v>45427</v>
      </c>
      <c r="F506" t="s">
        <v>35</v>
      </c>
      <c r="G506" t="s">
        <v>22</v>
      </c>
      <c r="H506" t="s">
        <v>23</v>
      </c>
      <c r="I506">
        <v>5</v>
      </c>
      <c r="J506">
        <v>1</v>
      </c>
      <c r="K506">
        <v>8060</v>
      </c>
      <c r="L506">
        <v>8060</v>
      </c>
      <c r="M506" t="s">
        <v>51</v>
      </c>
      <c r="N506">
        <v>1</v>
      </c>
      <c r="O506" t="s">
        <v>25</v>
      </c>
    </row>
    <row r="507" spans="1:15" x14ac:dyDescent="0.35">
      <c r="A507">
        <v>1506</v>
      </c>
      <c r="B507" t="s">
        <v>511</v>
      </c>
      <c r="C507" s="1">
        <v>45351</v>
      </c>
      <c r="D507" s="1">
        <v>45369</v>
      </c>
      <c r="E507" s="1">
        <v>45371</v>
      </c>
      <c r="F507" t="s">
        <v>60</v>
      </c>
      <c r="G507" t="s">
        <v>22</v>
      </c>
      <c r="H507" t="s">
        <v>23</v>
      </c>
      <c r="I507">
        <v>18</v>
      </c>
      <c r="J507">
        <v>2</v>
      </c>
      <c r="K507">
        <v>6516</v>
      </c>
      <c r="L507">
        <v>13032</v>
      </c>
      <c r="M507" t="s">
        <v>24</v>
      </c>
      <c r="N507">
        <v>0</v>
      </c>
      <c r="O507" t="s">
        <v>31</v>
      </c>
    </row>
    <row r="508" spans="1:15" x14ac:dyDescent="0.35">
      <c r="A508">
        <v>1507</v>
      </c>
      <c r="B508" t="s">
        <v>512</v>
      </c>
      <c r="C508" s="1">
        <v>45442</v>
      </c>
      <c r="D508" s="1">
        <v>45468</v>
      </c>
      <c r="E508" s="1">
        <v>45470</v>
      </c>
      <c r="F508" t="s">
        <v>38</v>
      </c>
      <c r="G508" t="s">
        <v>22</v>
      </c>
      <c r="H508" t="s">
        <v>30</v>
      </c>
      <c r="I508">
        <v>26</v>
      </c>
      <c r="J508">
        <v>2</v>
      </c>
      <c r="K508">
        <v>5802</v>
      </c>
      <c r="L508">
        <v>11604</v>
      </c>
      <c r="M508" t="s">
        <v>51</v>
      </c>
      <c r="N508">
        <v>1</v>
      </c>
      <c r="O508" t="s">
        <v>25</v>
      </c>
    </row>
    <row r="509" spans="1:15" x14ac:dyDescent="0.35">
      <c r="A509">
        <v>1508</v>
      </c>
      <c r="B509" t="s">
        <v>513</v>
      </c>
      <c r="C509" s="1">
        <v>45578</v>
      </c>
      <c r="D509" s="1">
        <v>45598</v>
      </c>
      <c r="E509" s="1">
        <v>45599</v>
      </c>
      <c r="F509" t="s">
        <v>21</v>
      </c>
      <c r="G509" t="s">
        <v>39</v>
      </c>
      <c r="H509" t="s">
        <v>46</v>
      </c>
      <c r="I509">
        <v>20</v>
      </c>
      <c r="J509">
        <v>1</v>
      </c>
      <c r="K509">
        <v>3219</v>
      </c>
      <c r="L509">
        <v>3219</v>
      </c>
      <c r="M509" t="s">
        <v>51</v>
      </c>
      <c r="N509">
        <v>0</v>
      </c>
      <c r="O509" t="s">
        <v>25</v>
      </c>
    </row>
    <row r="510" spans="1:15" x14ac:dyDescent="0.35">
      <c r="A510">
        <v>1509</v>
      </c>
      <c r="B510" t="s">
        <v>280</v>
      </c>
      <c r="C510" s="1">
        <v>45296</v>
      </c>
      <c r="D510" s="1">
        <v>45337</v>
      </c>
      <c r="E510" s="1">
        <v>45342</v>
      </c>
      <c r="F510" t="s">
        <v>60</v>
      </c>
      <c r="G510" t="s">
        <v>22</v>
      </c>
      <c r="H510" t="s">
        <v>23</v>
      </c>
      <c r="I510">
        <v>41</v>
      </c>
      <c r="J510">
        <v>5</v>
      </c>
      <c r="K510">
        <v>2574</v>
      </c>
      <c r="L510">
        <v>12870</v>
      </c>
      <c r="M510" t="s">
        <v>24</v>
      </c>
      <c r="N510">
        <v>1</v>
      </c>
      <c r="O510" t="s">
        <v>25</v>
      </c>
    </row>
    <row r="511" spans="1:15" x14ac:dyDescent="0.35">
      <c r="A511">
        <v>1510</v>
      </c>
      <c r="B511" t="s">
        <v>514</v>
      </c>
      <c r="C511" s="1">
        <v>45557</v>
      </c>
      <c r="D511" s="1">
        <v>45606</v>
      </c>
      <c r="E511" s="1">
        <v>45608</v>
      </c>
      <c r="F511" t="s">
        <v>35</v>
      </c>
      <c r="G511" t="s">
        <v>22</v>
      </c>
      <c r="H511" t="s">
        <v>30</v>
      </c>
      <c r="I511">
        <v>49</v>
      </c>
      <c r="J511">
        <v>2</v>
      </c>
      <c r="K511">
        <v>3793</v>
      </c>
      <c r="L511">
        <v>7586</v>
      </c>
      <c r="M511" t="s">
        <v>24</v>
      </c>
      <c r="N511">
        <v>1</v>
      </c>
      <c r="O511" t="s">
        <v>31</v>
      </c>
    </row>
    <row r="512" spans="1:15" x14ac:dyDescent="0.35">
      <c r="A512">
        <v>1511</v>
      </c>
      <c r="B512" t="s">
        <v>515</v>
      </c>
      <c r="C512" s="1">
        <v>45636</v>
      </c>
      <c r="D512" s="1">
        <v>45663</v>
      </c>
      <c r="E512" s="1">
        <v>45666</v>
      </c>
      <c r="F512" t="s">
        <v>29</v>
      </c>
      <c r="G512" t="s">
        <v>39</v>
      </c>
      <c r="H512" t="s">
        <v>46</v>
      </c>
      <c r="I512">
        <v>27</v>
      </c>
      <c r="J512">
        <v>3</v>
      </c>
      <c r="K512">
        <v>4422</v>
      </c>
      <c r="L512">
        <v>13266</v>
      </c>
      <c r="M512" t="s">
        <v>51</v>
      </c>
      <c r="N512">
        <v>0</v>
      </c>
      <c r="O512" t="s">
        <v>25</v>
      </c>
    </row>
    <row r="513" spans="1:15" x14ac:dyDescent="0.35">
      <c r="A513">
        <v>1512</v>
      </c>
      <c r="B513" t="s">
        <v>516</v>
      </c>
      <c r="C513" s="1">
        <v>45421</v>
      </c>
      <c r="D513" s="1">
        <v>45470</v>
      </c>
      <c r="E513" s="1">
        <v>45474</v>
      </c>
      <c r="F513" t="s">
        <v>60</v>
      </c>
      <c r="G513" t="s">
        <v>22</v>
      </c>
      <c r="H513" t="s">
        <v>23</v>
      </c>
      <c r="I513">
        <v>49</v>
      </c>
      <c r="J513">
        <v>4</v>
      </c>
      <c r="K513">
        <v>6657</v>
      </c>
      <c r="L513">
        <v>26628</v>
      </c>
      <c r="M513" t="s">
        <v>24</v>
      </c>
      <c r="N513">
        <v>1</v>
      </c>
      <c r="O513" t="s">
        <v>31</v>
      </c>
    </row>
    <row r="514" spans="1:15" x14ac:dyDescent="0.35">
      <c r="A514">
        <v>1513</v>
      </c>
      <c r="B514" t="s">
        <v>517</v>
      </c>
      <c r="C514" s="1">
        <v>45558</v>
      </c>
      <c r="D514" s="1">
        <v>45570</v>
      </c>
      <c r="E514" s="1">
        <v>45571</v>
      </c>
      <c r="F514" t="s">
        <v>38</v>
      </c>
      <c r="G514" t="s">
        <v>39</v>
      </c>
      <c r="H514" t="s">
        <v>46</v>
      </c>
      <c r="I514">
        <v>12</v>
      </c>
      <c r="J514">
        <v>1</v>
      </c>
      <c r="K514">
        <v>7469</v>
      </c>
      <c r="L514">
        <v>7469</v>
      </c>
      <c r="M514" t="s">
        <v>24</v>
      </c>
      <c r="N514">
        <v>1</v>
      </c>
      <c r="O514" t="s">
        <v>25</v>
      </c>
    </row>
    <row r="515" spans="1:15" x14ac:dyDescent="0.35">
      <c r="A515">
        <v>1514</v>
      </c>
      <c r="B515" t="s">
        <v>518</v>
      </c>
      <c r="C515" s="1">
        <v>45469</v>
      </c>
      <c r="D515" s="1">
        <v>45476</v>
      </c>
      <c r="E515" s="1">
        <v>45477</v>
      </c>
      <c r="F515" t="s">
        <v>35</v>
      </c>
      <c r="G515" t="s">
        <v>22</v>
      </c>
      <c r="H515" t="s">
        <v>23</v>
      </c>
      <c r="I515">
        <v>7</v>
      </c>
      <c r="J515">
        <v>1</v>
      </c>
      <c r="K515">
        <v>2819</v>
      </c>
      <c r="L515">
        <v>2819</v>
      </c>
      <c r="M515" t="s">
        <v>24</v>
      </c>
      <c r="N515">
        <v>0</v>
      </c>
      <c r="O515" t="s">
        <v>31</v>
      </c>
    </row>
    <row r="516" spans="1:15" x14ac:dyDescent="0.35">
      <c r="A516">
        <v>1515</v>
      </c>
      <c r="B516" t="s">
        <v>176</v>
      </c>
      <c r="C516" s="1">
        <v>45544</v>
      </c>
      <c r="D516" s="1">
        <v>45603</v>
      </c>
      <c r="E516" s="1">
        <v>45607</v>
      </c>
      <c r="F516" t="s">
        <v>29</v>
      </c>
      <c r="G516" t="s">
        <v>39</v>
      </c>
      <c r="H516" t="s">
        <v>46</v>
      </c>
      <c r="I516">
        <v>59</v>
      </c>
      <c r="J516">
        <v>4</v>
      </c>
      <c r="K516">
        <v>4649</v>
      </c>
      <c r="L516">
        <v>18596</v>
      </c>
      <c r="M516" t="s">
        <v>51</v>
      </c>
      <c r="N516">
        <v>0</v>
      </c>
      <c r="O516" t="s">
        <v>25</v>
      </c>
    </row>
    <row r="517" spans="1:15" x14ac:dyDescent="0.35">
      <c r="A517">
        <v>1516</v>
      </c>
      <c r="B517" t="s">
        <v>519</v>
      </c>
      <c r="C517" s="1">
        <v>45347</v>
      </c>
      <c r="D517" s="1">
        <v>45350</v>
      </c>
      <c r="E517" s="1">
        <v>45355</v>
      </c>
      <c r="F517" t="s">
        <v>21</v>
      </c>
      <c r="G517" t="s">
        <v>39</v>
      </c>
      <c r="H517" t="s">
        <v>23</v>
      </c>
      <c r="I517">
        <v>3</v>
      </c>
      <c r="J517">
        <v>5</v>
      </c>
      <c r="K517">
        <v>3952</v>
      </c>
      <c r="L517">
        <v>19760</v>
      </c>
      <c r="M517" t="s">
        <v>24</v>
      </c>
      <c r="N517">
        <v>1</v>
      </c>
      <c r="O517" t="s">
        <v>31</v>
      </c>
    </row>
    <row r="518" spans="1:15" x14ac:dyDescent="0.35">
      <c r="A518">
        <v>1517</v>
      </c>
      <c r="B518" t="s">
        <v>520</v>
      </c>
      <c r="C518" s="1">
        <v>45374</v>
      </c>
      <c r="D518" s="1">
        <v>45384</v>
      </c>
      <c r="E518" s="1">
        <v>45388</v>
      </c>
      <c r="F518" t="s">
        <v>35</v>
      </c>
      <c r="G518" t="s">
        <v>22</v>
      </c>
      <c r="H518" t="s">
        <v>23</v>
      </c>
      <c r="I518">
        <v>10</v>
      </c>
      <c r="J518">
        <v>4</v>
      </c>
      <c r="K518">
        <v>7469</v>
      </c>
      <c r="L518">
        <v>29876</v>
      </c>
      <c r="M518" t="s">
        <v>51</v>
      </c>
      <c r="N518">
        <v>1</v>
      </c>
      <c r="O518" t="s">
        <v>25</v>
      </c>
    </row>
    <row r="519" spans="1:15" x14ac:dyDescent="0.35">
      <c r="A519">
        <v>1518</v>
      </c>
      <c r="B519" t="s">
        <v>391</v>
      </c>
      <c r="C519" s="1">
        <v>45390</v>
      </c>
      <c r="D519" s="1">
        <v>45424</v>
      </c>
      <c r="E519" s="1">
        <v>45426</v>
      </c>
      <c r="F519" t="s">
        <v>29</v>
      </c>
      <c r="G519" t="s">
        <v>39</v>
      </c>
      <c r="H519" t="s">
        <v>46</v>
      </c>
      <c r="I519">
        <v>34</v>
      </c>
      <c r="J519">
        <v>2</v>
      </c>
      <c r="K519">
        <v>8341</v>
      </c>
      <c r="L519">
        <v>16682</v>
      </c>
      <c r="M519" t="s">
        <v>51</v>
      </c>
      <c r="N519">
        <v>0</v>
      </c>
      <c r="O519" t="s">
        <v>31</v>
      </c>
    </row>
    <row r="520" spans="1:15" x14ac:dyDescent="0.35">
      <c r="A520">
        <v>1519</v>
      </c>
      <c r="B520" t="s">
        <v>521</v>
      </c>
      <c r="C520" s="1">
        <v>45440</v>
      </c>
      <c r="D520" s="1">
        <v>45465</v>
      </c>
      <c r="E520" s="1">
        <v>45469</v>
      </c>
      <c r="F520" t="s">
        <v>21</v>
      </c>
      <c r="G520" t="s">
        <v>22</v>
      </c>
      <c r="H520" t="s">
        <v>46</v>
      </c>
      <c r="I520">
        <v>25</v>
      </c>
      <c r="J520">
        <v>4</v>
      </c>
      <c r="K520">
        <v>8898</v>
      </c>
      <c r="L520">
        <v>35592</v>
      </c>
      <c r="M520" t="s">
        <v>24</v>
      </c>
      <c r="N520">
        <v>1</v>
      </c>
      <c r="O520" t="s">
        <v>31</v>
      </c>
    </row>
    <row r="521" spans="1:15" x14ac:dyDescent="0.35">
      <c r="A521">
        <v>1520</v>
      </c>
      <c r="B521" t="s">
        <v>522</v>
      </c>
      <c r="C521" s="1">
        <v>45620</v>
      </c>
      <c r="D521" s="1">
        <v>45655</v>
      </c>
      <c r="E521" s="1">
        <v>45656</v>
      </c>
      <c r="F521" t="s">
        <v>29</v>
      </c>
      <c r="G521" t="s">
        <v>39</v>
      </c>
      <c r="H521" t="s">
        <v>46</v>
      </c>
      <c r="I521">
        <v>35</v>
      </c>
      <c r="J521">
        <v>1</v>
      </c>
      <c r="K521">
        <v>4055</v>
      </c>
      <c r="L521">
        <v>4055</v>
      </c>
      <c r="M521" t="s">
        <v>24</v>
      </c>
      <c r="N521">
        <v>1</v>
      </c>
      <c r="O521" t="s">
        <v>25</v>
      </c>
    </row>
    <row r="522" spans="1:15" x14ac:dyDescent="0.35">
      <c r="A522">
        <v>1521</v>
      </c>
      <c r="B522" t="s">
        <v>523</v>
      </c>
      <c r="C522" s="1">
        <v>45447</v>
      </c>
      <c r="D522" s="1">
        <v>45463</v>
      </c>
      <c r="E522" s="1">
        <v>45467</v>
      </c>
      <c r="F522" t="s">
        <v>21</v>
      </c>
      <c r="G522" t="s">
        <v>39</v>
      </c>
      <c r="H522" t="s">
        <v>30</v>
      </c>
      <c r="I522">
        <v>16</v>
      </c>
      <c r="J522">
        <v>4</v>
      </c>
      <c r="K522">
        <v>6707</v>
      </c>
      <c r="L522">
        <v>26828</v>
      </c>
      <c r="M522" t="s">
        <v>51</v>
      </c>
      <c r="N522">
        <v>1</v>
      </c>
      <c r="O522" t="s">
        <v>31</v>
      </c>
    </row>
    <row r="523" spans="1:15" x14ac:dyDescent="0.35">
      <c r="A523">
        <v>1522</v>
      </c>
      <c r="B523" t="s">
        <v>524</v>
      </c>
      <c r="C523" s="1">
        <v>45481</v>
      </c>
      <c r="D523" s="1">
        <v>45483</v>
      </c>
      <c r="E523" s="1">
        <v>45486</v>
      </c>
      <c r="F523" t="s">
        <v>21</v>
      </c>
      <c r="G523" t="s">
        <v>39</v>
      </c>
      <c r="H523" t="s">
        <v>30</v>
      </c>
      <c r="I523">
        <v>2</v>
      </c>
      <c r="J523">
        <v>3</v>
      </c>
      <c r="K523">
        <v>5532</v>
      </c>
      <c r="L523">
        <v>16596</v>
      </c>
      <c r="M523" t="s">
        <v>51</v>
      </c>
      <c r="N523">
        <v>1</v>
      </c>
      <c r="O523" t="s">
        <v>31</v>
      </c>
    </row>
    <row r="524" spans="1:15" x14ac:dyDescent="0.35">
      <c r="A524">
        <v>1523</v>
      </c>
      <c r="B524" t="s">
        <v>525</v>
      </c>
      <c r="C524" s="1">
        <v>45554</v>
      </c>
      <c r="D524" s="1">
        <v>45578</v>
      </c>
      <c r="E524" s="1">
        <v>45580</v>
      </c>
      <c r="F524" t="s">
        <v>21</v>
      </c>
      <c r="G524" t="s">
        <v>22</v>
      </c>
      <c r="H524" t="s">
        <v>46</v>
      </c>
      <c r="I524">
        <v>24</v>
      </c>
      <c r="J524">
        <v>2</v>
      </c>
      <c r="K524">
        <v>2960</v>
      </c>
      <c r="L524">
        <v>5920</v>
      </c>
      <c r="M524" t="s">
        <v>24</v>
      </c>
      <c r="N524">
        <v>0</v>
      </c>
      <c r="O524" t="s">
        <v>25</v>
      </c>
    </row>
    <row r="525" spans="1:15" x14ac:dyDescent="0.35">
      <c r="A525">
        <v>1524</v>
      </c>
      <c r="B525" t="s">
        <v>181</v>
      </c>
      <c r="C525" s="1">
        <v>45371</v>
      </c>
      <c r="D525" s="1">
        <v>45381</v>
      </c>
      <c r="E525" s="1">
        <v>45385</v>
      </c>
      <c r="F525" t="s">
        <v>29</v>
      </c>
      <c r="G525" t="s">
        <v>39</v>
      </c>
      <c r="H525" t="s">
        <v>30</v>
      </c>
      <c r="I525">
        <v>10</v>
      </c>
      <c r="J525">
        <v>4</v>
      </c>
      <c r="K525">
        <v>3386</v>
      </c>
      <c r="L525">
        <v>13544</v>
      </c>
      <c r="M525" t="s">
        <v>51</v>
      </c>
      <c r="N525">
        <v>0</v>
      </c>
      <c r="O525" t="s">
        <v>25</v>
      </c>
    </row>
    <row r="526" spans="1:15" x14ac:dyDescent="0.35">
      <c r="A526">
        <v>1525</v>
      </c>
      <c r="B526" t="s">
        <v>358</v>
      </c>
      <c r="C526" s="1">
        <v>45543</v>
      </c>
      <c r="D526" s="1">
        <v>45581</v>
      </c>
      <c r="E526" s="1">
        <v>45582</v>
      </c>
      <c r="F526" t="s">
        <v>21</v>
      </c>
      <c r="G526" t="s">
        <v>39</v>
      </c>
      <c r="H526" t="s">
        <v>23</v>
      </c>
      <c r="I526">
        <v>38</v>
      </c>
      <c r="J526">
        <v>1</v>
      </c>
      <c r="K526">
        <v>6033</v>
      </c>
      <c r="L526">
        <v>6033</v>
      </c>
      <c r="M526" t="s">
        <v>24</v>
      </c>
      <c r="N526">
        <v>1</v>
      </c>
      <c r="O526" t="s">
        <v>31</v>
      </c>
    </row>
    <row r="527" spans="1:15" x14ac:dyDescent="0.35">
      <c r="A527">
        <v>1526</v>
      </c>
      <c r="B527" t="s">
        <v>526</v>
      </c>
      <c r="C527" s="1">
        <v>45388</v>
      </c>
      <c r="D527" s="1">
        <v>45410</v>
      </c>
      <c r="E527" s="1">
        <v>45412</v>
      </c>
      <c r="F527" t="s">
        <v>35</v>
      </c>
      <c r="G527" t="s">
        <v>22</v>
      </c>
      <c r="H527" t="s">
        <v>46</v>
      </c>
      <c r="I527">
        <v>22</v>
      </c>
      <c r="J527">
        <v>2</v>
      </c>
      <c r="K527">
        <v>6436</v>
      </c>
      <c r="L527">
        <v>12872</v>
      </c>
      <c r="M527" t="s">
        <v>51</v>
      </c>
      <c r="N527">
        <v>1</v>
      </c>
      <c r="O527" t="s">
        <v>25</v>
      </c>
    </row>
    <row r="528" spans="1:15" x14ac:dyDescent="0.35">
      <c r="A528">
        <v>1527</v>
      </c>
      <c r="B528" t="s">
        <v>527</v>
      </c>
      <c r="C528" s="1">
        <v>45551</v>
      </c>
      <c r="D528" s="1">
        <v>45577</v>
      </c>
      <c r="E528" s="1">
        <v>45578</v>
      </c>
      <c r="F528" t="s">
        <v>38</v>
      </c>
      <c r="G528" t="s">
        <v>39</v>
      </c>
      <c r="H528" t="s">
        <v>30</v>
      </c>
      <c r="I528">
        <v>26</v>
      </c>
      <c r="J528">
        <v>1</v>
      </c>
      <c r="K528">
        <v>3615</v>
      </c>
      <c r="L528">
        <v>3615</v>
      </c>
      <c r="M528" t="s">
        <v>24</v>
      </c>
      <c r="N528">
        <v>0</v>
      </c>
      <c r="O528" t="s">
        <v>25</v>
      </c>
    </row>
    <row r="529" spans="1:15" x14ac:dyDescent="0.35">
      <c r="A529">
        <v>1528</v>
      </c>
      <c r="B529" t="s">
        <v>281</v>
      </c>
      <c r="C529" s="1">
        <v>45551</v>
      </c>
      <c r="D529" s="1">
        <v>45594</v>
      </c>
      <c r="E529" s="1">
        <v>45599</v>
      </c>
      <c r="F529" t="s">
        <v>38</v>
      </c>
      <c r="G529" t="s">
        <v>39</v>
      </c>
      <c r="H529" t="s">
        <v>46</v>
      </c>
      <c r="I529">
        <v>43</v>
      </c>
      <c r="J529">
        <v>5</v>
      </c>
      <c r="K529">
        <v>3575</v>
      </c>
      <c r="L529">
        <v>17875</v>
      </c>
      <c r="M529" t="s">
        <v>51</v>
      </c>
      <c r="N529">
        <v>1</v>
      </c>
      <c r="O529" t="s">
        <v>25</v>
      </c>
    </row>
    <row r="530" spans="1:15" x14ac:dyDescent="0.35">
      <c r="A530">
        <v>1529</v>
      </c>
      <c r="B530" t="s">
        <v>528</v>
      </c>
      <c r="C530" s="1">
        <v>45394</v>
      </c>
      <c r="D530" s="1">
        <v>45449</v>
      </c>
      <c r="E530" s="1">
        <v>45452</v>
      </c>
      <c r="F530" t="s">
        <v>21</v>
      </c>
      <c r="G530" t="s">
        <v>39</v>
      </c>
      <c r="H530" t="s">
        <v>23</v>
      </c>
      <c r="I530">
        <v>55</v>
      </c>
      <c r="J530">
        <v>3</v>
      </c>
      <c r="K530">
        <v>6376</v>
      </c>
      <c r="L530">
        <v>19128</v>
      </c>
      <c r="M530" t="s">
        <v>24</v>
      </c>
      <c r="N530">
        <v>1</v>
      </c>
      <c r="O530" t="s">
        <v>31</v>
      </c>
    </row>
    <row r="531" spans="1:15" x14ac:dyDescent="0.35">
      <c r="A531">
        <v>1530</v>
      </c>
      <c r="B531" t="s">
        <v>529</v>
      </c>
      <c r="C531" s="1">
        <v>45331</v>
      </c>
      <c r="D531" s="1">
        <v>45370</v>
      </c>
      <c r="E531" s="1">
        <v>45375</v>
      </c>
      <c r="F531" t="s">
        <v>38</v>
      </c>
      <c r="G531" t="s">
        <v>39</v>
      </c>
      <c r="H531" t="s">
        <v>23</v>
      </c>
      <c r="I531">
        <v>39</v>
      </c>
      <c r="J531">
        <v>5</v>
      </c>
      <c r="K531">
        <v>7115</v>
      </c>
      <c r="L531">
        <v>35575</v>
      </c>
      <c r="M531" t="s">
        <v>24</v>
      </c>
      <c r="N531">
        <v>1</v>
      </c>
      <c r="O531" t="s">
        <v>31</v>
      </c>
    </row>
    <row r="532" spans="1:15" x14ac:dyDescent="0.35">
      <c r="A532">
        <v>1531</v>
      </c>
      <c r="B532" t="s">
        <v>530</v>
      </c>
      <c r="C532" s="1">
        <v>45564</v>
      </c>
      <c r="D532" s="1">
        <v>45591</v>
      </c>
      <c r="E532" s="1">
        <v>45594</v>
      </c>
      <c r="F532" t="s">
        <v>38</v>
      </c>
      <c r="G532" t="s">
        <v>22</v>
      </c>
      <c r="H532" t="s">
        <v>30</v>
      </c>
      <c r="I532">
        <v>27</v>
      </c>
      <c r="J532">
        <v>3</v>
      </c>
      <c r="K532">
        <v>7407</v>
      </c>
      <c r="L532">
        <v>22221</v>
      </c>
      <c r="M532" t="s">
        <v>51</v>
      </c>
      <c r="N532">
        <v>0</v>
      </c>
      <c r="O532" t="s">
        <v>31</v>
      </c>
    </row>
    <row r="533" spans="1:15" x14ac:dyDescent="0.35">
      <c r="A533">
        <v>1532</v>
      </c>
      <c r="B533" t="s">
        <v>531</v>
      </c>
      <c r="C533" s="1">
        <v>45392</v>
      </c>
      <c r="D533" s="1">
        <v>45421</v>
      </c>
      <c r="E533" s="1">
        <v>45425</v>
      </c>
      <c r="F533" t="s">
        <v>21</v>
      </c>
      <c r="G533" t="s">
        <v>39</v>
      </c>
      <c r="H533" t="s">
        <v>23</v>
      </c>
      <c r="I533">
        <v>29</v>
      </c>
      <c r="J533">
        <v>4</v>
      </c>
      <c r="K533">
        <v>8879</v>
      </c>
      <c r="L533">
        <v>35516</v>
      </c>
      <c r="M533" t="s">
        <v>24</v>
      </c>
      <c r="N533">
        <v>0</v>
      </c>
      <c r="O533" t="s">
        <v>31</v>
      </c>
    </row>
    <row r="534" spans="1:15" x14ac:dyDescent="0.35">
      <c r="A534">
        <v>1533</v>
      </c>
      <c r="B534" t="s">
        <v>532</v>
      </c>
      <c r="C534" s="1">
        <v>45650</v>
      </c>
      <c r="D534" s="1">
        <v>45697</v>
      </c>
      <c r="E534" s="1">
        <v>45699</v>
      </c>
      <c r="F534" t="s">
        <v>21</v>
      </c>
      <c r="G534" t="s">
        <v>39</v>
      </c>
      <c r="H534" t="s">
        <v>46</v>
      </c>
      <c r="I534">
        <v>47</v>
      </c>
      <c r="J534">
        <v>2</v>
      </c>
      <c r="K534">
        <v>4424</v>
      </c>
      <c r="L534">
        <v>8848</v>
      </c>
      <c r="M534" t="s">
        <v>51</v>
      </c>
      <c r="N534">
        <v>1</v>
      </c>
      <c r="O534" t="s">
        <v>31</v>
      </c>
    </row>
    <row r="535" spans="1:15" x14ac:dyDescent="0.35">
      <c r="A535">
        <v>1534</v>
      </c>
      <c r="B535" t="s">
        <v>533</v>
      </c>
      <c r="C535" s="1">
        <v>45599</v>
      </c>
      <c r="D535" s="1">
        <v>45637</v>
      </c>
      <c r="E535" s="1">
        <v>45641</v>
      </c>
      <c r="F535" t="s">
        <v>35</v>
      </c>
      <c r="G535" t="s">
        <v>22</v>
      </c>
      <c r="H535" t="s">
        <v>30</v>
      </c>
      <c r="I535">
        <v>38</v>
      </c>
      <c r="J535">
        <v>4</v>
      </c>
      <c r="K535">
        <v>8200</v>
      </c>
      <c r="L535">
        <v>32800</v>
      </c>
      <c r="M535" t="s">
        <v>51</v>
      </c>
      <c r="N535">
        <v>1</v>
      </c>
      <c r="O535" t="s">
        <v>31</v>
      </c>
    </row>
    <row r="536" spans="1:15" x14ac:dyDescent="0.35">
      <c r="A536">
        <v>1535</v>
      </c>
      <c r="B536" t="s">
        <v>534</v>
      </c>
      <c r="C536" s="1">
        <v>45512</v>
      </c>
      <c r="D536" s="1">
        <v>45532</v>
      </c>
      <c r="E536" s="1">
        <v>45535</v>
      </c>
      <c r="F536" t="s">
        <v>60</v>
      </c>
      <c r="G536" t="s">
        <v>39</v>
      </c>
      <c r="H536" t="s">
        <v>46</v>
      </c>
      <c r="I536">
        <v>20</v>
      </c>
      <c r="J536">
        <v>3</v>
      </c>
      <c r="K536">
        <v>3426</v>
      </c>
      <c r="L536">
        <v>10278</v>
      </c>
      <c r="M536" t="s">
        <v>51</v>
      </c>
      <c r="N536">
        <v>0</v>
      </c>
      <c r="O536" t="s">
        <v>31</v>
      </c>
    </row>
    <row r="537" spans="1:15" x14ac:dyDescent="0.35">
      <c r="A537">
        <v>1536</v>
      </c>
      <c r="B537" t="s">
        <v>535</v>
      </c>
      <c r="C537" s="1">
        <v>45599</v>
      </c>
      <c r="D537" s="1">
        <v>45626</v>
      </c>
      <c r="E537" s="1">
        <v>45629</v>
      </c>
      <c r="F537" t="s">
        <v>29</v>
      </c>
      <c r="G537" t="s">
        <v>39</v>
      </c>
      <c r="H537" t="s">
        <v>46</v>
      </c>
      <c r="I537">
        <v>27</v>
      </c>
      <c r="J537">
        <v>3</v>
      </c>
      <c r="K537">
        <v>7152</v>
      </c>
      <c r="L537">
        <v>21456</v>
      </c>
      <c r="M537" t="s">
        <v>51</v>
      </c>
      <c r="N537">
        <v>0</v>
      </c>
      <c r="O537" t="s">
        <v>25</v>
      </c>
    </row>
    <row r="538" spans="1:15" x14ac:dyDescent="0.35">
      <c r="A538">
        <v>1537</v>
      </c>
      <c r="B538" t="s">
        <v>536</v>
      </c>
      <c r="C538" s="1">
        <v>45415</v>
      </c>
      <c r="D538" s="1">
        <v>45456</v>
      </c>
      <c r="E538" s="1">
        <v>45459</v>
      </c>
      <c r="F538" t="s">
        <v>21</v>
      </c>
      <c r="G538" t="s">
        <v>22</v>
      </c>
      <c r="H538" t="s">
        <v>46</v>
      </c>
      <c r="I538">
        <v>41</v>
      </c>
      <c r="J538">
        <v>3</v>
      </c>
      <c r="K538">
        <v>4781</v>
      </c>
      <c r="L538">
        <v>14343</v>
      </c>
      <c r="M538" t="s">
        <v>24</v>
      </c>
      <c r="N538">
        <v>1</v>
      </c>
      <c r="O538" t="s">
        <v>31</v>
      </c>
    </row>
    <row r="539" spans="1:15" x14ac:dyDescent="0.35">
      <c r="A539">
        <v>1538</v>
      </c>
      <c r="B539" t="s">
        <v>537</v>
      </c>
      <c r="C539" s="1">
        <v>45522</v>
      </c>
      <c r="D539" s="1">
        <v>45576</v>
      </c>
      <c r="E539" s="1">
        <v>45577</v>
      </c>
      <c r="F539" t="s">
        <v>21</v>
      </c>
      <c r="G539" t="s">
        <v>22</v>
      </c>
      <c r="H539" t="s">
        <v>23</v>
      </c>
      <c r="I539">
        <v>54</v>
      </c>
      <c r="J539">
        <v>1</v>
      </c>
      <c r="K539">
        <v>3555</v>
      </c>
      <c r="L539">
        <v>3555</v>
      </c>
      <c r="M539" t="s">
        <v>51</v>
      </c>
      <c r="N539">
        <v>1</v>
      </c>
      <c r="O539" t="s">
        <v>31</v>
      </c>
    </row>
    <row r="540" spans="1:15" x14ac:dyDescent="0.35">
      <c r="A540">
        <v>1539</v>
      </c>
      <c r="B540" t="s">
        <v>142</v>
      </c>
      <c r="C540" s="1">
        <v>45469</v>
      </c>
      <c r="D540" s="1">
        <v>45489</v>
      </c>
      <c r="E540" s="1">
        <v>45491</v>
      </c>
      <c r="F540" t="s">
        <v>38</v>
      </c>
      <c r="G540" t="s">
        <v>22</v>
      </c>
      <c r="H540" t="s">
        <v>46</v>
      </c>
      <c r="I540">
        <v>20</v>
      </c>
      <c r="J540">
        <v>2</v>
      </c>
      <c r="K540">
        <v>7174</v>
      </c>
      <c r="L540">
        <v>14348</v>
      </c>
      <c r="M540" t="s">
        <v>51</v>
      </c>
      <c r="N540">
        <v>1</v>
      </c>
      <c r="O540" t="s">
        <v>25</v>
      </c>
    </row>
    <row r="541" spans="1:15" x14ac:dyDescent="0.35">
      <c r="A541">
        <v>1540</v>
      </c>
      <c r="B541" t="s">
        <v>437</v>
      </c>
      <c r="C541" s="1">
        <v>45354</v>
      </c>
      <c r="D541" s="1">
        <v>45398</v>
      </c>
      <c r="E541" s="1">
        <v>45402</v>
      </c>
      <c r="F541" t="s">
        <v>35</v>
      </c>
      <c r="G541" t="s">
        <v>22</v>
      </c>
      <c r="H541" t="s">
        <v>23</v>
      </c>
      <c r="I541">
        <v>44</v>
      </c>
      <c r="J541">
        <v>4</v>
      </c>
      <c r="K541">
        <v>3041</v>
      </c>
      <c r="L541">
        <v>12164</v>
      </c>
      <c r="M541" t="s">
        <v>51</v>
      </c>
      <c r="N541">
        <v>1</v>
      </c>
      <c r="O541" t="s">
        <v>25</v>
      </c>
    </row>
    <row r="542" spans="1:15" x14ac:dyDescent="0.35">
      <c r="A542">
        <v>1541</v>
      </c>
      <c r="B542" t="s">
        <v>538</v>
      </c>
      <c r="C542" s="1">
        <v>45407</v>
      </c>
      <c r="D542" s="1">
        <v>45426</v>
      </c>
      <c r="E542" s="1">
        <v>45430</v>
      </c>
      <c r="F542" t="s">
        <v>38</v>
      </c>
      <c r="G542" t="s">
        <v>39</v>
      </c>
      <c r="H542" t="s">
        <v>46</v>
      </c>
      <c r="I542">
        <v>19</v>
      </c>
      <c r="J542">
        <v>4</v>
      </c>
      <c r="K542">
        <v>4661</v>
      </c>
      <c r="L542">
        <v>18644</v>
      </c>
      <c r="M542" t="s">
        <v>24</v>
      </c>
      <c r="N542">
        <v>1</v>
      </c>
      <c r="O542" t="s">
        <v>25</v>
      </c>
    </row>
    <row r="543" spans="1:15" x14ac:dyDescent="0.35">
      <c r="A543">
        <v>1542</v>
      </c>
      <c r="B543" t="s">
        <v>539</v>
      </c>
      <c r="C543" s="1">
        <v>45482</v>
      </c>
      <c r="D543" s="1">
        <v>45502</v>
      </c>
      <c r="E543" s="1">
        <v>45507</v>
      </c>
      <c r="F543" t="s">
        <v>21</v>
      </c>
      <c r="G543" t="s">
        <v>22</v>
      </c>
      <c r="H543" t="s">
        <v>23</v>
      </c>
      <c r="I543">
        <v>20</v>
      </c>
      <c r="J543">
        <v>5</v>
      </c>
      <c r="K543">
        <v>4751</v>
      </c>
      <c r="L543">
        <v>23755</v>
      </c>
      <c r="M543" t="s">
        <v>51</v>
      </c>
      <c r="N543">
        <v>0</v>
      </c>
      <c r="O543" t="s">
        <v>31</v>
      </c>
    </row>
    <row r="544" spans="1:15" x14ac:dyDescent="0.35">
      <c r="A544">
        <v>1543</v>
      </c>
      <c r="B544" t="s">
        <v>141</v>
      </c>
      <c r="C544" s="1">
        <v>45353</v>
      </c>
      <c r="D544" s="1">
        <v>45388</v>
      </c>
      <c r="E544" s="1">
        <v>45391</v>
      </c>
      <c r="F544" t="s">
        <v>21</v>
      </c>
      <c r="G544" t="s">
        <v>39</v>
      </c>
      <c r="H544" t="s">
        <v>23</v>
      </c>
      <c r="I544">
        <v>35</v>
      </c>
      <c r="J544">
        <v>3</v>
      </c>
      <c r="K544">
        <v>3552</v>
      </c>
      <c r="L544">
        <v>10656</v>
      </c>
      <c r="M544" t="s">
        <v>24</v>
      </c>
      <c r="N544">
        <v>0</v>
      </c>
      <c r="O544" t="s">
        <v>25</v>
      </c>
    </row>
    <row r="545" spans="1:15" x14ac:dyDescent="0.35">
      <c r="A545">
        <v>1544</v>
      </c>
      <c r="B545" t="s">
        <v>540</v>
      </c>
      <c r="C545" s="1">
        <v>45547</v>
      </c>
      <c r="D545" s="1">
        <v>45594</v>
      </c>
      <c r="E545" s="1">
        <v>45597</v>
      </c>
      <c r="F545" t="s">
        <v>38</v>
      </c>
      <c r="G545" t="s">
        <v>22</v>
      </c>
      <c r="H545" t="s">
        <v>23</v>
      </c>
      <c r="I545">
        <v>47</v>
      </c>
      <c r="J545">
        <v>3</v>
      </c>
      <c r="K545">
        <v>7069</v>
      </c>
      <c r="L545">
        <v>21207</v>
      </c>
      <c r="M545" t="s">
        <v>24</v>
      </c>
      <c r="N545">
        <v>0</v>
      </c>
      <c r="O545" t="s">
        <v>31</v>
      </c>
    </row>
    <row r="546" spans="1:15" x14ac:dyDescent="0.35">
      <c r="A546">
        <v>1545</v>
      </c>
      <c r="B546" t="s">
        <v>541</v>
      </c>
      <c r="C546" s="1">
        <v>45298</v>
      </c>
      <c r="D546" s="1">
        <v>45300</v>
      </c>
      <c r="E546" s="1">
        <v>45303</v>
      </c>
      <c r="F546" t="s">
        <v>21</v>
      </c>
      <c r="G546" t="s">
        <v>39</v>
      </c>
      <c r="H546" t="s">
        <v>46</v>
      </c>
      <c r="I546">
        <v>2</v>
      </c>
      <c r="J546">
        <v>3</v>
      </c>
      <c r="K546">
        <v>5244</v>
      </c>
      <c r="L546">
        <v>15732</v>
      </c>
      <c r="M546" t="s">
        <v>51</v>
      </c>
      <c r="N546">
        <v>0</v>
      </c>
      <c r="O546" t="s">
        <v>31</v>
      </c>
    </row>
    <row r="547" spans="1:15" x14ac:dyDescent="0.35">
      <c r="A547">
        <v>1546</v>
      </c>
      <c r="B547" t="s">
        <v>150</v>
      </c>
      <c r="C547" s="1">
        <v>45446</v>
      </c>
      <c r="D547" s="1">
        <v>45476</v>
      </c>
      <c r="E547" s="1">
        <v>45480</v>
      </c>
      <c r="F547" t="s">
        <v>60</v>
      </c>
      <c r="G547" t="s">
        <v>22</v>
      </c>
      <c r="H547" t="s">
        <v>46</v>
      </c>
      <c r="I547">
        <v>30</v>
      </c>
      <c r="J547">
        <v>4</v>
      </c>
      <c r="K547">
        <v>8896</v>
      </c>
      <c r="L547">
        <v>35584</v>
      </c>
      <c r="M547" t="s">
        <v>24</v>
      </c>
      <c r="N547">
        <v>0</v>
      </c>
      <c r="O547" t="s">
        <v>31</v>
      </c>
    </row>
    <row r="548" spans="1:15" x14ac:dyDescent="0.35">
      <c r="A548">
        <v>1547</v>
      </c>
      <c r="B548" t="s">
        <v>542</v>
      </c>
      <c r="C548" s="1">
        <v>45383</v>
      </c>
      <c r="D548" s="1">
        <v>45436</v>
      </c>
      <c r="E548" s="1">
        <v>45441</v>
      </c>
      <c r="F548" t="s">
        <v>29</v>
      </c>
      <c r="G548" t="s">
        <v>22</v>
      </c>
      <c r="H548" t="s">
        <v>23</v>
      </c>
      <c r="I548">
        <v>53</v>
      </c>
      <c r="J548">
        <v>5</v>
      </c>
      <c r="K548">
        <v>6369</v>
      </c>
      <c r="L548">
        <v>31845</v>
      </c>
      <c r="M548" t="s">
        <v>51</v>
      </c>
      <c r="N548">
        <v>1</v>
      </c>
      <c r="O548" t="s">
        <v>25</v>
      </c>
    </row>
    <row r="549" spans="1:15" x14ac:dyDescent="0.35">
      <c r="A549">
        <v>1548</v>
      </c>
      <c r="B549" t="s">
        <v>543</v>
      </c>
      <c r="C549" s="1">
        <v>45305</v>
      </c>
      <c r="D549" s="1">
        <v>45339</v>
      </c>
      <c r="E549" s="1">
        <v>45340</v>
      </c>
      <c r="F549" t="s">
        <v>29</v>
      </c>
      <c r="G549" t="s">
        <v>39</v>
      </c>
      <c r="H549" t="s">
        <v>46</v>
      </c>
      <c r="I549">
        <v>34</v>
      </c>
      <c r="J549">
        <v>1</v>
      </c>
      <c r="K549">
        <v>7500</v>
      </c>
      <c r="L549">
        <v>7500</v>
      </c>
      <c r="M549" t="s">
        <v>24</v>
      </c>
      <c r="N549">
        <v>0</v>
      </c>
      <c r="O549" t="s">
        <v>25</v>
      </c>
    </row>
    <row r="550" spans="1:15" x14ac:dyDescent="0.35">
      <c r="A550">
        <v>1549</v>
      </c>
      <c r="B550" t="s">
        <v>544</v>
      </c>
      <c r="C550" s="1">
        <v>45520</v>
      </c>
      <c r="D550" s="1">
        <v>45542</v>
      </c>
      <c r="E550" s="1">
        <v>45544</v>
      </c>
      <c r="F550" t="s">
        <v>29</v>
      </c>
      <c r="G550" t="s">
        <v>22</v>
      </c>
      <c r="H550" t="s">
        <v>23</v>
      </c>
      <c r="I550">
        <v>22</v>
      </c>
      <c r="J550">
        <v>2</v>
      </c>
      <c r="K550">
        <v>8541</v>
      </c>
      <c r="L550">
        <v>17082</v>
      </c>
      <c r="M550" t="s">
        <v>24</v>
      </c>
      <c r="N550">
        <v>1</v>
      </c>
      <c r="O550" t="s">
        <v>31</v>
      </c>
    </row>
    <row r="551" spans="1:15" x14ac:dyDescent="0.35">
      <c r="A551">
        <v>1550</v>
      </c>
      <c r="B551" t="s">
        <v>453</v>
      </c>
      <c r="C551" s="1">
        <v>45377</v>
      </c>
      <c r="D551" s="1">
        <v>45380</v>
      </c>
      <c r="E551" s="1">
        <v>45381</v>
      </c>
      <c r="F551" t="s">
        <v>60</v>
      </c>
      <c r="G551" t="s">
        <v>22</v>
      </c>
      <c r="H551" t="s">
        <v>46</v>
      </c>
      <c r="I551">
        <v>3</v>
      </c>
      <c r="J551">
        <v>1</v>
      </c>
      <c r="K551">
        <v>6981</v>
      </c>
      <c r="L551">
        <v>6981</v>
      </c>
      <c r="M551" t="s">
        <v>51</v>
      </c>
      <c r="N551">
        <v>0</v>
      </c>
      <c r="O551" t="s">
        <v>31</v>
      </c>
    </row>
    <row r="552" spans="1:15" x14ac:dyDescent="0.35">
      <c r="A552">
        <v>1551</v>
      </c>
      <c r="B552" t="s">
        <v>545</v>
      </c>
      <c r="C552" s="1">
        <v>45424</v>
      </c>
      <c r="D552" s="1">
        <v>45430</v>
      </c>
      <c r="E552" s="1">
        <v>45434</v>
      </c>
      <c r="F552" t="s">
        <v>21</v>
      </c>
      <c r="G552" t="s">
        <v>22</v>
      </c>
      <c r="H552" t="s">
        <v>23</v>
      </c>
      <c r="I552">
        <v>6</v>
      </c>
      <c r="J552">
        <v>4</v>
      </c>
      <c r="K552">
        <v>6657</v>
      </c>
      <c r="L552">
        <v>26628</v>
      </c>
      <c r="M552" t="s">
        <v>24</v>
      </c>
      <c r="N552">
        <v>1</v>
      </c>
      <c r="O552" t="s">
        <v>31</v>
      </c>
    </row>
    <row r="553" spans="1:15" x14ac:dyDescent="0.35">
      <c r="A553">
        <v>1552</v>
      </c>
      <c r="B553" t="s">
        <v>546</v>
      </c>
      <c r="C553" s="1">
        <v>45474</v>
      </c>
      <c r="D553" s="1">
        <v>45489</v>
      </c>
      <c r="E553" s="1">
        <v>45492</v>
      </c>
      <c r="F553" t="s">
        <v>38</v>
      </c>
      <c r="G553" t="s">
        <v>39</v>
      </c>
      <c r="H553" t="s">
        <v>23</v>
      </c>
      <c r="I553">
        <v>15</v>
      </c>
      <c r="J553">
        <v>3</v>
      </c>
      <c r="K553">
        <v>7110</v>
      </c>
      <c r="L553">
        <v>21330</v>
      </c>
      <c r="M553" t="s">
        <v>51</v>
      </c>
      <c r="N553">
        <v>0</v>
      </c>
      <c r="O553" t="s">
        <v>25</v>
      </c>
    </row>
    <row r="554" spans="1:15" x14ac:dyDescent="0.35">
      <c r="A554">
        <v>1553</v>
      </c>
      <c r="B554" t="s">
        <v>547</v>
      </c>
      <c r="C554" s="1">
        <v>45353</v>
      </c>
      <c r="D554" s="1">
        <v>45380</v>
      </c>
      <c r="E554" s="1">
        <v>45382</v>
      </c>
      <c r="F554" t="s">
        <v>35</v>
      </c>
      <c r="G554" t="s">
        <v>22</v>
      </c>
      <c r="H554" t="s">
        <v>30</v>
      </c>
      <c r="I554">
        <v>27</v>
      </c>
      <c r="J554">
        <v>2</v>
      </c>
      <c r="K554">
        <v>7025</v>
      </c>
      <c r="L554">
        <v>14050</v>
      </c>
      <c r="M554" t="s">
        <v>24</v>
      </c>
      <c r="N554">
        <v>0</v>
      </c>
      <c r="O554" t="s">
        <v>31</v>
      </c>
    </row>
    <row r="555" spans="1:15" x14ac:dyDescent="0.35">
      <c r="A555">
        <v>1554</v>
      </c>
      <c r="B555" t="s">
        <v>548</v>
      </c>
      <c r="C555" s="1">
        <v>45510</v>
      </c>
      <c r="D555" s="1">
        <v>45520</v>
      </c>
      <c r="E555" s="1">
        <v>45524</v>
      </c>
      <c r="F555" t="s">
        <v>21</v>
      </c>
      <c r="G555" t="s">
        <v>22</v>
      </c>
      <c r="H555" t="s">
        <v>46</v>
      </c>
      <c r="I555">
        <v>10</v>
      </c>
      <c r="J555">
        <v>4</v>
      </c>
      <c r="K555">
        <v>7175</v>
      </c>
      <c r="L555">
        <v>28700</v>
      </c>
      <c r="M555" t="s">
        <v>51</v>
      </c>
      <c r="N555">
        <v>0</v>
      </c>
      <c r="O555" t="s">
        <v>25</v>
      </c>
    </row>
    <row r="556" spans="1:15" x14ac:dyDescent="0.35">
      <c r="A556">
        <v>1555</v>
      </c>
      <c r="B556" t="s">
        <v>347</v>
      </c>
      <c r="C556" s="1">
        <v>45537</v>
      </c>
      <c r="D556" s="1">
        <v>45546</v>
      </c>
      <c r="E556" s="1">
        <v>45550</v>
      </c>
      <c r="F556" t="s">
        <v>60</v>
      </c>
      <c r="G556" t="s">
        <v>39</v>
      </c>
      <c r="H556" t="s">
        <v>46</v>
      </c>
      <c r="I556">
        <v>9</v>
      </c>
      <c r="J556">
        <v>4</v>
      </c>
      <c r="K556">
        <v>4060</v>
      </c>
      <c r="L556">
        <v>16240</v>
      </c>
      <c r="M556" t="s">
        <v>51</v>
      </c>
      <c r="N556">
        <v>1</v>
      </c>
      <c r="O556" t="s">
        <v>31</v>
      </c>
    </row>
    <row r="557" spans="1:15" x14ac:dyDescent="0.35">
      <c r="A557">
        <v>1556</v>
      </c>
      <c r="B557" t="s">
        <v>549</v>
      </c>
      <c r="C557" s="1">
        <v>45521</v>
      </c>
      <c r="D557" s="1">
        <v>45554</v>
      </c>
      <c r="E557" s="1">
        <v>45558</v>
      </c>
      <c r="F557" t="s">
        <v>60</v>
      </c>
      <c r="G557" t="s">
        <v>39</v>
      </c>
      <c r="H557" t="s">
        <v>30</v>
      </c>
      <c r="I557">
        <v>33</v>
      </c>
      <c r="J557">
        <v>4</v>
      </c>
      <c r="K557">
        <v>6262</v>
      </c>
      <c r="L557">
        <v>25048</v>
      </c>
      <c r="M557" t="s">
        <v>51</v>
      </c>
      <c r="N557">
        <v>1</v>
      </c>
      <c r="O557" t="s">
        <v>25</v>
      </c>
    </row>
    <row r="558" spans="1:15" x14ac:dyDescent="0.35">
      <c r="A558">
        <v>1557</v>
      </c>
      <c r="B558" t="s">
        <v>361</v>
      </c>
      <c r="C558" s="1">
        <v>45370</v>
      </c>
      <c r="D558" s="1">
        <v>45402</v>
      </c>
      <c r="E558" s="1">
        <v>45404</v>
      </c>
      <c r="F558" t="s">
        <v>29</v>
      </c>
      <c r="G558" t="s">
        <v>22</v>
      </c>
      <c r="H558" t="s">
        <v>23</v>
      </c>
      <c r="I558">
        <v>32</v>
      </c>
      <c r="J558">
        <v>2</v>
      </c>
      <c r="K558">
        <v>3664</v>
      </c>
      <c r="L558">
        <v>7328</v>
      </c>
      <c r="M558" t="s">
        <v>51</v>
      </c>
      <c r="N558">
        <v>0</v>
      </c>
      <c r="O558" t="s">
        <v>31</v>
      </c>
    </row>
    <row r="559" spans="1:15" x14ac:dyDescent="0.35">
      <c r="A559">
        <v>1558</v>
      </c>
      <c r="B559" t="s">
        <v>238</v>
      </c>
      <c r="C559" s="1">
        <v>45440</v>
      </c>
      <c r="D559" s="1">
        <v>45488</v>
      </c>
      <c r="E559" s="1">
        <v>45490</v>
      </c>
      <c r="F559" t="s">
        <v>21</v>
      </c>
      <c r="G559" t="s">
        <v>39</v>
      </c>
      <c r="H559" t="s">
        <v>23</v>
      </c>
      <c r="I559">
        <v>48</v>
      </c>
      <c r="J559">
        <v>2</v>
      </c>
      <c r="K559">
        <v>7919</v>
      </c>
      <c r="L559">
        <v>15838</v>
      </c>
      <c r="M559" t="s">
        <v>24</v>
      </c>
      <c r="N559">
        <v>1</v>
      </c>
      <c r="O559" t="s">
        <v>25</v>
      </c>
    </row>
    <row r="560" spans="1:15" x14ac:dyDescent="0.35">
      <c r="A560">
        <v>1559</v>
      </c>
      <c r="B560" t="s">
        <v>550</v>
      </c>
      <c r="C560" s="1">
        <v>45429</v>
      </c>
      <c r="D560" s="1">
        <v>45435</v>
      </c>
      <c r="E560" s="1">
        <v>45440</v>
      </c>
      <c r="F560" t="s">
        <v>29</v>
      </c>
      <c r="G560" t="s">
        <v>39</v>
      </c>
      <c r="H560" t="s">
        <v>30</v>
      </c>
      <c r="I560">
        <v>6</v>
      </c>
      <c r="J560">
        <v>5</v>
      </c>
      <c r="K560">
        <v>5222</v>
      </c>
      <c r="L560">
        <v>26110</v>
      </c>
      <c r="M560" t="s">
        <v>51</v>
      </c>
      <c r="N560">
        <v>0</v>
      </c>
      <c r="O560" t="s">
        <v>25</v>
      </c>
    </row>
    <row r="561" spans="1:15" x14ac:dyDescent="0.35">
      <c r="A561">
        <v>1560</v>
      </c>
      <c r="B561" t="s">
        <v>551</v>
      </c>
      <c r="C561" s="1">
        <v>45605</v>
      </c>
      <c r="D561" s="1">
        <v>45646</v>
      </c>
      <c r="E561" s="1">
        <v>45651</v>
      </c>
      <c r="F561" t="s">
        <v>35</v>
      </c>
      <c r="G561" t="s">
        <v>39</v>
      </c>
      <c r="H561" t="s">
        <v>30</v>
      </c>
      <c r="I561">
        <v>41</v>
      </c>
      <c r="J561">
        <v>5</v>
      </c>
      <c r="K561">
        <v>4858</v>
      </c>
      <c r="L561">
        <v>24290</v>
      </c>
      <c r="M561" t="s">
        <v>51</v>
      </c>
      <c r="N561">
        <v>1</v>
      </c>
      <c r="O561" t="s">
        <v>25</v>
      </c>
    </row>
    <row r="562" spans="1:15" x14ac:dyDescent="0.35">
      <c r="A562">
        <v>1561</v>
      </c>
      <c r="B562" t="s">
        <v>552</v>
      </c>
      <c r="C562" s="1">
        <v>45356</v>
      </c>
      <c r="D562" s="1">
        <v>45415</v>
      </c>
      <c r="E562" s="1">
        <v>45416</v>
      </c>
      <c r="F562" t="s">
        <v>29</v>
      </c>
      <c r="G562" t="s">
        <v>22</v>
      </c>
      <c r="H562" t="s">
        <v>23</v>
      </c>
      <c r="I562">
        <v>59</v>
      </c>
      <c r="J562">
        <v>1</v>
      </c>
      <c r="K562">
        <v>2970</v>
      </c>
      <c r="L562">
        <v>2970</v>
      </c>
      <c r="M562" t="s">
        <v>51</v>
      </c>
      <c r="N562">
        <v>1</v>
      </c>
      <c r="O562" t="s">
        <v>25</v>
      </c>
    </row>
    <row r="563" spans="1:15" x14ac:dyDescent="0.35">
      <c r="A563">
        <v>1562</v>
      </c>
      <c r="B563" t="s">
        <v>553</v>
      </c>
      <c r="C563" s="1">
        <v>45304</v>
      </c>
      <c r="D563" s="1">
        <v>45340</v>
      </c>
      <c r="E563" s="1">
        <v>45342</v>
      </c>
      <c r="F563" t="s">
        <v>35</v>
      </c>
      <c r="G563" t="s">
        <v>22</v>
      </c>
      <c r="H563" t="s">
        <v>46</v>
      </c>
      <c r="I563">
        <v>36</v>
      </c>
      <c r="J563">
        <v>2</v>
      </c>
      <c r="K563">
        <v>3916</v>
      </c>
      <c r="L563">
        <v>7832</v>
      </c>
      <c r="M563" t="s">
        <v>51</v>
      </c>
      <c r="N563">
        <v>1</v>
      </c>
      <c r="O563" t="s">
        <v>25</v>
      </c>
    </row>
    <row r="564" spans="1:15" x14ac:dyDescent="0.35">
      <c r="A564">
        <v>1563</v>
      </c>
      <c r="B564" t="s">
        <v>554</v>
      </c>
      <c r="C564" s="1">
        <v>45504</v>
      </c>
      <c r="D564" s="1">
        <v>45563</v>
      </c>
      <c r="E564" s="1">
        <v>45565</v>
      </c>
      <c r="F564" t="s">
        <v>60</v>
      </c>
      <c r="G564" t="s">
        <v>39</v>
      </c>
      <c r="H564" t="s">
        <v>30</v>
      </c>
      <c r="I564">
        <v>59</v>
      </c>
      <c r="J564">
        <v>2</v>
      </c>
      <c r="K564">
        <v>8261</v>
      </c>
      <c r="L564">
        <v>16522</v>
      </c>
      <c r="M564" t="s">
        <v>24</v>
      </c>
      <c r="N564">
        <v>1</v>
      </c>
      <c r="O564" t="s">
        <v>25</v>
      </c>
    </row>
    <row r="565" spans="1:15" x14ac:dyDescent="0.35">
      <c r="A565">
        <v>1564</v>
      </c>
      <c r="B565" t="s">
        <v>555</v>
      </c>
      <c r="C565" s="1">
        <v>45533</v>
      </c>
      <c r="D565" s="1">
        <v>45535</v>
      </c>
      <c r="E565" s="1">
        <v>45537</v>
      </c>
      <c r="F565" t="s">
        <v>29</v>
      </c>
      <c r="G565" t="s">
        <v>22</v>
      </c>
      <c r="H565" t="s">
        <v>30</v>
      </c>
      <c r="I565">
        <v>2</v>
      </c>
      <c r="J565">
        <v>2</v>
      </c>
      <c r="K565">
        <v>3968</v>
      </c>
      <c r="L565">
        <v>7936</v>
      </c>
      <c r="M565" t="s">
        <v>51</v>
      </c>
      <c r="N565">
        <v>0</v>
      </c>
      <c r="O565" t="s">
        <v>31</v>
      </c>
    </row>
    <row r="566" spans="1:15" x14ac:dyDescent="0.35">
      <c r="A566">
        <v>1565</v>
      </c>
      <c r="B566" t="s">
        <v>556</v>
      </c>
      <c r="C566" s="1">
        <v>45504</v>
      </c>
      <c r="D566" s="1">
        <v>45533</v>
      </c>
      <c r="E566" s="1">
        <v>45538</v>
      </c>
      <c r="F566" t="s">
        <v>29</v>
      </c>
      <c r="G566" t="s">
        <v>39</v>
      </c>
      <c r="H566" t="s">
        <v>30</v>
      </c>
      <c r="I566">
        <v>29</v>
      </c>
      <c r="J566">
        <v>5</v>
      </c>
      <c r="K566">
        <v>3308</v>
      </c>
      <c r="L566">
        <v>16540</v>
      </c>
      <c r="M566" t="s">
        <v>24</v>
      </c>
      <c r="N566">
        <v>1</v>
      </c>
      <c r="O566" t="s">
        <v>31</v>
      </c>
    </row>
    <row r="567" spans="1:15" x14ac:dyDescent="0.35">
      <c r="A567">
        <v>1566</v>
      </c>
      <c r="B567" t="s">
        <v>340</v>
      </c>
      <c r="C567" s="1">
        <v>45472</v>
      </c>
      <c r="D567" s="1">
        <v>45476</v>
      </c>
      <c r="E567" s="1">
        <v>45480</v>
      </c>
      <c r="F567" t="s">
        <v>38</v>
      </c>
      <c r="G567" t="s">
        <v>22</v>
      </c>
      <c r="H567" t="s">
        <v>30</v>
      </c>
      <c r="I567">
        <v>4</v>
      </c>
      <c r="J567">
        <v>4</v>
      </c>
      <c r="K567">
        <v>2671</v>
      </c>
      <c r="L567">
        <v>10684</v>
      </c>
      <c r="M567" t="s">
        <v>51</v>
      </c>
      <c r="N567">
        <v>1</v>
      </c>
      <c r="O567" t="s">
        <v>31</v>
      </c>
    </row>
    <row r="568" spans="1:15" x14ac:dyDescent="0.35">
      <c r="A568">
        <v>1567</v>
      </c>
      <c r="B568" t="s">
        <v>557</v>
      </c>
      <c r="C568" s="1">
        <v>45629</v>
      </c>
      <c r="D568" s="1">
        <v>45630</v>
      </c>
      <c r="E568" s="1">
        <v>45633</v>
      </c>
      <c r="F568" t="s">
        <v>60</v>
      </c>
      <c r="G568" t="s">
        <v>39</v>
      </c>
      <c r="H568" t="s">
        <v>30</v>
      </c>
      <c r="I568">
        <v>1</v>
      </c>
      <c r="J568">
        <v>3</v>
      </c>
      <c r="K568">
        <v>6626</v>
      </c>
      <c r="L568">
        <v>19878</v>
      </c>
      <c r="M568" t="s">
        <v>51</v>
      </c>
      <c r="N568">
        <v>1</v>
      </c>
      <c r="O568" t="s">
        <v>31</v>
      </c>
    </row>
    <row r="569" spans="1:15" x14ac:dyDescent="0.35">
      <c r="A569">
        <v>1568</v>
      </c>
      <c r="B569" t="s">
        <v>497</v>
      </c>
      <c r="C569" s="1">
        <v>45464</v>
      </c>
      <c r="D569" s="1">
        <v>45483</v>
      </c>
      <c r="E569" s="1">
        <v>45488</v>
      </c>
      <c r="F569" t="s">
        <v>38</v>
      </c>
      <c r="G569" t="s">
        <v>22</v>
      </c>
      <c r="H569" t="s">
        <v>30</v>
      </c>
      <c r="I569">
        <v>19</v>
      </c>
      <c r="J569">
        <v>5</v>
      </c>
      <c r="K569">
        <v>6642</v>
      </c>
      <c r="L569">
        <v>33210</v>
      </c>
      <c r="M569" t="s">
        <v>51</v>
      </c>
      <c r="N569">
        <v>0</v>
      </c>
      <c r="O569" t="s">
        <v>25</v>
      </c>
    </row>
    <row r="570" spans="1:15" x14ac:dyDescent="0.35">
      <c r="A570">
        <v>1569</v>
      </c>
      <c r="B570" t="s">
        <v>239</v>
      </c>
      <c r="C570" s="1">
        <v>45451</v>
      </c>
      <c r="D570" s="1">
        <v>45477</v>
      </c>
      <c r="E570" s="1">
        <v>45479</v>
      </c>
      <c r="F570" t="s">
        <v>35</v>
      </c>
      <c r="G570" t="s">
        <v>39</v>
      </c>
      <c r="H570" t="s">
        <v>23</v>
      </c>
      <c r="I570">
        <v>26</v>
      </c>
      <c r="J570">
        <v>2</v>
      </c>
      <c r="K570">
        <v>6725</v>
      </c>
      <c r="L570">
        <v>13450</v>
      </c>
      <c r="M570" t="s">
        <v>51</v>
      </c>
      <c r="N570">
        <v>0</v>
      </c>
      <c r="O570" t="s">
        <v>31</v>
      </c>
    </row>
    <row r="571" spans="1:15" x14ac:dyDescent="0.35">
      <c r="A571">
        <v>1570</v>
      </c>
      <c r="B571" t="s">
        <v>558</v>
      </c>
      <c r="C571" s="1">
        <v>45455</v>
      </c>
      <c r="D571" s="1">
        <v>45480</v>
      </c>
      <c r="E571" s="1">
        <v>45485</v>
      </c>
      <c r="F571" t="s">
        <v>35</v>
      </c>
      <c r="G571" t="s">
        <v>22</v>
      </c>
      <c r="H571" t="s">
        <v>23</v>
      </c>
      <c r="I571">
        <v>25</v>
      </c>
      <c r="J571">
        <v>5</v>
      </c>
      <c r="K571">
        <v>4899</v>
      </c>
      <c r="L571">
        <v>24495</v>
      </c>
      <c r="M571" t="s">
        <v>51</v>
      </c>
      <c r="N571">
        <v>0</v>
      </c>
      <c r="O571" t="s">
        <v>25</v>
      </c>
    </row>
    <row r="572" spans="1:15" x14ac:dyDescent="0.35">
      <c r="A572">
        <v>1571</v>
      </c>
      <c r="B572" t="s">
        <v>440</v>
      </c>
      <c r="C572" s="1">
        <v>45479</v>
      </c>
      <c r="D572" s="1">
        <v>45489</v>
      </c>
      <c r="E572" s="1">
        <v>45490</v>
      </c>
      <c r="F572" t="s">
        <v>60</v>
      </c>
      <c r="G572" t="s">
        <v>22</v>
      </c>
      <c r="H572" t="s">
        <v>30</v>
      </c>
      <c r="I572">
        <v>10</v>
      </c>
      <c r="J572">
        <v>1</v>
      </c>
      <c r="K572">
        <v>7573</v>
      </c>
      <c r="L572">
        <v>7573</v>
      </c>
      <c r="M572" t="s">
        <v>51</v>
      </c>
      <c r="N572">
        <v>0</v>
      </c>
      <c r="O572" t="s">
        <v>25</v>
      </c>
    </row>
    <row r="573" spans="1:15" x14ac:dyDescent="0.35">
      <c r="A573">
        <v>1572</v>
      </c>
      <c r="B573" t="s">
        <v>559</v>
      </c>
      <c r="C573" s="1">
        <v>45482</v>
      </c>
      <c r="D573" s="1">
        <v>45535</v>
      </c>
      <c r="E573" s="1">
        <v>45537</v>
      </c>
      <c r="F573" t="s">
        <v>35</v>
      </c>
      <c r="G573" t="s">
        <v>39</v>
      </c>
      <c r="H573" t="s">
        <v>23</v>
      </c>
      <c r="I573">
        <v>53</v>
      </c>
      <c r="J573">
        <v>2</v>
      </c>
      <c r="K573">
        <v>4145</v>
      </c>
      <c r="L573">
        <v>8290</v>
      </c>
      <c r="M573" t="s">
        <v>24</v>
      </c>
      <c r="N573">
        <v>1</v>
      </c>
      <c r="O573" t="s">
        <v>25</v>
      </c>
    </row>
    <row r="574" spans="1:15" x14ac:dyDescent="0.35">
      <c r="A574">
        <v>1573</v>
      </c>
      <c r="B574" t="s">
        <v>560</v>
      </c>
      <c r="C574" s="1">
        <v>45599</v>
      </c>
      <c r="D574" s="1">
        <v>45614</v>
      </c>
      <c r="E574" s="1">
        <v>45615</v>
      </c>
      <c r="F574" t="s">
        <v>60</v>
      </c>
      <c r="G574" t="s">
        <v>22</v>
      </c>
      <c r="H574" t="s">
        <v>46</v>
      </c>
      <c r="I574">
        <v>15</v>
      </c>
      <c r="J574">
        <v>1</v>
      </c>
      <c r="K574">
        <v>8200</v>
      </c>
      <c r="L574">
        <v>8200</v>
      </c>
      <c r="M574" t="s">
        <v>24</v>
      </c>
      <c r="N574">
        <v>0</v>
      </c>
      <c r="O574" t="s">
        <v>31</v>
      </c>
    </row>
    <row r="575" spans="1:15" x14ac:dyDescent="0.35">
      <c r="A575">
        <v>1574</v>
      </c>
      <c r="B575" t="s">
        <v>561</v>
      </c>
      <c r="C575" s="1">
        <v>45547</v>
      </c>
      <c r="D575" s="1">
        <v>45606</v>
      </c>
      <c r="E575" s="1">
        <v>45608</v>
      </c>
      <c r="F575" t="s">
        <v>35</v>
      </c>
      <c r="G575" t="s">
        <v>22</v>
      </c>
      <c r="H575" t="s">
        <v>46</v>
      </c>
      <c r="I575">
        <v>59</v>
      </c>
      <c r="J575">
        <v>2</v>
      </c>
      <c r="K575">
        <v>2557</v>
      </c>
      <c r="L575">
        <v>5114</v>
      </c>
      <c r="M575" t="s">
        <v>51</v>
      </c>
      <c r="N575">
        <v>1</v>
      </c>
      <c r="O575" t="s">
        <v>25</v>
      </c>
    </row>
    <row r="576" spans="1:15" x14ac:dyDescent="0.35">
      <c r="A576">
        <v>1575</v>
      </c>
      <c r="B576" t="s">
        <v>177</v>
      </c>
      <c r="C576" s="1">
        <v>45474</v>
      </c>
      <c r="D576" s="1">
        <v>45496</v>
      </c>
      <c r="E576" s="1">
        <v>45501</v>
      </c>
      <c r="F576" t="s">
        <v>21</v>
      </c>
      <c r="G576" t="s">
        <v>22</v>
      </c>
      <c r="H576" t="s">
        <v>30</v>
      </c>
      <c r="I576">
        <v>22</v>
      </c>
      <c r="J576">
        <v>5</v>
      </c>
      <c r="K576">
        <v>3629</v>
      </c>
      <c r="L576">
        <v>18145</v>
      </c>
      <c r="M576" t="s">
        <v>51</v>
      </c>
      <c r="N576">
        <v>1</v>
      </c>
      <c r="O576" t="s">
        <v>31</v>
      </c>
    </row>
    <row r="577" spans="1:15" x14ac:dyDescent="0.35">
      <c r="A577">
        <v>1576</v>
      </c>
      <c r="B577" t="s">
        <v>459</v>
      </c>
      <c r="C577" s="1">
        <v>45408</v>
      </c>
      <c r="D577" s="1">
        <v>45459</v>
      </c>
      <c r="E577" s="1">
        <v>45463</v>
      </c>
      <c r="F577" t="s">
        <v>29</v>
      </c>
      <c r="G577" t="s">
        <v>22</v>
      </c>
      <c r="H577" t="s">
        <v>46</v>
      </c>
      <c r="I577">
        <v>51</v>
      </c>
      <c r="J577">
        <v>4</v>
      </c>
      <c r="K577">
        <v>3853</v>
      </c>
      <c r="L577">
        <v>15412</v>
      </c>
      <c r="M577" t="s">
        <v>51</v>
      </c>
      <c r="N577">
        <v>0</v>
      </c>
      <c r="O577" t="s">
        <v>31</v>
      </c>
    </row>
    <row r="578" spans="1:15" x14ac:dyDescent="0.35">
      <c r="A578">
        <v>1577</v>
      </c>
      <c r="B578" t="s">
        <v>562</v>
      </c>
      <c r="C578" s="1">
        <v>45573</v>
      </c>
      <c r="D578" s="1">
        <v>45621</v>
      </c>
      <c r="E578" s="1">
        <v>45624</v>
      </c>
      <c r="F578" t="s">
        <v>21</v>
      </c>
      <c r="G578" t="s">
        <v>22</v>
      </c>
      <c r="H578" t="s">
        <v>46</v>
      </c>
      <c r="I578">
        <v>48</v>
      </c>
      <c r="J578">
        <v>3</v>
      </c>
      <c r="K578">
        <v>3267</v>
      </c>
      <c r="L578">
        <v>9801</v>
      </c>
      <c r="M578" t="s">
        <v>24</v>
      </c>
      <c r="N578">
        <v>0</v>
      </c>
      <c r="O578" t="s">
        <v>31</v>
      </c>
    </row>
    <row r="579" spans="1:15" x14ac:dyDescent="0.35">
      <c r="A579">
        <v>1578</v>
      </c>
      <c r="B579" t="s">
        <v>563</v>
      </c>
      <c r="C579" s="1">
        <v>45487</v>
      </c>
      <c r="D579" s="1">
        <v>45508</v>
      </c>
      <c r="E579" s="1">
        <v>45509</v>
      </c>
      <c r="F579" t="s">
        <v>60</v>
      </c>
      <c r="G579" t="s">
        <v>22</v>
      </c>
      <c r="H579" t="s">
        <v>23</v>
      </c>
      <c r="I579">
        <v>21</v>
      </c>
      <c r="J579">
        <v>1</v>
      </c>
      <c r="K579">
        <v>6395</v>
      </c>
      <c r="L579">
        <v>6395</v>
      </c>
      <c r="M579" t="s">
        <v>51</v>
      </c>
      <c r="N579">
        <v>1</v>
      </c>
      <c r="O579" t="s">
        <v>31</v>
      </c>
    </row>
    <row r="580" spans="1:15" x14ac:dyDescent="0.35">
      <c r="A580">
        <v>1579</v>
      </c>
      <c r="B580" t="s">
        <v>564</v>
      </c>
      <c r="C580" s="1">
        <v>45325</v>
      </c>
      <c r="D580" s="1">
        <v>45384</v>
      </c>
      <c r="E580" s="1">
        <v>45389</v>
      </c>
      <c r="F580" t="s">
        <v>60</v>
      </c>
      <c r="G580" t="s">
        <v>22</v>
      </c>
      <c r="H580" t="s">
        <v>23</v>
      </c>
      <c r="I580">
        <v>59</v>
      </c>
      <c r="J580">
        <v>5</v>
      </c>
      <c r="K580">
        <v>3182</v>
      </c>
      <c r="L580">
        <v>15910</v>
      </c>
      <c r="M580" t="s">
        <v>24</v>
      </c>
      <c r="N580">
        <v>1</v>
      </c>
      <c r="O580" t="s">
        <v>31</v>
      </c>
    </row>
    <row r="581" spans="1:15" x14ac:dyDescent="0.35">
      <c r="A581">
        <v>1580</v>
      </c>
      <c r="B581" t="s">
        <v>565</v>
      </c>
      <c r="C581" s="1">
        <v>45343</v>
      </c>
      <c r="D581" s="1">
        <v>45399</v>
      </c>
      <c r="E581" s="1">
        <v>45403</v>
      </c>
      <c r="F581" t="s">
        <v>21</v>
      </c>
      <c r="G581" t="s">
        <v>22</v>
      </c>
      <c r="H581" t="s">
        <v>23</v>
      </c>
      <c r="I581">
        <v>56</v>
      </c>
      <c r="J581">
        <v>4</v>
      </c>
      <c r="K581">
        <v>5954</v>
      </c>
      <c r="L581">
        <v>23816</v>
      </c>
      <c r="M581" t="s">
        <v>24</v>
      </c>
      <c r="N581">
        <v>0</v>
      </c>
      <c r="O581" t="s">
        <v>25</v>
      </c>
    </row>
    <row r="582" spans="1:15" x14ac:dyDescent="0.35">
      <c r="A582">
        <v>1581</v>
      </c>
      <c r="B582" t="s">
        <v>549</v>
      </c>
      <c r="C582" s="1">
        <v>45403</v>
      </c>
      <c r="D582" s="1">
        <v>45425</v>
      </c>
      <c r="E582" s="1">
        <v>45430</v>
      </c>
      <c r="F582" t="s">
        <v>29</v>
      </c>
      <c r="G582" t="s">
        <v>39</v>
      </c>
      <c r="H582" t="s">
        <v>23</v>
      </c>
      <c r="I582">
        <v>22</v>
      </c>
      <c r="J582">
        <v>5</v>
      </c>
      <c r="K582">
        <v>4508</v>
      </c>
      <c r="L582">
        <v>22540</v>
      </c>
      <c r="M582" t="s">
        <v>24</v>
      </c>
      <c r="N582">
        <v>1</v>
      </c>
      <c r="O582" t="s">
        <v>25</v>
      </c>
    </row>
    <row r="583" spans="1:15" x14ac:dyDescent="0.35">
      <c r="A583">
        <v>1582</v>
      </c>
      <c r="B583" t="s">
        <v>444</v>
      </c>
      <c r="C583" s="1">
        <v>45543</v>
      </c>
      <c r="D583" s="1">
        <v>45579</v>
      </c>
      <c r="E583" s="1">
        <v>45580</v>
      </c>
      <c r="F583" t="s">
        <v>29</v>
      </c>
      <c r="G583" t="s">
        <v>22</v>
      </c>
      <c r="H583" t="s">
        <v>46</v>
      </c>
      <c r="I583">
        <v>36</v>
      </c>
      <c r="J583">
        <v>1</v>
      </c>
      <c r="K583">
        <v>8929</v>
      </c>
      <c r="L583">
        <v>8929</v>
      </c>
      <c r="M583" t="s">
        <v>24</v>
      </c>
      <c r="N583">
        <v>1</v>
      </c>
      <c r="O583" t="s">
        <v>31</v>
      </c>
    </row>
    <row r="584" spans="1:15" x14ac:dyDescent="0.35">
      <c r="A584">
        <v>1583</v>
      </c>
      <c r="B584" t="s">
        <v>532</v>
      </c>
      <c r="C584" s="1">
        <v>45373</v>
      </c>
      <c r="D584" s="1">
        <v>45407</v>
      </c>
      <c r="E584" s="1">
        <v>45410</v>
      </c>
      <c r="F584" t="s">
        <v>38</v>
      </c>
      <c r="G584" t="s">
        <v>39</v>
      </c>
      <c r="H584" t="s">
        <v>30</v>
      </c>
      <c r="I584">
        <v>34</v>
      </c>
      <c r="J584">
        <v>3</v>
      </c>
      <c r="K584">
        <v>5642</v>
      </c>
      <c r="L584">
        <v>16926</v>
      </c>
      <c r="M584" t="s">
        <v>24</v>
      </c>
      <c r="N584">
        <v>1</v>
      </c>
      <c r="O584" t="s">
        <v>25</v>
      </c>
    </row>
    <row r="585" spans="1:15" x14ac:dyDescent="0.35">
      <c r="A585">
        <v>1584</v>
      </c>
      <c r="B585" t="s">
        <v>285</v>
      </c>
      <c r="C585" s="1">
        <v>45523</v>
      </c>
      <c r="D585" s="1">
        <v>45553</v>
      </c>
      <c r="E585" s="1">
        <v>45558</v>
      </c>
      <c r="F585" t="s">
        <v>35</v>
      </c>
      <c r="G585" t="s">
        <v>22</v>
      </c>
      <c r="H585" t="s">
        <v>23</v>
      </c>
      <c r="I585">
        <v>30</v>
      </c>
      <c r="J585">
        <v>5</v>
      </c>
      <c r="K585">
        <v>4290</v>
      </c>
      <c r="L585">
        <v>21450</v>
      </c>
      <c r="M585" t="s">
        <v>51</v>
      </c>
      <c r="N585">
        <v>0</v>
      </c>
      <c r="O585" t="s">
        <v>31</v>
      </c>
    </row>
    <row r="586" spans="1:15" x14ac:dyDescent="0.35">
      <c r="A586">
        <v>1585</v>
      </c>
      <c r="B586" t="s">
        <v>566</v>
      </c>
      <c r="C586" s="1">
        <v>45518</v>
      </c>
      <c r="D586" s="1">
        <v>45543</v>
      </c>
      <c r="E586" s="1">
        <v>45545</v>
      </c>
      <c r="F586" t="s">
        <v>38</v>
      </c>
      <c r="G586" t="s">
        <v>39</v>
      </c>
      <c r="H586" t="s">
        <v>46</v>
      </c>
      <c r="I586">
        <v>25</v>
      </c>
      <c r="J586">
        <v>2</v>
      </c>
      <c r="K586">
        <v>3977</v>
      </c>
      <c r="L586">
        <v>7954</v>
      </c>
      <c r="M586" t="s">
        <v>24</v>
      </c>
      <c r="N586">
        <v>0</v>
      </c>
      <c r="O586" t="s">
        <v>25</v>
      </c>
    </row>
    <row r="587" spans="1:15" x14ac:dyDescent="0.35">
      <c r="A587">
        <v>1586</v>
      </c>
      <c r="B587" t="s">
        <v>567</v>
      </c>
      <c r="C587" s="1">
        <v>45524</v>
      </c>
      <c r="D587" s="1">
        <v>45569</v>
      </c>
      <c r="E587" s="1">
        <v>45573</v>
      </c>
      <c r="F587" t="s">
        <v>29</v>
      </c>
      <c r="G587" t="s">
        <v>22</v>
      </c>
      <c r="H587" t="s">
        <v>23</v>
      </c>
      <c r="I587">
        <v>45</v>
      </c>
      <c r="J587">
        <v>4</v>
      </c>
      <c r="K587">
        <v>3385</v>
      </c>
      <c r="L587">
        <v>13540</v>
      </c>
      <c r="M587" t="s">
        <v>24</v>
      </c>
      <c r="N587">
        <v>1</v>
      </c>
      <c r="O587" t="s">
        <v>25</v>
      </c>
    </row>
    <row r="588" spans="1:15" x14ac:dyDescent="0.35">
      <c r="A588">
        <v>1587</v>
      </c>
      <c r="B588" t="s">
        <v>568</v>
      </c>
      <c r="C588" s="1">
        <v>45512</v>
      </c>
      <c r="D588" s="1">
        <v>45540</v>
      </c>
      <c r="E588" s="1">
        <v>45545</v>
      </c>
      <c r="F588" t="s">
        <v>21</v>
      </c>
      <c r="G588" t="s">
        <v>39</v>
      </c>
      <c r="H588" t="s">
        <v>46</v>
      </c>
      <c r="I588">
        <v>28</v>
      </c>
      <c r="J588">
        <v>5</v>
      </c>
      <c r="K588">
        <v>6406</v>
      </c>
      <c r="L588">
        <v>32030</v>
      </c>
      <c r="M588" t="s">
        <v>51</v>
      </c>
      <c r="N588">
        <v>1</v>
      </c>
      <c r="O588" t="s">
        <v>25</v>
      </c>
    </row>
    <row r="589" spans="1:15" x14ac:dyDescent="0.35">
      <c r="A589">
        <v>1588</v>
      </c>
      <c r="B589" t="s">
        <v>569</v>
      </c>
      <c r="C589" s="1">
        <v>45333</v>
      </c>
      <c r="D589" s="1">
        <v>45334</v>
      </c>
      <c r="E589" s="1">
        <v>45338</v>
      </c>
      <c r="F589" t="s">
        <v>35</v>
      </c>
      <c r="G589" t="s">
        <v>39</v>
      </c>
      <c r="H589" t="s">
        <v>23</v>
      </c>
      <c r="I589">
        <v>1</v>
      </c>
      <c r="J589">
        <v>4</v>
      </c>
      <c r="K589">
        <v>6992</v>
      </c>
      <c r="L589">
        <v>27968</v>
      </c>
      <c r="M589" t="s">
        <v>51</v>
      </c>
      <c r="N589">
        <v>1</v>
      </c>
      <c r="O589" t="s">
        <v>25</v>
      </c>
    </row>
    <row r="590" spans="1:15" x14ac:dyDescent="0.35">
      <c r="A590">
        <v>1589</v>
      </c>
      <c r="B590" t="s">
        <v>278</v>
      </c>
      <c r="C590" s="1">
        <v>45312</v>
      </c>
      <c r="D590" s="1">
        <v>45361</v>
      </c>
      <c r="E590" s="1">
        <v>45363</v>
      </c>
      <c r="F590" t="s">
        <v>21</v>
      </c>
      <c r="G590" t="s">
        <v>22</v>
      </c>
      <c r="H590" t="s">
        <v>30</v>
      </c>
      <c r="I590">
        <v>49</v>
      </c>
      <c r="J590">
        <v>2</v>
      </c>
      <c r="K590">
        <v>4038</v>
      </c>
      <c r="L590">
        <v>8076</v>
      </c>
      <c r="M590" t="s">
        <v>24</v>
      </c>
      <c r="N590">
        <v>0</v>
      </c>
      <c r="O590" t="s">
        <v>25</v>
      </c>
    </row>
    <row r="591" spans="1:15" x14ac:dyDescent="0.35">
      <c r="A591">
        <v>1590</v>
      </c>
      <c r="B591" t="s">
        <v>570</v>
      </c>
      <c r="C591" s="1">
        <v>45333</v>
      </c>
      <c r="D591" s="1">
        <v>45378</v>
      </c>
      <c r="E591" s="1">
        <v>45381</v>
      </c>
      <c r="F591" t="s">
        <v>38</v>
      </c>
      <c r="G591" t="s">
        <v>39</v>
      </c>
      <c r="H591" t="s">
        <v>23</v>
      </c>
      <c r="I591">
        <v>45</v>
      </c>
      <c r="J591">
        <v>3</v>
      </c>
      <c r="K591">
        <v>4573</v>
      </c>
      <c r="L591">
        <v>13719</v>
      </c>
      <c r="M591" t="s">
        <v>51</v>
      </c>
      <c r="N591">
        <v>0</v>
      </c>
      <c r="O591" t="s">
        <v>25</v>
      </c>
    </row>
    <row r="592" spans="1:15" x14ac:dyDescent="0.35">
      <c r="A592">
        <v>1591</v>
      </c>
      <c r="B592" t="s">
        <v>571</v>
      </c>
      <c r="C592" s="1">
        <v>45404</v>
      </c>
      <c r="D592" s="1">
        <v>45408</v>
      </c>
      <c r="E592" s="1">
        <v>45411</v>
      </c>
      <c r="F592" t="s">
        <v>60</v>
      </c>
      <c r="G592" t="s">
        <v>22</v>
      </c>
      <c r="H592" t="s">
        <v>30</v>
      </c>
      <c r="I592">
        <v>4</v>
      </c>
      <c r="J592">
        <v>3</v>
      </c>
      <c r="K592">
        <v>2812</v>
      </c>
      <c r="L592">
        <v>8436</v>
      </c>
      <c r="M592" t="s">
        <v>51</v>
      </c>
      <c r="N592">
        <v>0</v>
      </c>
      <c r="O592" t="s">
        <v>25</v>
      </c>
    </row>
    <row r="593" spans="1:15" x14ac:dyDescent="0.35">
      <c r="A593">
        <v>1592</v>
      </c>
      <c r="B593" t="s">
        <v>572</v>
      </c>
      <c r="C593" s="1">
        <v>45396</v>
      </c>
      <c r="D593" s="1">
        <v>45403</v>
      </c>
      <c r="E593" s="1">
        <v>45405</v>
      </c>
      <c r="F593" t="s">
        <v>21</v>
      </c>
      <c r="G593" t="s">
        <v>22</v>
      </c>
      <c r="H593" t="s">
        <v>23</v>
      </c>
      <c r="I593">
        <v>7</v>
      </c>
      <c r="J593">
        <v>2</v>
      </c>
      <c r="K593">
        <v>8769</v>
      </c>
      <c r="L593">
        <v>17538</v>
      </c>
      <c r="M593" t="s">
        <v>51</v>
      </c>
      <c r="N593">
        <v>0</v>
      </c>
      <c r="O593" t="s">
        <v>25</v>
      </c>
    </row>
    <row r="594" spans="1:15" x14ac:dyDescent="0.35">
      <c r="A594">
        <v>1593</v>
      </c>
      <c r="B594" t="s">
        <v>573</v>
      </c>
      <c r="C594" s="1">
        <v>45483</v>
      </c>
      <c r="D594" s="1">
        <v>45532</v>
      </c>
      <c r="E594" s="1">
        <v>45536</v>
      </c>
      <c r="F594" t="s">
        <v>38</v>
      </c>
      <c r="G594" t="s">
        <v>39</v>
      </c>
      <c r="H594" t="s">
        <v>23</v>
      </c>
      <c r="I594">
        <v>49</v>
      </c>
      <c r="J594">
        <v>4</v>
      </c>
      <c r="K594">
        <v>8184</v>
      </c>
      <c r="L594">
        <v>32736</v>
      </c>
      <c r="M594" t="s">
        <v>24</v>
      </c>
      <c r="N594">
        <v>1</v>
      </c>
      <c r="O594" t="s">
        <v>25</v>
      </c>
    </row>
    <row r="595" spans="1:15" x14ac:dyDescent="0.35">
      <c r="A595">
        <v>1594</v>
      </c>
      <c r="B595" t="s">
        <v>574</v>
      </c>
      <c r="C595" s="1">
        <v>45308</v>
      </c>
      <c r="D595" s="1">
        <v>45317</v>
      </c>
      <c r="E595" s="1">
        <v>45322</v>
      </c>
      <c r="F595" t="s">
        <v>38</v>
      </c>
      <c r="G595" t="s">
        <v>22</v>
      </c>
      <c r="H595" t="s">
        <v>23</v>
      </c>
      <c r="I595">
        <v>9</v>
      </c>
      <c r="J595">
        <v>5</v>
      </c>
      <c r="K595">
        <v>7817</v>
      </c>
      <c r="L595">
        <v>39085</v>
      </c>
      <c r="M595" t="s">
        <v>24</v>
      </c>
      <c r="N595">
        <v>0</v>
      </c>
      <c r="O595" t="s">
        <v>25</v>
      </c>
    </row>
    <row r="596" spans="1:15" x14ac:dyDescent="0.35">
      <c r="A596">
        <v>1595</v>
      </c>
      <c r="B596" t="s">
        <v>575</v>
      </c>
      <c r="C596" s="1">
        <v>45411</v>
      </c>
      <c r="D596" s="1">
        <v>45447</v>
      </c>
      <c r="E596" s="1">
        <v>45449</v>
      </c>
      <c r="F596" t="s">
        <v>38</v>
      </c>
      <c r="G596" t="s">
        <v>39</v>
      </c>
      <c r="H596" t="s">
        <v>46</v>
      </c>
      <c r="I596">
        <v>36</v>
      </c>
      <c r="J596">
        <v>2</v>
      </c>
      <c r="K596">
        <v>3310</v>
      </c>
      <c r="L596">
        <v>6620</v>
      </c>
      <c r="M596" t="s">
        <v>51</v>
      </c>
      <c r="N596">
        <v>0</v>
      </c>
      <c r="O596" t="s">
        <v>25</v>
      </c>
    </row>
    <row r="597" spans="1:15" x14ac:dyDescent="0.35">
      <c r="A597">
        <v>1596</v>
      </c>
      <c r="B597" t="s">
        <v>576</v>
      </c>
      <c r="C597" s="1">
        <v>45420</v>
      </c>
      <c r="D597" s="1">
        <v>45439</v>
      </c>
      <c r="E597" s="1">
        <v>45440</v>
      </c>
      <c r="F597" t="s">
        <v>60</v>
      </c>
      <c r="G597" t="s">
        <v>39</v>
      </c>
      <c r="H597" t="s">
        <v>46</v>
      </c>
      <c r="I597">
        <v>19</v>
      </c>
      <c r="J597">
        <v>1</v>
      </c>
      <c r="K597">
        <v>4735</v>
      </c>
      <c r="L597">
        <v>4735</v>
      </c>
      <c r="M597" t="s">
        <v>51</v>
      </c>
      <c r="N597">
        <v>1</v>
      </c>
      <c r="O597" t="s">
        <v>25</v>
      </c>
    </row>
    <row r="598" spans="1:15" x14ac:dyDescent="0.35">
      <c r="A598">
        <v>1597</v>
      </c>
      <c r="B598" t="s">
        <v>136</v>
      </c>
      <c r="C598" s="1">
        <v>45421</v>
      </c>
      <c r="D598" s="1">
        <v>45422</v>
      </c>
      <c r="E598" s="1">
        <v>45426</v>
      </c>
      <c r="F598" t="s">
        <v>60</v>
      </c>
      <c r="G598" t="s">
        <v>22</v>
      </c>
      <c r="H598" t="s">
        <v>30</v>
      </c>
      <c r="I598">
        <v>1</v>
      </c>
      <c r="J598">
        <v>4</v>
      </c>
      <c r="K598">
        <v>5357</v>
      </c>
      <c r="L598">
        <v>21428</v>
      </c>
      <c r="M598" t="s">
        <v>24</v>
      </c>
      <c r="N598">
        <v>0</v>
      </c>
      <c r="O598" t="s">
        <v>25</v>
      </c>
    </row>
    <row r="599" spans="1:15" x14ac:dyDescent="0.35">
      <c r="A599">
        <v>1598</v>
      </c>
      <c r="B599" t="s">
        <v>308</v>
      </c>
      <c r="C599" s="1">
        <v>45351</v>
      </c>
      <c r="D599" s="1">
        <v>45361</v>
      </c>
      <c r="E599" s="1">
        <v>45364</v>
      </c>
      <c r="F599" t="s">
        <v>60</v>
      </c>
      <c r="G599" t="s">
        <v>22</v>
      </c>
      <c r="H599" t="s">
        <v>30</v>
      </c>
      <c r="I599">
        <v>10</v>
      </c>
      <c r="J599">
        <v>3</v>
      </c>
      <c r="K599">
        <v>5263</v>
      </c>
      <c r="L599">
        <v>15789</v>
      </c>
      <c r="M599" t="s">
        <v>24</v>
      </c>
      <c r="N599">
        <v>1</v>
      </c>
      <c r="O599" t="s">
        <v>31</v>
      </c>
    </row>
    <row r="600" spans="1:15" x14ac:dyDescent="0.35">
      <c r="A600">
        <v>1599</v>
      </c>
      <c r="B600" t="s">
        <v>577</v>
      </c>
      <c r="C600" s="1">
        <v>45339</v>
      </c>
      <c r="D600" s="1">
        <v>45375</v>
      </c>
      <c r="E600" s="1">
        <v>45377</v>
      </c>
      <c r="F600" t="s">
        <v>35</v>
      </c>
      <c r="G600" t="s">
        <v>22</v>
      </c>
      <c r="H600" t="s">
        <v>46</v>
      </c>
      <c r="I600">
        <v>36</v>
      </c>
      <c r="J600">
        <v>2</v>
      </c>
      <c r="K600">
        <v>4532</v>
      </c>
      <c r="L600">
        <v>9064</v>
      </c>
      <c r="M600" t="s">
        <v>51</v>
      </c>
      <c r="N600">
        <v>1</v>
      </c>
      <c r="O600" t="s">
        <v>25</v>
      </c>
    </row>
    <row r="601" spans="1:15" x14ac:dyDescent="0.35">
      <c r="A601">
        <v>1600</v>
      </c>
      <c r="B601" t="s">
        <v>495</v>
      </c>
      <c r="C601" s="1">
        <v>45320</v>
      </c>
      <c r="D601" s="1">
        <v>45329</v>
      </c>
      <c r="E601" s="1">
        <v>45332</v>
      </c>
      <c r="F601" t="s">
        <v>60</v>
      </c>
      <c r="G601" t="s">
        <v>22</v>
      </c>
      <c r="H601" t="s">
        <v>30</v>
      </c>
      <c r="I601">
        <v>9</v>
      </c>
      <c r="J601">
        <v>3</v>
      </c>
      <c r="K601">
        <v>4007</v>
      </c>
      <c r="L601">
        <v>12021</v>
      </c>
      <c r="M601" t="s">
        <v>24</v>
      </c>
      <c r="N601">
        <v>1</v>
      </c>
      <c r="O601" t="s">
        <v>25</v>
      </c>
    </row>
    <row r="602" spans="1:15" x14ac:dyDescent="0.35">
      <c r="A602">
        <v>1601</v>
      </c>
      <c r="B602" t="s">
        <v>340</v>
      </c>
      <c r="C602" s="1">
        <v>45388</v>
      </c>
      <c r="D602" s="1">
        <v>45433</v>
      </c>
      <c r="E602" s="1">
        <v>45437</v>
      </c>
      <c r="F602" t="s">
        <v>60</v>
      </c>
      <c r="G602" t="s">
        <v>22</v>
      </c>
      <c r="H602" t="s">
        <v>30</v>
      </c>
      <c r="I602">
        <v>45</v>
      </c>
      <c r="J602">
        <v>4</v>
      </c>
      <c r="K602">
        <v>7045</v>
      </c>
      <c r="L602">
        <v>28180</v>
      </c>
      <c r="M602" t="s">
        <v>24</v>
      </c>
      <c r="N602">
        <v>1</v>
      </c>
      <c r="O602" t="s">
        <v>25</v>
      </c>
    </row>
    <row r="603" spans="1:15" x14ac:dyDescent="0.35">
      <c r="A603">
        <v>1602</v>
      </c>
      <c r="B603" t="s">
        <v>568</v>
      </c>
      <c r="C603" s="1">
        <v>45301</v>
      </c>
      <c r="D603" s="1">
        <v>45347</v>
      </c>
      <c r="E603" s="1">
        <v>45350</v>
      </c>
      <c r="F603" t="s">
        <v>60</v>
      </c>
      <c r="G603" t="s">
        <v>39</v>
      </c>
      <c r="H603" t="s">
        <v>46</v>
      </c>
      <c r="I603">
        <v>46</v>
      </c>
      <c r="J603">
        <v>3</v>
      </c>
      <c r="K603">
        <v>5070</v>
      </c>
      <c r="L603">
        <v>15210</v>
      </c>
      <c r="M603" t="s">
        <v>51</v>
      </c>
      <c r="N603">
        <v>1</v>
      </c>
      <c r="O603" t="s">
        <v>25</v>
      </c>
    </row>
    <row r="604" spans="1:15" x14ac:dyDescent="0.35">
      <c r="A604">
        <v>1603</v>
      </c>
      <c r="B604" t="s">
        <v>578</v>
      </c>
      <c r="C604" s="1">
        <v>45533</v>
      </c>
      <c r="D604" s="1">
        <v>45575</v>
      </c>
      <c r="E604" s="1">
        <v>45577</v>
      </c>
      <c r="F604" t="s">
        <v>21</v>
      </c>
      <c r="G604" t="s">
        <v>39</v>
      </c>
      <c r="H604" t="s">
        <v>46</v>
      </c>
      <c r="I604">
        <v>42</v>
      </c>
      <c r="J604">
        <v>2</v>
      </c>
      <c r="K604">
        <v>4394</v>
      </c>
      <c r="L604">
        <v>8788</v>
      </c>
      <c r="M604" t="s">
        <v>51</v>
      </c>
      <c r="N604">
        <v>1</v>
      </c>
      <c r="O604" t="s">
        <v>25</v>
      </c>
    </row>
    <row r="605" spans="1:15" x14ac:dyDescent="0.35">
      <c r="A605">
        <v>1604</v>
      </c>
      <c r="B605" t="s">
        <v>579</v>
      </c>
      <c r="C605" s="1">
        <v>45605</v>
      </c>
      <c r="D605" s="1">
        <v>45637</v>
      </c>
      <c r="E605" s="1">
        <v>45641</v>
      </c>
      <c r="F605" t="s">
        <v>60</v>
      </c>
      <c r="G605" t="s">
        <v>22</v>
      </c>
      <c r="H605" t="s">
        <v>46</v>
      </c>
      <c r="I605">
        <v>32</v>
      </c>
      <c r="J605">
        <v>4</v>
      </c>
      <c r="K605">
        <v>7973</v>
      </c>
      <c r="L605">
        <v>31892</v>
      </c>
      <c r="M605" t="s">
        <v>24</v>
      </c>
      <c r="N605">
        <v>1</v>
      </c>
      <c r="O605" t="s">
        <v>25</v>
      </c>
    </row>
    <row r="606" spans="1:15" x14ac:dyDescent="0.35">
      <c r="A606">
        <v>1605</v>
      </c>
      <c r="B606" t="s">
        <v>580</v>
      </c>
      <c r="C606" s="1">
        <v>45523</v>
      </c>
      <c r="D606" s="1">
        <v>45555</v>
      </c>
      <c r="E606" s="1">
        <v>45556</v>
      </c>
      <c r="F606" t="s">
        <v>35</v>
      </c>
      <c r="G606" t="s">
        <v>22</v>
      </c>
      <c r="H606" t="s">
        <v>46</v>
      </c>
      <c r="I606">
        <v>32</v>
      </c>
      <c r="J606">
        <v>1</v>
      </c>
      <c r="K606">
        <v>5205</v>
      </c>
      <c r="L606">
        <v>5205</v>
      </c>
      <c r="M606" t="s">
        <v>24</v>
      </c>
      <c r="N606">
        <v>1</v>
      </c>
      <c r="O606" t="s">
        <v>31</v>
      </c>
    </row>
    <row r="607" spans="1:15" x14ac:dyDescent="0.35">
      <c r="A607">
        <v>1606</v>
      </c>
      <c r="B607" t="s">
        <v>581</v>
      </c>
      <c r="C607" s="1">
        <v>45568</v>
      </c>
      <c r="D607" s="1">
        <v>45574</v>
      </c>
      <c r="E607" s="1">
        <v>45576</v>
      </c>
      <c r="F607" t="s">
        <v>38</v>
      </c>
      <c r="G607" t="s">
        <v>22</v>
      </c>
      <c r="H607" t="s">
        <v>23</v>
      </c>
      <c r="I607">
        <v>6</v>
      </c>
      <c r="J607">
        <v>2</v>
      </c>
      <c r="K607">
        <v>3096</v>
      </c>
      <c r="L607">
        <v>6192</v>
      </c>
      <c r="M607" t="s">
        <v>24</v>
      </c>
      <c r="N607">
        <v>0</v>
      </c>
      <c r="O607" t="s">
        <v>31</v>
      </c>
    </row>
    <row r="608" spans="1:15" x14ac:dyDescent="0.35">
      <c r="A608">
        <v>1607</v>
      </c>
      <c r="B608" t="s">
        <v>582</v>
      </c>
      <c r="C608" s="1">
        <v>45575</v>
      </c>
      <c r="D608" s="1">
        <v>45623</v>
      </c>
      <c r="E608" s="1">
        <v>45628</v>
      </c>
      <c r="F608" t="s">
        <v>21</v>
      </c>
      <c r="G608" t="s">
        <v>39</v>
      </c>
      <c r="H608" t="s">
        <v>46</v>
      </c>
      <c r="I608">
        <v>48</v>
      </c>
      <c r="J608">
        <v>5</v>
      </c>
      <c r="K608">
        <v>4647</v>
      </c>
      <c r="L608">
        <v>23235</v>
      </c>
      <c r="M608" t="s">
        <v>51</v>
      </c>
      <c r="N608">
        <v>1</v>
      </c>
      <c r="O608" t="s">
        <v>31</v>
      </c>
    </row>
    <row r="609" spans="1:15" x14ac:dyDescent="0.35">
      <c r="A609">
        <v>1608</v>
      </c>
      <c r="B609" t="s">
        <v>583</v>
      </c>
      <c r="C609" s="1">
        <v>45494</v>
      </c>
      <c r="D609" s="1">
        <v>45532</v>
      </c>
      <c r="E609" s="1">
        <v>45534</v>
      </c>
      <c r="F609" t="s">
        <v>29</v>
      </c>
      <c r="G609" t="s">
        <v>39</v>
      </c>
      <c r="H609" t="s">
        <v>30</v>
      </c>
      <c r="I609">
        <v>38</v>
      </c>
      <c r="J609">
        <v>2</v>
      </c>
      <c r="K609">
        <v>3115</v>
      </c>
      <c r="L609">
        <v>6230</v>
      </c>
      <c r="M609" t="s">
        <v>51</v>
      </c>
      <c r="N609">
        <v>1</v>
      </c>
      <c r="O609" t="s">
        <v>25</v>
      </c>
    </row>
    <row r="610" spans="1:15" x14ac:dyDescent="0.35">
      <c r="A610">
        <v>1609</v>
      </c>
      <c r="B610" t="s">
        <v>584</v>
      </c>
      <c r="C610" s="1">
        <v>45538</v>
      </c>
      <c r="D610" s="1">
        <v>45555</v>
      </c>
      <c r="E610" s="1">
        <v>45559</v>
      </c>
      <c r="F610" t="s">
        <v>60</v>
      </c>
      <c r="G610" t="s">
        <v>39</v>
      </c>
      <c r="H610" t="s">
        <v>23</v>
      </c>
      <c r="I610">
        <v>17</v>
      </c>
      <c r="J610">
        <v>4</v>
      </c>
      <c r="K610">
        <v>3447</v>
      </c>
      <c r="L610">
        <v>13788</v>
      </c>
      <c r="M610" t="s">
        <v>51</v>
      </c>
      <c r="N610">
        <v>1</v>
      </c>
      <c r="O610" t="s">
        <v>25</v>
      </c>
    </row>
    <row r="611" spans="1:15" x14ac:dyDescent="0.35">
      <c r="A611">
        <v>1610</v>
      </c>
      <c r="B611" t="s">
        <v>417</v>
      </c>
      <c r="C611" s="1">
        <v>45581</v>
      </c>
      <c r="D611" s="1">
        <v>45591</v>
      </c>
      <c r="E611" s="1">
        <v>45593</v>
      </c>
      <c r="F611" t="s">
        <v>38</v>
      </c>
      <c r="G611" t="s">
        <v>22</v>
      </c>
      <c r="H611" t="s">
        <v>23</v>
      </c>
      <c r="I611">
        <v>10</v>
      </c>
      <c r="J611">
        <v>2</v>
      </c>
      <c r="K611">
        <v>8177</v>
      </c>
      <c r="L611">
        <v>16354</v>
      </c>
      <c r="M611" t="s">
        <v>51</v>
      </c>
      <c r="N611">
        <v>1</v>
      </c>
      <c r="O611" t="s">
        <v>25</v>
      </c>
    </row>
    <row r="612" spans="1:15" x14ac:dyDescent="0.35">
      <c r="A612">
        <v>1611</v>
      </c>
      <c r="B612" t="s">
        <v>585</v>
      </c>
      <c r="C612" s="1">
        <v>45555</v>
      </c>
      <c r="D612" s="1">
        <v>45605</v>
      </c>
      <c r="E612" s="1">
        <v>45606</v>
      </c>
      <c r="F612" t="s">
        <v>38</v>
      </c>
      <c r="G612" t="s">
        <v>22</v>
      </c>
      <c r="H612" t="s">
        <v>30</v>
      </c>
      <c r="I612">
        <v>50</v>
      </c>
      <c r="J612">
        <v>1</v>
      </c>
      <c r="K612">
        <v>7151</v>
      </c>
      <c r="L612">
        <v>7151</v>
      </c>
      <c r="M612" t="s">
        <v>24</v>
      </c>
      <c r="N612">
        <v>0</v>
      </c>
      <c r="O612" t="s">
        <v>31</v>
      </c>
    </row>
    <row r="613" spans="1:15" x14ac:dyDescent="0.35">
      <c r="A613">
        <v>1612</v>
      </c>
      <c r="B613" t="s">
        <v>586</v>
      </c>
      <c r="C613" s="1">
        <v>45505</v>
      </c>
      <c r="D613" s="1">
        <v>45532</v>
      </c>
      <c r="E613" s="1">
        <v>45533</v>
      </c>
      <c r="F613" t="s">
        <v>21</v>
      </c>
      <c r="G613" t="s">
        <v>39</v>
      </c>
      <c r="H613" t="s">
        <v>23</v>
      </c>
      <c r="I613">
        <v>27</v>
      </c>
      <c r="J613">
        <v>1</v>
      </c>
      <c r="K613">
        <v>6873</v>
      </c>
      <c r="L613">
        <v>6873</v>
      </c>
      <c r="M613" t="s">
        <v>51</v>
      </c>
      <c r="N613">
        <v>0</v>
      </c>
      <c r="O613" t="s">
        <v>25</v>
      </c>
    </row>
    <row r="614" spans="1:15" x14ac:dyDescent="0.35">
      <c r="A614">
        <v>1613</v>
      </c>
      <c r="B614" t="s">
        <v>587</v>
      </c>
      <c r="C614" s="1">
        <v>45491</v>
      </c>
      <c r="D614" s="1">
        <v>45545</v>
      </c>
      <c r="E614" s="1">
        <v>45550</v>
      </c>
      <c r="F614" t="s">
        <v>29</v>
      </c>
      <c r="G614" t="s">
        <v>22</v>
      </c>
      <c r="H614" t="s">
        <v>30</v>
      </c>
      <c r="I614">
        <v>54</v>
      </c>
      <c r="J614">
        <v>5</v>
      </c>
      <c r="K614">
        <v>6264</v>
      </c>
      <c r="L614">
        <v>31320</v>
      </c>
      <c r="M614" t="s">
        <v>51</v>
      </c>
      <c r="N614">
        <v>0</v>
      </c>
      <c r="O614" t="s">
        <v>25</v>
      </c>
    </row>
    <row r="615" spans="1:15" x14ac:dyDescent="0.35">
      <c r="A615">
        <v>1614</v>
      </c>
      <c r="B615" t="s">
        <v>588</v>
      </c>
      <c r="C615" s="1">
        <v>45370</v>
      </c>
      <c r="D615" s="1">
        <v>45420</v>
      </c>
      <c r="E615" s="1">
        <v>45423</v>
      </c>
      <c r="F615" t="s">
        <v>35</v>
      </c>
      <c r="G615" t="s">
        <v>22</v>
      </c>
      <c r="H615" t="s">
        <v>23</v>
      </c>
      <c r="I615">
        <v>50</v>
      </c>
      <c r="J615">
        <v>3</v>
      </c>
      <c r="K615">
        <v>4513</v>
      </c>
      <c r="L615">
        <v>13539</v>
      </c>
      <c r="M615" t="s">
        <v>24</v>
      </c>
      <c r="N615">
        <v>1</v>
      </c>
      <c r="O615" t="s">
        <v>31</v>
      </c>
    </row>
    <row r="616" spans="1:15" x14ac:dyDescent="0.35">
      <c r="A616">
        <v>1615</v>
      </c>
      <c r="B616" t="s">
        <v>224</v>
      </c>
      <c r="C616" s="1">
        <v>45634</v>
      </c>
      <c r="D616" s="1">
        <v>45669</v>
      </c>
      <c r="E616" s="1">
        <v>45673</v>
      </c>
      <c r="F616" t="s">
        <v>38</v>
      </c>
      <c r="G616" t="s">
        <v>39</v>
      </c>
      <c r="H616" t="s">
        <v>23</v>
      </c>
      <c r="I616">
        <v>35</v>
      </c>
      <c r="J616">
        <v>4</v>
      </c>
      <c r="K616">
        <v>6197</v>
      </c>
      <c r="L616">
        <v>24788</v>
      </c>
      <c r="M616" t="s">
        <v>51</v>
      </c>
      <c r="N616">
        <v>1</v>
      </c>
      <c r="O616" t="s">
        <v>31</v>
      </c>
    </row>
    <row r="617" spans="1:15" x14ac:dyDescent="0.35">
      <c r="A617">
        <v>1616</v>
      </c>
      <c r="B617" t="s">
        <v>512</v>
      </c>
      <c r="C617" s="1">
        <v>45635</v>
      </c>
      <c r="D617" s="1">
        <v>45687</v>
      </c>
      <c r="E617" s="1">
        <v>45691</v>
      </c>
      <c r="F617" t="s">
        <v>38</v>
      </c>
      <c r="G617" t="s">
        <v>39</v>
      </c>
      <c r="H617" t="s">
        <v>30</v>
      </c>
      <c r="I617">
        <v>52</v>
      </c>
      <c r="J617">
        <v>4</v>
      </c>
      <c r="K617">
        <v>2990</v>
      </c>
      <c r="L617">
        <v>11960</v>
      </c>
      <c r="M617" t="s">
        <v>24</v>
      </c>
      <c r="N617">
        <v>1</v>
      </c>
      <c r="O617" t="s">
        <v>25</v>
      </c>
    </row>
    <row r="618" spans="1:15" x14ac:dyDescent="0.35">
      <c r="A618">
        <v>1617</v>
      </c>
      <c r="B618" t="s">
        <v>475</v>
      </c>
      <c r="C618" s="1">
        <v>45464</v>
      </c>
      <c r="D618" s="1">
        <v>45523</v>
      </c>
      <c r="E618" s="1">
        <v>45526</v>
      </c>
      <c r="F618" t="s">
        <v>38</v>
      </c>
      <c r="G618" t="s">
        <v>22</v>
      </c>
      <c r="H618" t="s">
        <v>30</v>
      </c>
      <c r="I618">
        <v>59</v>
      </c>
      <c r="J618">
        <v>3</v>
      </c>
      <c r="K618">
        <v>6850</v>
      </c>
      <c r="L618">
        <v>20550</v>
      </c>
      <c r="M618" t="s">
        <v>51</v>
      </c>
      <c r="N618">
        <v>1</v>
      </c>
      <c r="O618" t="s">
        <v>25</v>
      </c>
    </row>
    <row r="619" spans="1:15" x14ac:dyDescent="0.35">
      <c r="A619">
        <v>1618</v>
      </c>
      <c r="B619" t="s">
        <v>589</v>
      </c>
      <c r="C619" s="1">
        <v>45360</v>
      </c>
      <c r="D619" s="1">
        <v>45381</v>
      </c>
      <c r="E619" s="1">
        <v>45382</v>
      </c>
      <c r="F619" t="s">
        <v>38</v>
      </c>
      <c r="G619" t="s">
        <v>39</v>
      </c>
      <c r="H619" t="s">
        <v>30</v>
      </c>
      <c r="I619">
        <v>21</v>
      </c>
      <c r="J619">
        <v>1</v>
      </c>
      <c r="K619">
        <v>4928</v>
      </c>
      <c r="L619">
        <v>4928</v>
      </c>
      <c r="M619" t="s">
        <v>24</v>
      </c>
      <c r="N619">
        <v>1</v>
      </c>
      <c r="O619" t="s">
        <v>25</v>
      </c>
    </row>
    <row r="620" spans="1:15" x14ac:dyDescent="0.35">
      <c r="A620">
        <v>1619</v>
      </c>
      <c r="B620" t="s">
        <v>357</v>
      </c>
      <c r="C620" s="1">
        <v>45378</v>
      </c>
      <c r="D620" s="1">
        <v>45403</v>
      </c>
      <c r="E620" s="1">
        <v>45404</v>
      </c>
      <c r="F620" t="s">
        <v>21</v>
      </c>
      <c r="G620" t="s">
        <v>22</v>
      </c>
      <c r="H620" t="s">
        <v>30</v>
      </c>
      <c r="I620">
        <v>25</v>
      </c>
      <c r="J620">
        <v>1</v>
      </c>
      <c r="K620">
        <v>7487</v>
      </c>
      <c r="L620">
        <v>7487</v>
      </c>
      <c r="M620" t="s">
        <v>24</v>
      </c>
      <c r="N620">
        <v>1</v>
      </c>
      <c r="O620" t="s">
        <v>25</v>
      </c>
    </row>
    <row r="621" spans="1:15" x14ac:dyDescent="0.35">
      <c r="A621">
        <v>1620</v>
      </c>
      <c r="B621" t="s">
        <v>53</v>
      </c>
      <c r="C621" s="1">
        <v>45392</v>
      </c>
      <c r="D621" s="1">
        <v>45420</v>
      </c>
      <c r="E621" s="1">
        <v>45422</v>
      </c>
      <c r="F621" t="s">
        <v>29</v>
      </c>
      <c r="G621" t="s">
        <v>39</v>
      </c>
      <c r="H621" t="s">
        <v>46</v>
      </c>
      <c r="I621">
        <v>28</v>
      </c>
      <c r="J621">
        <v>2</v>
      </c>
      <c r="K621">
        <v>3041</v>
      </c>
      <c r="L621">
        <v>6082</v>
      </c>
      <c r="M621" t="s">
        <v>24</v>
      </c>
      <c r="N621">
        <v>0</v>
      </c>
      <c r="O621" t="s">
        <v>31</v>
      </c>
    </row>
    <row r="622" spans="1:15" x14ac:dyDescent="0.35">
      <c r="A622">
        <v>1621</v>
      </c>
      <c r="B622" t="s">
        <v>590</v>
      </c>
      <c r="C622" s="1">
        <v>45299</v>
      </c>
      <c r="D622" s="1">
        <v>45346</v>
      </c>
      <c r="E622" s="1">
        <v>45351</v>
      </c>
      <c r="F622" t="s">
        <v>38</v>
      </c>
      <c r="G622" t="s">
        <v>39</v>
      </c>
      <c r="H622" t="s">
        <v>46</v>
      </c>
      <c r="I622">
        <v>47</v>
      </c>
      <c r="J622">
        <v>5</v>
      </c>
      <c r="K622">
        <v>3787</v>
      </c>
      <c r="L622">
        <v>18935</v>
      </c>
      <c r="M622" t="s">
        <v>51</v>
      </c>
      <c r="N622">
        <v>1</v>
      </c>
      <c r="O622" t="s">
        <v>25</v>
      </c>
    </row>
    <row r="623" spans="1:15" x14ac:dyDescent="0.35">
      <c r="A623">
        <v>1622</v>
      </c>
      <c r="B623" t="s">
        <v>591</v>
      </c>
      <c r="C623" s="1">
        <v>45624</v>
      </c>
      <c r="D623" s="1">
        <v>45639</v>
      </c>
      <c r="E623" s="1">
        <v>45644</v>
      </c>
      <c r="F623" t="s">
        <v>35</v>
      </c>
      <c r="G623" t="s">
        <v>22</v>
      </c>
      <c r="H623" t="s">
        <v>30</v>
      </c>
      <c r="I623">
        <v>15</v>
      </c>
      <c r="J623">
        <v>5</v>
      </c>
      <c r="K623">
        <v>4133</v>
      </c>
      <c r="L623">
        <v>20665</v>
      </c>
      <c r="M623" t="s">
        <v>24</v>
      </c>
      <c r="N623">
        <v>0</v>
      </c>
      <c r="O623" t="s">
        <v>25</v>
      </c>
    </row>
    <row r="624" spans="1:15" x14ac:dyDescent="0.35">
      <c r="A624">
        <v>1623</v>
      </c>
      <c r="B624" t="s">
        <v>592</v>
      </c>
      <c r="C624" s="1">
        <v>45491</v>
      </c>
      <c r="D624" s="1">
        <v>45495</v>
      </c>
      <c r="E624" s="1">
        <v>45500</v>
      </c>
      <c r="F624" t="s">
        <v>35</v>
      </c>
      <c r="G624" t="s">
        <v>22</v>
      </c>
      <c r="H624" t="s">
        <v>46</v>
      </c>
      <c r="I624">
        <v>4</v>
      </c>
      <c r="J624">
        <v>5</v>
      </c>
      <c r="K624">
        <v>7420</v>
      </c>
      <c r="L624">
        <v>37100</v>
      </c>
      <c r="M624" t="s">
        <v>51</v>
      </c>
      <c r="N624">
        <v>0</v>
      </c>
      <c r="O624" t="s">
        <v>31</v>
      </c>
    </row>
    <row r="625" spans="1:15" x14ac:dyDescent="0.35">
      <c r="A625">
        <v>1624</v>
      </c>
      <c r="B625" t="s">
        <v>593</v>
      </c>
      <c r="C625" s="1">
        <v>45378</v>
      </c>
      <c r="D625" s="1">
        <v>45407</v>
      </c>
      <c r="E625" s="1">
        <v>45409</v>
      </c>
      <c r="F625" t="s">
        <v>60</v>
      </c>
      <c r="G625" t="s">
        <v>39</v>
      </c>
      <c r="H625" t="s">
        <v>30</v>
      </c>
      <c r="I625">
        <v>29</v>
      </c>
      <c r="J625">
        <v>2</v>
      </c>
      <c r="K625">
        <v>5426</v>
      </c>
      <c r="L625">
        <v>10852</v>
      </c>
      <c r="M625" t="s">
        <v>51</v>
      </c>
      <c r="N625">
        <v>1</v>
      </c>
      <c r="O625" t="s">
        <v>25</v>
      </c>
    </row>
    <row r="626" spans="1:15" x14ac:dyDescent="0.35">
      <c r="A626">
        <v>1625</v>
      </c>
      <c r="B626" t="s">
        <v>594</v>
      </c>
      <c r="C626" s="1">
        <v>45334</v>
      </c>
      <c r="D626" s="1">
        <v>45393</v>
      </c>
      <c r="E626" s="1">
        <v>45398</v>
      </c>
      <c r="F626" t="s">
        <v>38</v>
      </c>
      <c r="G626" t="s">
        <v>22</v>
      </c>
      <c r="H626" t="s">
        <v>30</v>
      </c>
      <c r="I626">
        <v>59</v>
      </c>
      <c r="J626">
        <v>5</v>
      </c>
      <c r="K626">
        <v>3852</v>
      </c>
      <c r="L626">
        <v>19260</v>
      </c>
      <c r="M626" t="s">
        <v>51</v>
      </c>
      <c r="N626">
        <v>1</v>
      </c>
      <c r="O626" t="s">
        <v>25</v>
      </c>
    </row>
    <row r="627" spans="1:15" x14ac:dyDescent="0.35">
      <c r="A627">
        <v>1626</v>
      </c>
      <c r="B627" t="s">
        <v>595</v>
      </c>
      <c r="C627" s="1">
        <v>45400</v>
      </c>
      <c r="D627" s="1">
        <v>45409</v>
      </c>
      <c r="E627" s="1">
        <v>45412</v>
      </c>
      <c r="F627" t="s">
        <v>38</v>
      </c>
      <c r="G627" t="s">
        <v>39</v>
      </c>
      <c r="H627" t="s">
        <v>23</v>
      </c>
      <c r="I627">
        <v>9</v>
      </c>
      <c r="J627">
        <v>3</v>
      </c>
      <c r="K627">
        <v>6876</v>
      </c>
      <c r="L627">
        <v>20628</v>
      </c>
      <c r="M627" t="s">
        <v>51</v>
      </c>
      <c r="N627">
        <v>0</v>
      </c>
      <c r="O627" t="s">
        <v>31</v>
      </c>
    </row>
    <row r="628" spans="1:15" x14ac:dyDescent="0.35">
      <c r="A628">
        <v>1627</v>
      </c>
      <c r="B628" t="s">
        <v>596</v>
      </c>
      <c r="C628" s="1">
        <v>45443</v>
      </c>
      <c r="D628" s="1">
        <v>45470</v>
      </c>
      <c r="E628" s="1">
        <v>45472</v>
      </c>
      <c r="F628" t="s">
        <v>38</v>
      </c>
      <c r="G628" t="s">
        <v>22</v>
      </c>
      <c r="H628" t="s">
        <v>30</v>
      </c>
      <c r="I628">
        <v>27</v>
      </c>
      <c r="J628">
        <v>2</v>
      </c>
      <c r="K628">
        <v>3798</v>
      </c>
      <c r="L628">
        <v>7596</v>
      </c>
      <c r="M628" t="s">
        <v>51</v>
      </c>
      <c r="N628">
        <v>0</v>
      </c>
      <c r="O628" t="s">
        <v>31</v>
      </c>
    </row>
    <row r="629" spans="1:15" x14ac:dyDescent="0.35">
      <c r="A629">
        <v>1628</v>
      </c>
      <c r="B629" t="s">
        <v>597</v>
      </c>
      <c r="C629" s="1">
        <v>45308</v>
      </c>
      <c r="D629" s="1">
        <v>45334</v>
      </c>
      <c r="E629" s="1">
        <v>45337</v>
      </c>
      <c r="F629" t="s">
        <v>38</v>
      </c>
      <c r="G629" t="s">
        <v>39</v>
      </c>
      <c r="H629" t="s">
        <v>30</v>
      </c>
      <c r="I629">
        <v>26</v>
      </c>
      <c r="J629">
        <v>3</v>
      </c>
      <c r="K629">
        <v>7368</v>
      </c>
      <c r="L629">
        <v>22104</v>
      </c>
      <c r="M629" t="s">
        <v>51</v>
      </c>
      <c r="N629">
        <v>1</v>
      </c>
      <c r="O629" t="s">
        <v>25</v>
      </c>
    </row>
    <row r="630" spans="1:15" x14ac:dyDescent="0.35">
      <c r="A630">
        <v>1629</v>
      </c>
      <c r="B630" t="s">
        <v>598</v>
      </c>
      <c r="C630" s="1">
        <v>45424</v>
      </c>
      <c r="D630" s="1">
        <v>45443</v>
      </c>
      <c r="E630" s="1">
        <v>45445</v>
      </c>
      <c r="F630" t="s">
        <v>38</v>
      </c>
      <c r="G630" t="s">
        <v>39</v>
      </c>
      <c r="H630" t="s">
        <v>30</v>
      </c>
      <c r="I630">
        <v>19</v>
      </c>
      <c r="J630">
        <v>2</v>
      </c>
      <c r="K630">
        <v>6467</v>
      </c>
      <c r="L630">
        <v>12934</v>
      </c>
      <c r="M630" t="s">
        <v>24</v>
      </c>
      <c r="N630">
        <v>0</v>
      </c>
      <c r="O630" t="s">
        <v>31</v>
      </c>
    </row>
    <row r="631" spans="1:15" x14ac:dyDescent="0.35">
      <c r="A631">
        <v>1630</v>
      </c>
      <c r="B631" t="s">
        <v>599</v>
      </c>
      <c r="C631" s="1">
        <v>45439</v>
      </c>
      <c r="D631" s="1">
        <v>45495</v>
      </c>
      <c r="E631" s="1">
        <v>45500</v>
      </c>
      <c r="F631" t="s">
        <v>35</v>
      </c>
      <c r="G631" t="s">
        <v>39</v>
      </c>
      <c r="H631" t="s">
        <v>30</v>
      </c>
      <c r="I631">
        <v>56</v>
      </c>
      <c r="J631">
        <v>5</v>
      </c>
      <c r="K631">
        <v>6923</v>
      </c>
      <c r="L631">
        <v>34615</v>
      </c>
      <c r="M631" t="s">
        <v>24</v>
      </c>
      <c r="N631">
        <v>1</v>
      </c>
      <c r="O631" t="s">
        <v>31</v>
      </c>
    </row>
    <row r="632" spans="1:15" x14ac:dyDescent="0.35">
      <c r="A632">
        <v>1631</v>
      </c>
      <c r="B632" t="s">
        <v>535</v>
      </c>
      <c r="C632" s="1">
        <v>45568</v>
      </c>
      <c r="D632" s="1">
        <v>45596</v>
      </c>
      <c r="E632" s="1">
        <v>45599</v>
      </c>
      <c r="F632" t="s">
        <v>29</v>
      </c>
      <c r="G632" t="s">
        <v>22</v>
      </c>
      <c r="H632" t="s">
        <v>23</v>
      </c>
      <c r="I632">
        <v>28</v>
      </c>
      <c r="J632">
        <v>3</v>
      </c>
      <c r="K632">
        <v>4758</v>
      </c>
      <c r="L632">
        <v>14274</v>
      </c>
      <c r="M632" t="s">
        <v>51</v>
      </c>
      <c r="N632">
        <v>0</v>
      </c>
      <c r="O632" t="s">
        <v>25</v>
      </c>
    </row>
    <row r="633" spans="1:15" x14ac:dyDescent="0.35">
      <c r="A633">
        <v>1632</v>
      </c>
      <c r="B633" t="s">
        <v>600</v>
      </c>
      <c r="C633" s="1">
        <v>45523</v>
      </c>
      <c r="D633" s="1">
        <v>45540</v>
      </c>
      <c r="E633" s="1">
        <v>45543</v>
      </c>
      <c r="F633" t="s">
        <v>29</v>
      </c>
      <c r="G633" t="s">
        <v>39</v>
      </c>
      <c r="H633" t="s">
        <v>30</v>
      </c>
      <c r="I633">
        <v>17</v>
      </c>
      <c r="J633">
        <v>3</v>
      </c>
      <c r="K633">
        <v>7518</v>
      </c>
      <c r="L633">
        <v>22554</v>
      </c>
      <c r="M633" t="s">
        <v>51</v>
      </c>
      <c r="N633">
        <v>0</v>
      </c>
      <c r="O633" t="s">
        <v>31</v>
      </c>
    </row>
    <row r="634" spans="1:15" x14ac:dyDescent="0.35">
      <c r="A634">
        <v>1633</v>
      </c>
      <c r="B634" t="s">
        <v>601</v>
      </c>
      <c r="C634" s="1">
        <v>45605</v>
      </c>
      <c r="D634" s="1">
        <v>45648</v>
      </c>
      <c r="E634" s="1">
        <v>45651</v>
      </c>
      <c r="F634" t="s">
        <v>60</v>
      </c>
      <c r="G634" t="s">
        <v>39</v>
      </c>
      <c r="H634" t="s">
        <v>23</v>
      </c>
      <c r="I634">
        <v>43</v>
      </c>
      <c r="J634">
        <v>3</v>
      </c>
      <c r="K634">
        <v>7147</v>
      </c>
      <c r="L634">
        <v>21441</v>
      </c>
      <c r="M634" t="s">
        <v>51</v>
      </c>
      <c r="N634">
        <v>1</v>
      </c>
      <c r="O634" t="s">
        <v>25</v>
      </c>
    </row>
    <row r="635" spans="1:15" x14ac:dyDescent="0.35">
      <c r="A635">
        <v>1634</v>
      </c>
      <c r="B635" t="s">
        <v>529</v>
      </c>
      <c r="C635" s="1">
        <v>45519</v>
      </c>
      <c r="D635" s="1">
        <v>45576</v>
      </c>
      <c r="E635" s="1">
        <v>45578</v>
      </c>
      <c r="F635" t="s">
        <v>35</v>
      </c>
      <c r="G635" t="s">
        <v>39</v>
      </c>
      <c r="H635" t="s">
        <v>30</v>
      </c>
      <c r="I635">
        <v>57</v>
      </c>
      <c r="J635">
        <v>2</v>
      </c>
      <c r="K635">
        <v>4573</v>
      </c>
      <c r="L635">
        <v>9146</v>
      </c>
      <c r="M635" t="s">
        <v>51</v>
      </c>
      <c r="N635">
        <v>1</v>
      </c>
      <c r="O635" t="s">
        <v>25</v>
      </c>
    </row>
    <row r="636" spans="1:15" x14ac:dyDescent="0.35">
      <c r="A636">
        <v>1635</v>
      </c>
      <c r="B636" t="s">
        <v>602</v>
      </c>
      <c r="C636" s="1">
        <v>45430</v>
      </c>
      <c r="D636" s="1">
        <v>45471</v>
      </c>
      <c r="E636" s="1">
        <v>45475</v>
      </c>
      <c r="F636" t="s">
        <v>38</v>
      </c>
      <c r="G636" t="s">
        <v>39</v>
      </c>
      <c r="H636" t="s">
        <v>23</v>
      </c>
      <c r="I636">
        <v>41</v>
      </c>
      <c r="J636">
        <v>4</v>
      </c>
      <c r="K636">
        <v>8670</v>
      </c>
      <c r="L636">
        <v>34680</v>
      </c>
      <c r="M636" t="s">
        <v>51</v>
      </c>
      <c r="N636">
        <v>0</v>
      </c>
      <c r="O636" t="s">
        <v>25</v>
      </c>
    </row>
    <row r="637" spans="1:15" x14ac:dyDescent="0.35">
      <c r="A637">
        <v>1636</v>
      </c>
      <c r="B637" t="s">
        <v>414</v>
      </c>
      <c r="C637" s="1">
        <v>45502</v>
      </c>
      <c r="D637" s="1">
        <v>45544</v>
      </c>
      <c r="E637" s="1">
        <v>45549</v>
      </c>
      <c r="F637" t="s">
        <v>29</v>
      </c>
      <c r="G637" t="s">
        <v>22</v>
      </c>
      <c r="H637" t="s">
        <v>46</v>
      </c>
      <c r="I637">
        <v>42</v>
      </c>
      <c r="J637">
        <v>5</v>
      </c>
      <c r="K637">
        <v>3201</v>
      </c>
      <c r="L637">
        <v>16005</v>
      </c>
      <c r="M637" t="s">
        <v>24</v>
      </c>
      <c r="N637">
        <v>1</v>
      </c>
      <c r="O637" t="s">
        <v>25</v>
      </c>
    </row>
    <row r="638" spans="1:15" x14ac:dyDescent="0.35">
      <c r="A638">
        <v>1637</v>
      </c>
      <c r="B638" t="s">
        <v>603</v>
      </c>
      <c r="C638" s="1">
        <v>45319</v>
      </c>
      <c r="D638" s="1">
        <v>45369</v>
      </c>
      <c r="E638" s="1">
        <v>45372</v>
      </c>
      <c r="F638" t="s">
        <v>21</v>
      </c>
      <c r="G638" t="s">
        <v>22</v>
      </c>
      <c r="H638" t="s">
        <v>23</v>
      </c>
      <c r="I638">
        <v>50</v>
      </c>
      <c r="J638">
        <v>3</v>
      </c>
      <c r="K638">
        <v>4419</v>
      </c>
      <c r="L638">
        <v>13257</v>
      </c>
      <c r="M638" t="s">
        <v>24</v>
      </c>
      <c r="N638">
        <v>1</v>
      </c>
      <c r="O638" t="s">
        <v>31</v>
      </c>
    </row>
    <row r="639" spans="1:15" x14ac:dyDescent="0.35">
      <c r="A639">
        <v>1638</v>
      </c>
      <c r="B639" t="s">
        <v>227</v>
      </c>
      <c r="C639" s="1">
        <v>45342</v>
      </c>
      <c r="D639" s="1">
        <v>45362</v>
      </c>
      <c r="E639" s="1">
        <v>45366</v>
      </c>
      <c r="F639" t="s">
        <v>21</v>
      </c>
      <c r="G639" t="s">
        <v>39</v>
      </c>
      <c r="H639" t="s">
        <v>23</v>
      </c>
      <c r="I639">
        <v>20</v>
      </c>
      <c r="J639">
        <v>4</v>
      </c>
      <c r="K639">
        <v>4960</v>
      </c>
      <c r="L639">
        <v>19840</v>
      </c>
      <c r="M639" t="s">
        <v>51</v>
      </c>
      <c r="N639">
        <v>0</v>
      </c>
      <c r="O639" t="s">
        <v>25</v>
      </c>
    </row>
    <row r="640" spans="1:15" x14ac:dyDescent="0.35">
      <c r="A640">
        <v>1639</v>
      </c>
      <c r="B640" t="s">
        <v>475</v>
      </c>
      <c r="C640" s="1">
        <v>45552</v>
      </c>
      <c r="D640" s="1">
        <v>45597</v>
      </c>
      <c r="E640" s="1">
        <v>45602</v>
      </c>
      <c r="F640" t="s">
        <v>21</v>
      </c>
      <c r="G640" t="s">
        <v>39</v>
      </c>
      <c r="H640" t="s">
        <v>30</v>
      </c>
      <c r="I640">
        <v>45</v>
      </c>
      <c r="J640">
        <v>5</v>
      </c>
      <c r="K640">
        <v>6762</v>
      </c>
      <c r="L640">
        <v>33810</v>
      </c>
      <c r="M640" t="s">
        <v>51</v>
      </c>
      <c r="N640">
        <v>0</v>
      </c>
      <c r="O640" t="s">
        <v>25</v>
      </c>
    </row>
    <row r="641" spans="1:15" x14ac:dyDescent="0.35">
      <c r="A641">
        <v>1640</v>
      </c>
      <c r="B641" t="s">
        <v>604</v>
      </c>
      <c r="C641" s="1">
        <v>45552</v>
      </c>
      <c r="D641" s="1">
        <v>45592</v>
      </c>
      <c r="E641" s="1">
        <v>45597</v>
      </c>
      <c r="F641" t="s">
        <v>38</v>
      </c>
      <c r="G641" t="s">
        <v>22</v>
      </c>
      <c r="H641" t="s">
        <v>23</v>
      </c>
      <c r="I641">
        <v>40</v>
      </c>
      <c r="J641">
        <v>5</v>
      </c>
      <c r="K641">
        <v>6764</v>
      </c>
      <c r="L641">
        <v>33820</v>
      </c>
      <c r="M641" t="s">
        <v>24</v>
      </c>
      <c r="N641">
        <v>0</v>
      </c>
      <c r="O641" t="s">
        <v>25</v>
      </c>
    </row>
    <row r="642" spans="1:15" x14ac:dyDescent="0.35">
      <c r="A642">
        <v>1641</v>
      </c>
      <c r="B642" t="s">
        <v>605</v>
      </c>
      <c r="C642" s="1">
        <v>45641</v>
      </c>
      <c r="D642" s="1">
        <v>45680</v>
      </c>
      <c r="E642" s="1">
        <v>45683</v>
      </c>
      <c r="F642" t="s">
        <v>38</v>
      </c>
      <c r="G642" t="s">
        <v>39</v>
      </c>
      <c r="H642" t="s">
        <v>23</v>
      </c>
      <c r="I642">
        <v>39</v>
      </c>
      <c r="J642">
        <v>3</v>
      </c>
      <c r="K642">
        <v>6824</v>
      </c>
      <c r="L642">
        <v>20472</v>
      </c>
      <c r="M642" t="s">
        <v>51</v>
      </c>
      <c r="N642">
        <v>0</v>
      </c>
      <c r="O642" t="s">
        <v>25</v>
      </c>
    </row>
    <row r="643" spans="1:15" x14ac:dyDescent="0.35">
      <c r="A643">
        <v>1642</v>
      </c>
      <c r="B643" t="s">
        <v>606</v>
      </c>
      <c r="C643" s="1">
        <v>45643</v>
      </c>
      <c r="D643" s="1">
        <v>45692</v>
      </c>
      <c r="E643" s="1">
        <v>45695</v>
      </c>
      <c r="F643" t="s">
        <v>60</v>
      </c>
      <c r="G643" t="s">
        <v>22</v>
      </c>
      <c r="H643" t="s">
        <v>30</v>
      </c>
      <c r="I643">
        <v>49</v>
      </c>
      <c r="J643">
        <v>3</v>
      </c>
      <c r="K643">
        <v>8598</v>
      </c>
      <c r="L643">
        <v>25794</v>
      </c>
      <c r="M643" t="s">
        <v>51</v>
      </c>
      <c r="N643">
        <v>1</v>
      </c>
      <c r="O643" t="s">
        <v>31</v>
      </c>
    </row>
    <row r="644" spans="1:15" x14ac:dyDescent="0.35">
      <c r="A644">
        <v>1643</v>
      </c>
      <c r="B644" t="s">
        <v>348</v>
      </c>
      <c r="C644" s="1">
        <v>45299</v>
      </c>
      <c r="D644" s="1">
        <v>45352</v>
      </c>
      <c r="E644" s="1">
        <v>45354</v>
      </c>
      <c r="F644" t="s">
        <v>60</v>
      </c>
      <c r="G644" t="s">
        <v>39</v>
      </c>
      <c r="H644" t="s">
        <v>46</v>
      </c>
      <c r="I644">
        <v>53</v>
      </c>
      <c r="J644">
        <v>2</v>
      </c>
      <c r="K644">
        <v>2866</v>
      </c>
      <c r="L644">
        <v>5732</v>
      </c>
      <c r="M644" t="s">
        <v>51</v>
      </c>
      <c r="N644">
        <v>1</v>
      </c>
      <c r="O644" t="s">
        <v>31</v>
      </c>
    </row>
    <row r="645" spans="1:15" x14ac:dyDescent="0.35">
      <c r="A645">
        <v>1644</v>
      </c>
      <c r="B645" t="s">
        <v>607</v>
      </c>
      <c r="C645" s="1">
        <v>45611</v>
      </c>
      <c r="D645" s="1">
        <v>45634</v>
      </c>
      <c r="E645" s="1">
        <v>45638</v>
      </c>
      <c r="F645" t="s">
        <v>60</v>
      </c>
      <c r="G645" t="s">
        <v>22</v>
      </c>
      <c r="H645" t="s">
        <v>46</v>
      </c>
      <c r="I645">
        <v>23</v>
      </c>
      <c r="J645">
        <v>4</v>
      </c>
      <c r="K645">
        <v>3027</v>
      </c>
      <c r="L645">
        <v>12108</v>
      </c>
      <c r="M645" t="s">
        <v>24</v>
      </c>
      <c r="N645">
        <v>0</v>
      </c>
      <c r="O645" t="s">
        <v>31</v>
      </c>
    </row>
    <row r="646" spans="1:15" x14ac:dyDescent="0.35">
      <c r="A646">
        <v>1645</v>
      </c>
      <c r="B646" t="s">
        <v>373</v>
      </c>
      <c r="C646" s="1">
        <v>45429</v>
      </c>
      <c r="D646" s="1">
        <v>45476</v>
      </c>
      <c r="E646" s="1">
        <v>45480</v>
      </c>
      <c r="F646" t="s">
        <v>21</v>
      </c>
      <c r="G646" t="s">
        <v>39</v>
      </c>
      <c r="H646" t="s">
        <v>46</v>
      </c>
      <c r="I646">
        <v>47</v>
      </c>
      <c r="J646">
        <v>4</v>
      </c>
      <c r="K646">
        <v>7386</v>
      </c>
      <c r="L646">
        <v>29544</v>
      </c>
      <c r="M646" t="s">
        <v>24</v>
      </c>
      <c r="N646">
        <v>0</v>
      </c>
      <c r="O646" t="s">
        <v>25</v>
      </c>
    </row>
    <row r="647" spans="1:15" x14ac:dyDescent="0.35">
      <c r="A647">
        <v>1646</v>
      </c>
      <c r="B647" t="s">
        <v>444</v>
      </c>
      <c r="C647" s="1">
        <v>45329</v>
      </c>
      <c r="D647" s="1">
        <v>45361</v>
      </c>
      <c r="E647" s="1">
        <v>45364</v>
      </c>
      <c r="F647" t="s">
        <v>38</v>
      </c>
      <c r="G647" t="s">
        <v>22</v>
      </c>
      <c r="H647" t="s">
        <v>23</v>
      </c>
      <c r="I647">
        <v>32</v>
      </c>
      <c r="J647">
        <v>3</v>
      </c>
      <c r="K647">
        <v>6218</v>
      </c>
      <c r="L647">
        <v>18654</v>
      </c>
      <c r="M647" t="s">
        <v>51</v>
      </c>
      <c r="N647">
        <v>1</v>
      </c>
      <c r="O647" t="s">
        <v>31</v>
      </c>
    </row>
    <row r="648" spans="1:15" x14ac:dyDescent="0.35">
      <c r="A648">
        <v>1647</v>
      </c>
      <c r="B648" t="s">
        <v>608</v>
      </c>
      <c r="C648" s="1">
        <v>45402</v>
      </c>
      <c r="D648" s="1">
        <v>45454</v>
      </c>
      <c r="E648" s="1">
        <v>45459</v>
      </c>
      <c r="F648" t="s">
        <v>21</v>
      </c>
      <c r="G648" t="s">
        <v>22</v>
      </c>
      <c r="H648" t="s">
        <v>30</v>
      </c>
      <c r="I648">
        <v>52</v>
      </c>
      <c r="J648">
        <v>5</v>
      </c>
      <c r="K648">
        <v>6109</v>
      </c>
      <c r="L648">
        <v>30545</v>
      </c>
      <c r="M648" t="s">
        <v>24</v>
      </c>
      <c r="N648">
        <v>0</v>
      </c>
      <c r="O648" t="s">
        <v>31</v>
      </c>
    </row>
    <row r="649" spans="1:15" x14ac:dyDescent="0.35">
      <c r="A649">
        <v>1648</v>
      </c>
      <c r="B649" t="s">
        <v>97</v>
      </c>
      <c r="C649" s="1">
        <v>45511</v>
      </c>
      <c r="D649" s="1">
        <v>45558</v>
      </c>
      <c r="E649" s="1">
        <v>45561</v>
      </c>
      <c r="F649" t="s">
        <v>60</v>
      </c>
      <c r="G649" t="s">
        <v>22</v>
      </c>
      <c r="H649" t="s">
        <v>46</v>
      </c>
      <c r="I649">
        <v>47</v>
      </c>
      <c r="J649">
        <v>3</v>
      </c>
      <c r="K649">
        <v>6435</v>
      </c>
      <c r="L649">
        <v>19305</v>
      </c>
      <c r="M649" t="s">
        <v>24</v>
      </c>
      <c r="N649">
        <v>1</v>
      </c>
      <c r="O649" t="s">
        <v>25</v>
      </c>
    </row>
    <row r="650" spans="1:15" x14ac:dyDescent="0.35">
      <c r="A650">
        <v>1649</v>
      </c>
      <c r="B650" t="s">
        <v>609</v>
      </c>
      <c r="C650" s="1">
        <v>45628</v>
      </c>
      <c r="D650" s="1">
        <v>45661</v>
      </c>
      <c r="E650" s="1">
        <v>45666</v>
      </c>
      <c r="F650" t="s">
        <v>38</v>
      </c>
      <c r="G650" t="s">
        <v>39</v>
      </c>
      <c r="H650" t="s">
        <v>46</v>
      </c>
      <c r="I650">
        <v>33</v>
      </c>
      <c r="J650">
        <v>5</v>
      </c>
      <c r="K650">
        <v>7119</v>
      </c>
      <c r="L650">
        <v>35595</v>
      </c>
      <c r="M650" t="s">
        <v>51</v>
      </c>
      <c r="N650">
        <v>1</v>
      </c>
      <c r="O650" t="s">
        <v>31</v>
      </c>
    </row>
    <row r="651" spans="1:15" x14ac:dyDescent="0.35">
      <c r="A651">
        <v>1650</v>
      </c>
      <c r="B651" t="s">
        <v>177</v>
      </c>
      <c r="C651" s="1">
        <v>45514</v>
      </c>
      <c r="D651" s="1">
        <v>45571</v>
      </c>
      <c r="E651" s="1">
        <v>45576</v>
      </c>
      <c r="F651" t="s">
        <v>35</v>
      </c>
      <c r="G651" t="s">
        <v>22</v>
      </c>
      <c r="H651" t="s">
        <v>46</v>
      </c>
      <c r="I651">
        <v>57</v>
      </c>
      <c r="J651">
        <v>5</v>
      </c>
      <c r="K651">
        <v>7691</v>
      </c>
      <c r="L651">
        <v>38455</v>
      </c>
      <c r="M651" t="s">
        <v>24</v>
      </c>
      <c r="N651">
        <v>1</v>
      </c>
      <c r="O651" t="s">
        <v>25</v>
      </c>
    </row>
    <row r="652" spans="1:15" x14ac:dyDescent="0.35">
      <c r="A652">
        <v>1651</v>
      </c>
      <c r="B652" t="s">
        <v>610</v>
      </c>
      <c r="C652" s="1">
        <v>45427</v>
      </c>
      <c r="D652" s="1">
        <v>45473</v>
      </c>
      <c r="E652" s="1">
        <v>45476</v>
      </c>
      <c r="F652" t="s">
        <v>29</v>
      </c>
      <c r="G652" t="s">
        <v>22</v>
      </c>
      <c r="H652" t="s">
        <v>46</v>
      </c>
      <c r="I652">
        <v>46</v>
      </c>
      <c r="J652">
        <v>3</v>
      </c>
      <c r="K652">
        <v>8264</v>
      </c>
      <c r="L652">
        <v>24792</v>
      </c>
      <c r="M652" t="s">
        <v>24</v>
      </c>
      <c r="N652">
        <v>1</v>
      </c>
      <c r="O652" t="s">
        <v>31</v>
      </c>
    </row>
    <row r="653" spans="1:15" x14ac:dyDescent="0.35">
      <c r="A653">
        <v>1652</v>
      </c>
      <c r="B653" t="s">
        <v>611</v>
      </c>
      <c r="C653" s="1">
        <v>45547</v>
      </c>
      <c r="D653" s="1">
        <v>45552</v>
      </c>
      <c r="E653" s="1">
        <v>45553</v>
      </c>
      <c r="F653" t="s">
        <v>29</v>
      </c>
      <c r="G653" t="s">
        <v>39</v>
      </c>
      <c r="H653" t="s">
        <v>30</v>
      </c>
      <c r="I653">
        <v>5</v>
      </c>
      <c r="J653">
        <v>1</v>
      </c>
      <c r="K653">
        <v>4653</v>
      </c>
      <c r="L653">
        <v>4653</v>
      </c>
      <c r="M653" t="s">
        <v>24</v>
      </c>
      <c r="N653">
        <v>0</v>
      </c>
      <c r="O653" t="s">
        <v>31</v>
      </c>
    </row>
    <row r="654" spans="1:15" x14ac:dyDescent="0.35">
      <c r="A654">
        <v>1653</v>
      </c>
      <c r="B654" t="s">
        <v>612</v>
      </c>
      <c r="C654" s="1">
        <v>45651</v>
      </c>
      <c r="D654" s="1">
        <v>45694</v>
      </c>
      <c r="E654" s="1">
        <v>45698</v>
      </c>
      <c r="F654" t="s">
        <v>60</v>
      </c>
      <c r="G654" t="s">
        <v>39</v>
      </c>
      <c r="H654" t="s">
        <v>46</v>
      </c>
      <c r="I654">
        <v>43</v>
      </c>
      <c r="J654">
        <v>4</v>
      </c>
      <c r="K654">
        <v>4408</v>
      </c>
      <c r="L654">
        <v>17632</v>
      </c>
      <c r="M654" t="s">
        <v>24</v>
      </c>
      <c r="N654">
        <v>1</v>
      </c>
      <c r="O654" t="s">
        <v>31</v>
      </c>
    </row>
    <row r="655" spans="1:15" x14ac:dyDescent="0.35">
      <c r="A655">
        <v>1654</v>
      </c>
      <c r="B655" t="s">
        <v>168</v>
      </c>
      <c r="C655" s="1">
        <v>45620</v>
      </c>
      <c r="D655" s="1">
        <v>45668</v>
      </c>
      <c r="E655" s="1">
        <v>45673</v>
      </c>
      <c r="F655" t="s">
        <v>21</v>
      </c>
      <c r="G655" t="s">
        <v>39</v>
      </c>
      <c r="H655" t="s">
        <v>23</v>
      </c>
      <c r="I655">
        <v>48</v>
      </c>
      <c r="J655">
        <v>5</v>
      </c>
      <c r="K655">
        <v>5512</v>
      </c>
      <c r="L655">
        <v>27560</v>
      </c>
      <c r="M655" t="s">
        <v>24</v>
      </c>
      <c r="N655">
        <v>1</v>
      </c>
      <c r="O655" t="s">
        <v>31</v>
      </c>
    </row>
    <row r="656" spans="1:15" x14ac:dyDescent="0.35">
      <c r="A656">
        <v>1655</v>
      </c>
      <c r="B656" t="s">
        <v>327</v>
      </c>
      <c r="C656" s="1">
        <v>45340</v>
      </c>
      <c r="D656" s="1">
        <v>45374</v>
      </c>
      <c r="E656" s="1">
        <v>45379</v>
      </c>
      <c r="F656" t="s">
        <v>35</v>
      </c>
      <c r="G656" t="s">
        <v>39</v>
      </c>
      <c r="H656" t="s">
        <v>23</v>
      </c>
      <c r="I656">
        <v>34</v>
      </c>
      <c r="J656">
        <v>5</v>
      </c>
      <c r="K656">
        <v>7901</v>
      </c>
      <c r="L656">
        <v>39505</v>
      </c>
      <c r="M656" t="s">
        <v>24</v>
      </c>
      <c r="N656">
        <v>0</v>
      </c>
      <c r="O656" t="s">
        <v>25</v>
      </c>
    </row>
    <row r="657" spans="1:15" x14ac:dyDescent="0.35">
      <c r="A657">
        <v>1656</v>
      </c>
      <c r="B657" t="s">
        <v>569</v>
      </c>
      <c r="C657" s="1">
        <v>45583</v>
      </c>
      <c r="D657" s="1">
        <v>45623</v>
      </c>
      <c r="E657" s="1">
        <v>45624</v>
      </c>
      <c r="F657" t="s">
        <v>38</v>
      </c>
      <c r="G657" t="s">
        <v>22</v>
      </c>
      <c r="H657" t="s">
        <v>30</v>
      </c>
      <c r="I657">
        <v>40</v>
      </c>
      <c r="J657">
        <v>1</v>
      </c>
      <c r="K657">
        <v>6728</v>
      </c>
      <c r="L657">
        <v>6728</v>
      </c>
      <c r="M657" t="s">
        <v>51</v>
      </c>
      <c r="N657">
        <v>1</v>
      </c>
      <c r="O657" t="s">
        <v>25</v>
      </c>
    </row>
    <row r="658" spans="1:15" x14ac:dyDescent="0.35">
      <c r="A658">
        <v>1657</v>
      </c>
      <c r="B658" t="s">
        <v>613</v>
      </c>
      <c r="C658" s="1">
        <v>45615</v>
      </c>
      <c r="D658" s="1">
        <v>45626</v>
      </c>
      <c r="E658" s="1">
        <v>45628</v>
      </c>
      <c r="F658" t="s">
        <v>21</v>
      </c>
      <c r="G658" t="s">
        <v>39</v>
      </c>
      <c r="H658" t="s">
        <v>46</v>
      </c>
      <c r="I658">
        <v>11</v>
      </c>
      <c r="J658">
        <v>2</v>
      </c>
      <c r="K658">
        <v>5522</v>
      </c>
      <c r="L658">
        <v>11044</v>
      </c>
      <c r="M658" t="s">
        <v>51</v>
      </c>
      <c r="N658">
        <v>1</v>
      </c>
      <c r="O658" t="s">
        <v>31</v>
      </c>
    </row>
    <row r="659" spans="1:15" x14ac:dyDescent="0.35">
      <c r="A659">
        <v>1658</v>
      </c>
      <c r="B659" t="s">
        <v>614</v>
      </c>
      <c r="C659" s="1">
        <v>45369</v>
      </c>
      <c r="D659" s="1">
        <v>45419</v>
      </c>
      <c r="E659" s="1">
        <v>45420</v>
      </c>
      <c r="F659" t="s">
        <v>60</v>
      </c>
      <c r="G659" t="s">
        <v>39</v>
      </c>
      <c r="H659" t="s">
        <v>46</v>
      </c>
      <c r="I659">
        <v>50</v>
      </c>
      <c r="J659">
        <v>1</v>
      </c>
      <c r="K659">
        <v>8912</v>
      </c>
      <c r="L659">
        <v>8912</v>
      </c>
      <c r="M659" t="s">
        <v>51</v>
      </c>
      <c r="N659">
        <v>1</v>
      </c>
      <c r="O659" t="s">
        <v>25</v>
      </c>
    </row>
    <row r="660" spans="1:15" x14ac:dyDescent="0.35">
      <c r="A660">
        <v>1659</v>
      </c>
      <c r="B660" t="s">
        <v>120</v>
      </c>
      <c r="C660" s="1">
        <v>45396</v>
      </c>
      <c r="D660" s="1">
        <v>45399</v>
      </c>
      <c r="E660" s="1">
        <v>45400</v>
      </c>
      <c r="F660" t="s">
        <v>21</v>
      </c>
      <c r="G660" t="s">
        <v>39</v>
      </c>
      <c r="H660" t="s">
        <v>23</v>
      </c>
      <c r="I660">
        <v>3</v>
      </c>
      <c r="J660">
        <v>1</v>
      </c>
      <c r="K660">
        <v>5983</v>
      </c>
      <c r="L660">
        <v>5983</v>
      </c>
      <c r="M660" t="s">
        <v>24</v>
      </c>
      <c r="N660">
        <v>0</v>
      </c>
      <c r="O660" t="s">
        <v>31</v>
      </c>
    </row>
    <row r="661" spans="1:15" x14ac:dyDescent="0.35">
      <c r="A661">
        <v>1660</v>
      </c>
      <c r="B661" t="s">
        <v>615</v>
      </c>
      <c r="C661" s="1">
        <v>45460</v>
      </c>
      <c r="D661" s="1">
        <v>45518</v>
      </c>
      <c r="E661" s="1">
        <v>45523</v>
      </c>
      <c r="F661" t="s">
        <v>60</v>
      </c>
      <c r="G661" t="s">
        <v>39</v>
      </c>
      <c r="H661" t="s">
        <v>30</v>
      </c>
      <c r="I661">
        <v>58</v>
      </c>
      <c r="J661">
        <v>5</v>
      </c>
      <c r="K661">
        <v>5220</v>
      </c>
      <c r="L661">
        <v>26100</v>
      </c>
      <c r="M661" t="s">
        <v>51</v>
      </c>
      <c r="N661">
        <v>1</v>
      </c>
      <c r="O661" t="s">
        <v>31</v>
      </c>
    </row>
    <row r="662" spans="1:15" x14ac:dyDescent="0.35">
      <c r="A662">
        <v>1661</v>
      </c>
      <c r="B662" t="s">
        <v>616</v>
      </c>
      <c r="C662" s="1">
        <v>45508</v>
      </c>
      <c r="D662" s="1">
        <v>45541</v>
      </c>
      <c r="E662" s="1">
        <v>45545</v>
      </c>
      <c r="F662" t="s">
        <v>29</v>
      </c>
      <c r="G662" t="s">
        <v>39</v>
      </c>
      <c r="H662" t="s">
        <v>23</v>
      </c>
      <c r="I662">
        <v>33</v>
      </c>
      <c r="J662">
        <v>4</v>
      </c>
      <c r="K662">
        <v>8238</v>
      </c>
      <c r="L662">
        <v>32952</v>
      </c>
      <c r="M662" t="s">
        <v>24</v>
      </c>
      <c r="N662">
        <v>1</v>
      </c>
      <c r="O662" t="s">
        <v>31</v>
      </c>
    </row>
    <row r="663" spans="1:15" x14ac:dyDescent="0.35">
      <c r="A663">
        <v>1662</v>
      </c>
      <c r="B663" t="s">
        <v>617</v>
      </c>
      <c r="C663" s="1">
        <v>45410</v>
      </c>
      <c r="D663" s="1">
        <v>45421</v>
      </c>
      <c r="E663" s="1">
        <v>45422</v>
      </c>
      <c r="F663" t="s">
        <v>29</v>
      </c>
      <c r="G663" t="s">
        <v>39</v>
      </c>
      <c r="H663" t="s">
        <v>30</v>
      </c>
      <c r="I663">
        <v>11</v>
      </c>
      <c r="J663">
        <v>1</v>
      </c>
      <c r="K663">
        <v>8484</v>
      </c>
      <c r="L663">
        <v>8484</v>
      </c>
      <c r="M663" t="s">
        <v>24</v>
      </c>
      <c r="N663">
        <v>0</v>
      </c>
      <c r="O663" t="s">
        <v>31</v>
      </c>
    </row>
    <row r="664" spans="1:15" x14ac:dyDescent="0.35">
      <c r="A664">
        <v>1663</v>
      </c>
      <c r="B664" t="s">
        <v>618</v>
      </c>
      <c r="C664" s="1">
        <v>45481</v>
      </c>
      <c r="D664" s="1">
        <v>45497</v>
      </c>
      <c r="E664" s="1">
        <v>45499</v>
      </c>
      <c r="F664" t="s">
        <v>21</v>
      </c>
      <c r="G664" t="s">
        <v>39</v>
      </c>
      <c r="H664" t="s">
        <v>30</v>
      </c>
      <c r="I664">
        <v>16</v>
      </c>
      <c r="J664">
        <v>2</v>
      </c>
      <c r="K664">
        <v>4270</v>
      </c>
      <c r="L664">
        <v>8540</v>
      </c>
      <c r="M664" t="s">
        <v>51</v>
      </c>
      <c r="N664">
        <v>0</v>
      </c>
      <c r="O664" t="s">
        <v>31</v>
      </c>
    </row>
    <row r="665" spans="1:15" x14ac:dyDescent="0.35">
      <c r="A665">
        <v>1664</v>
      </c>
      <c r="B665" t="s">
        <v>619</v>
      </c>
      <c r="C665" s="1">
        <v>45546</v>
      </c>
      <c r="D665" s="1">
        <v>45564</v>
      </c>
      <c r="E665" s="1">
        <v>45567</v>
      </c>
      <c r="F665" t="s">
        <v>35</v>
      </c>
      <c r="G665" t="s">
        <v>22</v>
      </c>
      <c r="H665" t="s">
        <v>30</v>
      </c>
      <c r="I665">
        <v>18</v>
      </c>
      <c r="J665">
        <v>3</v>
      </c>
      <c r="K665">
        <v>6613</v>
      </c>
      <c r="L665">
        <v>19839</v>
      </c>
      <c r="M665" t="s">
        <v>24</v>
      </c>
      <c r="N665">
        <v>1</v>
      </c>
      <c r="O665" t="s">
        <v>31</v>
      </c>
    </row>
    <row r="666" spans="1:15" x14ac:dyDescent="0.35">
      <c r="A666">
        <v>1665</v>
      </c>
      <c r="B666" t="s">
        <v>620</v>
      </c>
      <c r="C666" s="1">
        <v>45557</v>
      </c>
      <c r="D666" s="1">
        <v>45587</v>
      </c>
      <c r="E666" s="1">
        <v>45588</v>
      </c>
      <c r="F666" t="s">
        <v>38</v>
      </c>
      <c r="G666" t="s">
        <v>22</v>
      </c>
      <c r="H666" t="s">
        <v>23</v>
      </c>
      <c r="I666">
        <v>30</v>
      </c>
      <c r="J666">
        <v>1</v>
      </c>
      <c r="K666">
        <v>4277</v>
      </c>
      <c r="L666">
        <v>4277</v>
      </c>
      <c r="M666" t="s">
        <v>51</v>
      </c>
      <c r="N666">
        <v>1</v>
      </c>
      <c r="O666" t="s">
        <v>25</v>
      </c>
    </row>
    <row r="667" spans="1:15" x14ac:dyDescent="0.35">
      <c r="A667">
        <v>1666</v>
      </c>
      <c r="B667" t="s">
        <v>621</v>
      </c>
      <c r="C667" s="1">
        <v>45440</v>
      </c>
      <c r="D667" s="1">
        <v>45488</v>
      </c>
      <c r="E667" s="1">
        <v>45489</v>
      </c>
      <c r="F667" t="s">
        <v>60</v>
      </c>
      <c r="G667" t="s">
        <v>22</v>
      </c>
      <c r="H667" t="s">
        <v>30</v>
      </c>
      <c r="I667">
        <v>48</v>
      </c>
      <c r="J667">
        <v>1</v>
      </c>
      <c r="K667">
        <v>6712</v>
      </c>
      <c r="L667">
        <v>6712</v>
      </c>
      <c r="M667" t="s">
        <v>24</v>
      </c>
      <c r="N667">
        <v>1</v>
      </c>
      <c r="O667" t="s">
        <v>25</v>
      </c>
    </row>
    <row r="668" spans="1:15" x14ac:dyDescent="0.35">
      <c r="A668">
        <v>1667</v>
      </c>
      <c r="B668" t="s">
        <v>537</v>
      </c>
      <c r="C668" s="1">
        <v>45455</v>
      </c>
      <c r="D668" s="1">
        <v>45510</v>
      </c>
      <c r="E668" s="1">
        <v>45512</v>
      </c>
      <c r="F668" t="s">
        <v>38</v>
      </c>
      <c r="G668" t="s">
        <v>22</v>
      </c>
      <c r="H668" t="s">
        <v>23</v>
      </c>
      <c r="I668">
        <v>55</v>
      </c>
      <c r="J668">
        <v>2</v>
      </c>
      <c r="K668">
        <v>3297</v>
      </c>
      <c r="L668">
        <v>6594</v>
      </c>
      <c r="M668" t="s">
        <v>51</v>
      </c>
      <c r="N668">
        <v>1</v>
      </c>
      <c r="O668" t="s">
        <v>31</v>
      </c>
    </row>
    <row r="669" spans="1:15" x14ac:dyDescent="0.35">
      <c r="A669">
        <v>1668</v>
      </c>
      <c r="B669" t="s">
        <v>386</v>
      </c>
      <c r="C669" s="1">
        <v>45431</v>
      </c>
      <c r="D669" s="1">
        <v>45441</v>
      </c>
      <c r="E669" s="1">
        <v>45445</v>
      </c>
      <c r="F669" t="s">
        <v>29</v>
      </c>
      <c r="G669" t="s">
        <v>22</v>
      </c>
      <c r="H669" t="s">
        <v>23</v>
      </c>
      <c r="I669">
        <v>10</v>
      </c>
      <c r="J669">
        <v>4</v>
      </c>
      <c r="K669">
        <v>5715</v>
      </c>
      <c r="L669">
        <v>22860</v>
      </c>
      <c r="M669" t="s">
        <v>51</v>
      </c>
      <c r="N669">
        <v>0</v>
      </c>
      <c r="O669" t="s">
        <v>25</v>
      </c>
    </row>
    <row r="670" spans="1:15" x14ac:dyDescent="0.35">
      <c r="A670">
        <v>1669</v>
      </c>
      <c r="B670" t="s">
        <v>469</v>
      </c>
      <c r="C670" s="1">
        <v>45638</v>
      </c>
      <c r="D670" s="1">
        <v>45656</v>
      </c>
      <c r="E670" s="1">
        <v>45657</v>
      </c>
      <c r="F670" t="s">
        <v>35</v>
      </c>
      <c r="G670" t="s">
        <v>39</v>
      </c>
      <c r="H670" t="s">
        <v>46</v>
      </c>
      <c r="I670">
        <v>18</v>
      </c>
      <c r="J670">
        <v>1</v>
      </c>
      <c r="K670">
        <v>6288</v>
      </c>
      <c r="L670">
        <v>6288</v>
      </c>
      <c r="M670" t="s">
        <v>51</v>
      </c>
      <c r="N670">
        <v>0</v>
      </c>
      <c r="O670" t="s">
        <v>31</v>
      </c>
    </row>
    <row r="671" spans="1:15" x14ac:dyDescent="0.35">
      <c r="A671">
        <v>1670</v>
      </c>
      <c r="B671" t="s">
        <v>622</v>
      </c>
      <c r="C671" s="1">
        <v>45549</v>
      </c>
      <c r="D671" s="1">
        <v>45587</v>
      </c>
      <c r="E671" s="1">
        <v>45588</v>
      </c>
      <c r="F671" t="s">
        <v>35</v>
      </c>
      <c r="G671" t="s">
        <v>39</v>
      </c>
      <c r="H671" t="s">
        <v>23</v>
      </c>
      <c r="I671">
        <v>38</v>
      </c>
      <c r="J671">
        <v>1</v>
      </c>
      <c r="K671">
        <v>5476</v>
      </c>
      <c r="L671">
        <v>5476</v>
      </c>
      <c r="M671" t="s">
        <v>51</v>
      </c>
      <c r="N671">
        <v>1</v>
      </c>
      <c r="O671" t="s">
        <v>25</v>
      </c>
    </row>
    <row r="672" spans="1:15" x14ac:dyDescent="0.35">
      <c r="A672">
        <v>1671</v>
      </c>
      <c r="B672" t="s">
        <v>166</v>
      </c>
      <c r="C672" s="1">
        <v>45560</v>
      </c>
      <c r="D672" s="1">
        <v>45579</v>
      </c>
      <c r="E672" s="1">
        <v>45583</v>
      </c>
      <c r="F672" t="s">
        <v>38</v>
      </c>
      <c r="G672" t="s">
        <v>39</v>
      </c>
      <c r="H672" t="s">
        <v>23</v>
      </c>
      <c r="I672">
        <v>19</v>
      </c>
      <c r="J672">
        <v>4</v>
      </c>
      <c r="K672">
        <v>6237</v>
      </c>
      <c r="L672">
        <v>24948</v>
      </c>
      <c r="M672" t="s">
        <v>24</v>
      </c>
      <c r="N672">
        <v>1</v>
      </c>
      <c r="O672" t="s">
        <v>25</v>
      </c>
    </row>
    <row r="673" spans="1:15" x14ac:dyDescent="0.35">
      <c r="A673">
        <v>1672</v>
      </c>
      <c r="B673" t="s">
        <v>623</v>
      </c>
      <c r="C673" s="1">
        <v>45472</v>
      </c>
      <c r="D673" s="1">
        <v>45508</v>
      </c>
      <c r="E673" s="1">
        <v>45510</v>
      </c>
      <c r="F673" t="s">
        <v>29</v>
      </c>
      <c r="G673" t="s">
        <v>39</v>
      </c>
      <c r="H673" t="s">
        <v>46</v>
      </c>
      <c r="I673">
        <v>36</v>
      </c>
      <c r="J673">
        <v>2</v>
      </c>
      <c r="K673">
        <v>4211</v>
      </c>
      <c r="L673">
        <v>8422</v>
      </c>
      <c r="M673" t="s">
        <v>51</v>
      </c>
      <c r="N673">
        <v>1</v>
      </c>
      <c r="O673" t="s">
        <v>25</v>
      </c>
    </row>
    <row r="674" spans="1:15" x14ac:dyDescent="0.35">
      <c r="A674">
        <v>1673</v>
      </c>
      <c r="B674" t="s">
        <v>624</v>
      </c>
      <c r="C674" s="1">
        <v>45451</v>
      </c>
      <c r="D674" s="1">
        <v>45510</v>
      </c>
      <c r="E674" s="1">
        <v>45511</v>
      </c>
      <c r="F674" t="s">
        <v>38</v>
      </c>
      <c r="G674" t="s">
        <v>22</v>
      </c>
      <c r="H674" t="s">
        <v>46</v>
      </c>
      <c r="I674">
        <v>59</v>
      </c>
      <c r="J674">
        <v>1</v>
      </c>
      <c r="K674">
        <v>3252</v>
      </c>
      <c r="L674">
        <v>3252</v>
      </c>
      <c r="M674" t="s">
        <v>24</v>
      </c>
      <c r="N674">
        <v>1</v>
      </c>
      <c r="O674" t="s">
        <v>31</v>
      </c>
    </row>
    <row r="675" spans="1:15" x14ac:dyDescent="0.35">
      <c r="A675">
        <v>1674</v>
      </c>
      <c r="B675" t="s">
        <v>625</v>
      </c>
      <c r="C675" s="1">
        <v>45642</v>
      </c>
      <c r="D675" s="1">
        <v>45655</v>
      </c>
      <c r="E675" s="1">
        <v>45659</v>
      </c>
      <c r="F675" t="s">
        <v>21</v>
      </c>
      <c r="G675" t="s">
        <v>22</v>
      </c>
      <c r="H675" t="s">
        <v>46</v>
      </c>
      <c r="I675">
        <v>13</v>
      </c>
      <c r="J675">
        <v>4</v>
      </c>
      <c r="K675">
        <v>4969</v>
      </c>
      <c r="L675">
        <v>19876</v>
      </c>
      <c r="M675" t="s">
        <v>51</v>
      </c>
      <c r="N675">
        <v>0</v>
      </c>
      <c r="O675" t="s">
        <v>25</v>
      </c>
    </row>
    <row r="676" spans="1:15" x14ac:dyDescent="0.35">
      <c r="A676">
        <v>1675</v>
      </c>
      <c r="B676" t="s">
        <v>626</v>
      </c>
      <c r="C676" s="1">
        <v>45579</v>
      </c>
      <c r="D676" s="1">
        <v>45635</v>
      </c>
      <c r="E676" s="1">
        <v>45636</v>
      </c>
      <c r="F676" t="s">
        <v>35</v>
      </c>
      <c r="G676" t="s">
        <v>39</v>
      </c>
      <c r="H676" t="s">
        <v>30</v>
      </c>
      <c r="I676">
        <v>56</v>
      </c>
      <c r="J676">
        <v>1</v>
      </c>
      <c r="K676">
        <v>6469</v>
      </c>
      <c r="L676">
        <v>6469</v>
      </c>
      <c r="M676" t="s">
        <v>51</v>
      </c>
      <c r="N676">
        <v>1</v>
      </c>
      <c r="O676" t="s">
        <v>31</v>
      </c>
    </row>
    <row r="677" spans="1:15" x14ac:dyDescent="0.35">
      <c r="A677">
        <v>1676</v>
      </c>
      <c r="B677" t="s">
        <v>627</v>
      </c>
      <c r="C677" s="1">
        <v>45579</v>
      </c>
      <c r="D677" s="1">
        <v>45625</v>
      </c>
      <c r="E677" s="1">
        <v>45628</v>
      </c>
      <c r="F677" t="s">
        <v>35</v>
      </c>
      <c r="G677" t="s">
        <v>39</v>
      </c>
      <c r="H677" t="s">
        <v>30</v>
      </c>
      <c r="I677">
        <v>46</v>
      </c>
      <c r="J677">
        <v>3</v>
      </c>
      <c r="K677">
        <v>3892</v>
      </c>
      <c r="L677">
        <v>11676</v>
      </c>
      <c r="M677" t="s">
        <v>51</v>
      </c>
      <c r="N677">
        <v>1</v>
      </c>
      <c r="O677" t="s">
        <v>31</v>
      </c>
    </row>
    <row r="678" spans="1:15" x14ac:dyDescent="0.35">
      <c r="A678">
        <v>1677</v>
      </c>
      <c r="B678" t="s">
        <v>628</v>
      </c>
      <c r="C678" s="1">
        <v>45517</v>
      </c>
      <c r="D678" s="1">
        <v>45520</v>
      </c>
      <c r="E678" s="1">
        <v>45525</v>
      </c>
      <c r="F678" t="s">
        <v>21</v>
      </c>
      <c r="G678" t="s">
        <v>22</v>
      </c>
      <c r="H678" t="s">
        <v>46</v>
      </c>
      <c r="I678">
        <v>3</v>
      </c>
      <c r="J678">
        <v>5</v>
      </c>
      <c r="K678">
        <v>5105</v>
      </c>
      <c r="L678">
        <v>25525</v>
      </c>
      <c r="M678" t="s">
        <v>24</v>
      </c>
      <c r="N678">
        <v>0</v>
      </c>
      <c r="O678" t="s">
        <v>31</v>
      </c>
    </row>
    <row r="679" spans="1:15" x14ac:dyDescent="0.35">
      <c r="A679">
        <v>1678</v>
      </c>
      <c r="B679" t="s">
        <v>103</v>
      </c>
      <c r="C679" s="1">
        <v>45302</v>
      </c>
      <c r="D679" s="1">
        <v>45312</v>
      </c>
      <c r="E679" s="1">
        <v>45315</v>
      </c>
      <c r="F679" t="s">
        <v>29</v>
      </c>
      <c r="G679" t="s">
        <v>22</v>
      </c>
      <c r="H679" t="s">
        <v>30</v>
      </c>
      <c r="I679">
        <v>10</v>
      </c>
      <c r="J679">
        <v>3</v>
      </c>
      <c r="K679">
        <v>8693</v>
      </c>
      <c r="L679">
        <v>26079</v>
      </c>
      <c r="M679" t="s">
        <v>51</v>
      </c>
      <c r="N679">
        <v>0</v>
      </c>
      <c r="O679" t="s">
        <v>25</v>
      </c>
    </row>
    <row r="680" spans="1:15" x14ac:dyDescent="0.35">
      <c r="A680">
        <v>1679</v>
      </c>
      <c r="B680" t="s">
        <v>629</v>
      </c>
      <c r="C680" s="1">
        <v>45301</v>
      </c>
      <c r="D680" s="1">
        <v>45339</v>
      </c>
      <c r="E680" s="1">
        <v>45340</v>
      </c>
      <c r="F680" t="s">
        <v>35</v>
      </c>
      <c r="G680" t="s">
        <v>22</v>
      </c>
      <c r="H680" t="s">
        <v>46</v>
      </c>
      <c r="I680">
        <v>38</v>
      </c>
      <c r="J680">
        <v>1</v>
      </c>
      <c r="K680">
        <v>3177</v>
      </c>
      <c r="L680">
        <v>3177</v>
      </c>
      <c r="M680" t="s">
        <v>51</v>
      </c>
      <c r="N680">
        <v>1</v>
      </c>
      <c r="O680" t="s">
        <v>25</v>
      </c>
    </row>
    <row r="681" spans="1:15" x14ac:dyDescent="0.35">
      <c r="A681">
        <v>1680</v>
      </c>
      <c r="B681" t="s">
        <v>630</v>
      </c>
      <c r="C681" s="1">
        <v>45562</v>
      </c>
      <c r="D681" s="1">
        <v>45563</v>
      </c>
      <c r="E681" s="1">
        <v>45565</v>
      </c>
      <c r="F681" t="s">
        <v>60</v>
      </c>
      <c r="G681" t="s">
        <v>39</v>
      </c>
      <c r="H681" t="s">
        <v>30</v>
      </c>
      <c r="I681">
        <v>1</v>
      </c>
      <c r="J681">
        <v>2</v>
      </c>
      <c r="K681">
        <v>2605</v>
      </c>
      <c r="L681">
        <v>5210</v>
      </c>
      <c r="M681" t="s">
        <v>24</v>
      </c>
      <c r="N681">
        <v>0</v>
      </c>
      <c r="O681" t="s">
        <v>25</v>
      </c>
    </row>
    <row r="682" spans="1:15" x14ac:dyDescent="0.35">
      <c r="A682">
        <v>1681</v>
      </c>
      <c r="B682" t="s">
        <v>560</v>
      </c>
      <c r="C682" s="1">
        <v>45564</v>
      </c>
      <c r="D682" s="1">
        <v>45619</v>
      </c>
      <c r="E682" s="1">
        <v>45624</v>
      </c>
      <c r="F682" t="s">
        <v>60</v>
      </c>
      <c r="G682" t="s">
        <v>39</v>
      </c>
      <c r="H682" t="s">
        <v>23</v>
      </c>
      <c r="I682">
        <v>55</v>
      </c>
      <c r="J682">
        <v>5</v>
      </c>
      <c r="K682">
        <v>5787</v>
      </c>
      <c r="L682">
        <v>28935</v>
      </c>
      <c r="M682" t="s">
        <v>51</v>
      </c>
      <c r="N682">
        <v>0</v>
      </c>
      <c r="O682" t="s">
        <v>31</v>
      </c>
    </row>
    <row r="683" spans="1:15" x14ac:dyDescent="0.35">
      <c r="A683">
        <v>1682</v>
      </c>
      <c r="B683" t="s">
        <v>631</v>
      </c>
      <c r="C683" s="1">
        <v>45474</v>
      </c>
      <c r="D683" s="1">
        <v>45530</v>
      </c>
      <c r="E683" s="1">
        <v>45533</v>
      </c>
      <c r="F683" t="s">
        <v>29</v>
      </c>
      <c r="G683" t="s">
        <v>22</v>
      </c>
      <c r="H683" t="s">
        <v>30</v>
      </c>
      <c r="I683">
        <v>56</v>
      </c>
      <c r="J683">
        <v>3</v>
      </c>
      <c r="K683">
        <v>7253</v>
      </c>
      <c r="L683">
        <v>21759</v>
      </c>
      <c r="M683" t="s">
        <v>24</v>
      </c>
      <c r="N683">
        <v>1</v>
      </c>
      <c r="O683" t="s">
        <v>31</v>
      </c>
    </row>
    <row r="684" spans="1:15" x14ac:dyDescent="0.35">
      <c r="A684">
        <v>1683</v>
      </c>
      <c r="B684" t="s">
        <v>632</v>
      </c>
      <c r="C684" s="1">
        <v>45444</v>
      </c>
      <c r="D684" s="1">
        <v>45471</v>
      </c>
      <c r="E684" s="1">
        <v>45475</v>
      </c>
      <c r="F684" t="s">
        <v>21</v>
      </c>
      <c r="G684" t="s">
        <v>22</v>
      </c>
      <c r="H684" t="s">
        <v>30</v>
      </c>
      <c r="I684">
        <v>27</v>
      </c>
      <c r="J684">
        <v>4</v>
      </c>
      <c r="K684">
        <v>4446</v>
      </c>
      <c r="L684">
        <v>17784</v>
      </c>
      <c r="M684" t="s">
        <v>51</v>
      </c>
      <c r="N684">
        <v>0</v>
      </c>
      <c r="O684" t="s">
        <v>25</v>
      </c>
    </row>
    <row r="685" spans="1:15" x14ac:dyDescent="0.35">
      <c r="A685">
        <v>1684</v>
      </c>
      <c r="B685" t="s">
        <v>322</v>
      </c>
      <c r="C685" s="1">
        <v>45606</v>
      </c>
      <c r="D685" s="1">
        <v>45652</v>
      </c>
      <c r="E685" s="1">
        <v>45654</v>
      </c>
      <c r="F685" t="s">
        <v>38</v>
      </c>
      <c r="G685" t="s">
        <v>39</v>
      </c>
      <c r="H685" t="s">
        <v>23</v>
      </c>
      <c r="I685">
        <v>46</v>
      </c>
      <c r="J685">
        <v>2</v>
      </c>
      <c r="K685">
        <v>8044</v>
      </c>
      <c r="L685">
        <v>16088</v>
      </c>
      <c r="M685" t="s">
        <v>51</v>
      </c>
      <c r="N685">
        <v>1</v>
      </c>
      <c r="O685" t="s">
        <v>31</v>
      </c>
    </row>
    <row r="686" spans="1:15" x14ac:dyDescent="0.35">
      <c r="A686">
        <v>1685</v>
      </c>
      <c r="B686" t="s">
        <v>633</v>
      </c>
      <c r="C686" s="1">
        <v>45625</v>
      </c>
      <c r="D686" s="1">
        <v>45633</v>
      </c>
      <c r="E686" s="1">
        <v>45636</v>
      </c>
      <c r="F686" t="s">
        <v>29</v>
      </c>
      <c r="G686" t="s">
        <v>39</v>
      </c>
      <c r="H686" t="s">
        <v>46</v>
      </c>
      <c r="I686">
        <v>8</v>
      </c>
      <c r="J686">
        <v>3</v>
      </c>
      <c r="K686">
        <v>3595</v>
      </c>
      <c r="L686">
        <v>10785</v>
      </c>
      <c r="M686" t="s">
        <v>51</v>
      </c>
      <c r="N686">
        <v>0</v>
      </c>
      <c r="O686" t="s">
        <v>25</v>
      </c>
    </row>
    <row r="687" spans="1:15" x14ac:dyDescent="0.35">
      <c r="A687">
        <v>1686</v>
      </c>
      <c r="B687" t="s">
        <v>634</v>
      </c>
      <c r="C687" s="1">
        <v>45415</v>
      </c>
      <c r="D687" s="1">
        <v>45466</v>
      </c>
      <c r="E687" s="1">
        <v>45470</v>
      </c>
      <c r="F687" t="s">
        <v>38</v>
      </c>
      <c r="G687" t="s">
        <v>39</v>
      </c>
      <c r="H687" t="s">
        <v>30</v>
      </c>
      <c r="I687">
        <v>51</v>
      </c>
      <c r="J687">
        <v>4</v>
      </c>
      <c r="K687">
        <v>7583</v>
      </c>
      <c r="L687">
        <v>30332</v>
      </c>
      <c r="M687" t="s">
        <v>24</v>
      </c>
      <c r="N687">
        <v>1</v>
      </c>
      <c r="O687" t="s">
        <v>25</v>
      </c>
    </row>
    <row r="688" spans="1:15" x14ac:dyDescent="0.35">
      <c r="A688">
        <v>1687</v>
      </c>
      <c r="B688" t="s">
        <v>635</v>
      </c>
      <c r="C688" s="1">
        <v>45405</v>
      </c>
      <c r="D688" s="1">
        <v>45451</v>
      </c>
      <c r="E688" s="1">
        <v>45452</v>
      </c>
      <c r="F688" t="s">
        <v>29</v>
      </c>
      <c r="G688" t="s">
        <v>39</v>
      </c>
      <c r="H688" t="s">
        <v>30</v>
      </c>
      <c r="I688">
        <v>46</v>
      </c>
      <c r="J688">
        <v>1</v>
      </c>
      <c r="K688">
        <v>8404</v>
      </c>
      <c r="L688">
        <v>8404</v>
      </c>
      <c r="M688" t="s">
        <v>51</v>
      </c>
      <c r="N688">
        <v>0</v>
      </c>
      <c r="O688" t="s">
        <v>25</v>
      </c>
    </row>
    <row r="689" spans="1:15" x14ac:dyDescent="0.35">
      <c r="A689">
        <v>1688</v>
      </c>
      <c r="B689" t="s">
        <v>636</v>
      </c>
      <c r="C689" s="1">
        <v>45569</v>
      </c>
      <c r="D689" s="1">
        <v>45611</v>
      </c>
      <c r="E689" s="1">
        <v>45615</v>
      </c>
      <c r="F689" t="s">
        <v>60</v>
      </c>
      <c r="G689" t="s">
        <v>22</v>
      </c>
      <c r="H689" t="s">
        <v>23</v>
      </c>
      <c r="I689">
        <v>42</v>
      </c>
      <c r="J689">
        <v>4</v>
      </c>
      <c r="K689">
        <v>4282</v>
      </c>
      <c r="L689">
        <v>17128</v>
      </c>
      <c r="M689" t="s">
        <v>51</v>
      </c>
      <c r="N689">
        <v>0</v>
      </c>
      <c r="O689" t="s">
        <v>25</v>
      </c>
    </row>
    <row r="690" spans="1:15" x14ac:dyDescent="0.35">
      <c r="A690">
        <v>1689</v>
      </c>
      <c r="B690" t="s">
        <v>425</v>
      </c>
      <c r="C690" s="1">
        <v>45504</v>
      </c>
      <c r="D690" s="1">
        <v>45521</v>
      </c>
      <c r="E690" s="1">
        <v>45524</v>
      </c>
      <c r="F690" t="s">
        <v>21</v>
      </c>
      <c r="G690" t="s">
        <v>22</v>
      </c>
      <c r="H690" t="s">
        <v>23</v>
      </c>
      <c r="I690">
        <v>17</v>
      </c>
      <c r="J690">
        <v>3</v>
      </c>
      <c r="K690">
        <v>7041</v>
      </c>
      <c r="L690">
        <v>21123</v>
      </c>
      <c r="M690" t="s">
        <v>51</v>
      </c>
      <c r="N690">
        <v>0</v>
      </c>
      <c r="O690" t="s">
        <v>31</v>
      </c>
    </row>
    <row r="691" spans="1:15" x14ac:dyDescent="0.35">
      <c r="A691">
        <v>1690</v>
      </c>
      <c r="B691" t="s">
        <v>637</v>
      </c>
      <c r="C691" s="1">
        <v>45463</v>
      </c>
      <c r="D691" s="1">
        <v>45472</v>
      </c>
      <c r="E691" s="1">
        <v>45475</v>
      </c>
      <c r="F691" t="s">
        <v>60</v>
      </c>
      <c r="G691" t="s">
        <v>22</v>
      </c>
      <c r="H691" t="s">
        <v>23</v>
      </c>
      <c r="I691">
        <v>9</v>
      </c>
      <c r="J691">
        <v>3</v>
      </c>
      <c r="K691">
        <v>8544</v>
      </c>
      <c r="L691">
        <v>25632</v>
      </c>
      <c r="M691" t="s">
        <v>24</v>
      </c>
      <c r="N691">
        <v>0</v>
      </c>
      <c r="O691" t="s">
        <v>25</v>
      </c>
    </row>
    <row r="692" spans="1:15" x14ac:dyDescent="0.35">
      <c r="A692">
        <v>1691</v>
      </c>
      <c r="B692" t="s">
        <v>620</v>
      </c>
      <c r="C692" s="1">
        <v>45579</v>
      </c>
      <c r="D692" s="1">
        <v>45585</v>
      </c>
      <c r="E692" s="1">
        <v>45586</v>
      </c>
      <c r="F692" t="s">
        <v>21</v>
      </c>
      <c r="G692" t="s">
        <v>39</v>
      </c>
      <c r="H692" t="s">
        <v>23</v>
      </c>
      <c r="I692">
        <v>6</v>
      </c>
      <c r="J692">
        <v>1</v>
      </c>
      <c r="K692">
        <v>5757</v>
      </c>
      <c r="L692">
        <v>5757</v>
      </c>
      <c r="M692" t="s">
        <v>24</v>
      </c>
      <c r="N692">
        <v>0</v>
      </c>
      <c r="O692" t="s">
        <v>25</v>
      </c>
    </row>
    <row r="693" spans="1:15" x14ac:dyDescent="0.35">
      <c r="A693">
        <v>1692</v>
      </c>
      <c r="B693" t="s">
        <v>638</v>
      </c>
      <c r="C693" s="1">
        <v>45465</v>
      </c>
      <c r="D693" s="1">
        <v>45508</v>
      </c>
      <c r="E693" s="1">
        <v>45512</v>
      </c>
      <c r="F693" t="s">
        <v>38</v>
      </c>
      <c r="G693" t="s">
        <v>39</v>
      </c>
      <c r="H693" t="s">
        <v>46</v>
      </c>
      <c r="I693">
        <v>43</v>
      </c>
      <c r="J693">
        <v>4</v>
      </c>
      <c r="K693">
        <v>8713</v>
      </c>
      <c r="L693">
        <v>34852</v>
      </c>
      <c r="M693" t="s">
        <v>24</v>
      </c>
      <c r="N693">
        <v>1</v>
      </c>
      <c r="O693" t="s">
        <v>25</v>
      </c>
    </row>
    <row r="694" spans="1:15" x14ac:dyDescent="0.35">
      <c r="A694">
        <v>1693</v>
      </c>
      <c r="B694" t="s">
        <v>639</v>
      </c>
      <c r="C694" s="1">
        <v>45404</v>
      </c>
      <c r="D694" s="1">
        <v>45429</v>
      </c>
      <c r="E694" s="1">
        <v>45433</v>
      </c>
      <c r="F694" t="s">
        <v>29</v>
      </c>
      <c r="G694" t="s">
        <v>39</v>
      </c>
      <c r="H694" t="s">
        <v>30</v>
      </c>
      <c r="I694">
        <v>25</v>
      </c>
      <c r="J694">
        <v>4</v>
      </c>
      <c r="K694">
        <v>4497</v>
      </c>
      <c r="L694">
        <v>17988</v>
      </c>
      <c r="M694" t="s">
        <v>24</v>
      </c>
      <c r="N694">
        <v>0</v>
      </c>
      <c r="O694" t="s">
        <v>25</v>
      </c>
    </row>
    <row r="695" spans="1:15" x14ac:dyDescent="0.35">
      <c r="A695">
        <v>1694</v>
      </c>
      <c r="B695" t="s">
        <v>640</v>
      </c>
      <c r="C695" s="1">
        <v>45413</v>
      </c>
      <c r="D695" s="1">
        <v>45452</v>
      </c>
      <c r="E695" s="1">
        <v>45453</v>
      </c>
      <c r="F695" t="s">
        <v>35</v>
      </c>
      <c r="G695" t="s">
        <v>22</v>
      </c>
      <c r="H695" t="s">
        <v>30</v>
      </c>
      <c r="I695">
        <v>39</v>
      </c>
      <c r="J695">
        <v>1</v>
      </c>
      <c r="K695">
        <v>8793</v>
      </c>
      <c r="L695">
        <v>8793</v>
      </c>
      <c r="M695" t="s">
        <v>24</v>
      </c>
      <c r="N695">
        <v>0</v>
      </c>
      <c r="O695" t="s">
        <v>25</v>
      </c>
    </row>
    <row r="696" spans="1:15" x14ac:dyDescent="0.35">
      <c r="A696">
        <v>1695</v>
      </c>
      <c r="B696" t="s">
        <v>641</v>
      </c>
      <c r="C696" s="1">
        <v>45323</v>
      </c>
      <c r="D696" s="1">
        <v>45372</v>
      </c>
      <c r="E696" s="1">
        <v>45376</v>
      </c>
      <c r="F696" t="s">
        <v>35</v>
      </c>
      <c r="G696" t="s">
        <v>22</v>
      </c>
      <c r="H696" t="s">
        <v>30</v>
      </c>
      <c r="I696">
        <v>49</v>
      </c>
      <c r="J696">
        <v>4</v>
      </c>
      <c r="K696">
        <v>7369</v>
      </c>
      <c r="L696">
        <v>29476</v>
      </c>
      <c r="M696" t="s">
        <v>24</v>
      </c>
      <c r="N696">
        <v>1</v>
      </c>
      <c r="O696" t="s">
        <v>25</v>
      </c>
    </row>
    <row r="697" spans="1:15" x14ac:dyDescent="0.35">
      <c r="A697">
        <v>1696</v>
      </c>
      <c r="B697" t="s">
        <v>642</v>
      </c>
      <c r="C697" s="1">
        <v>45513</v>
      </c>
      <c r="D697" s="1">
        <v>45541</v>
      </c>
      <c r="E697" s="1">
        <v>45542</v>
      </c>
      <c r="F697" t="s">
        <v>21</v>
      </c>
      <c r="G697" t="s">
        <v>22</v>
      </c>
      <c r="H697" t="s">
        <v>30</v>
      </c>
      <c r="I697">
        <v>28</v>
      </c>
      <c r="J697">
        <v>1</v>
      </c>
      <c r="K697">
        <v>4061</v>
      </c>
      <c r="L697">
        <v>4061</v>
      </c>
      <c r="M697" t="s">
        <v>51</v>
      </c>
      <c r="N697">
        <v>0</v>
      </c>
      <c r="O697" t="s">
        <v>25</v>
      </c>
    </row>
    <row r="698" spans="1:15" x14ac:dyDescent="0.35">
      <c r="A698">
        <v>1697</v>
      </c>
      <c r="B698" t="s">
        <v>298</v>
      </c>
      <c r="C698" s="1">
        <v>45410</v>
      </c>
      <c r="D698" s="1">
        <v>45443</v>
      </c>
      <c r="E698" s="1">
        <v>45445</v>
      </c>
      <c r="F698" t="s">
        <v>21</v>
      </c>
      <c r="G698" t="s">
        <v>39</v>
      </c>
      <c r="H698" t="s">
        <v>46</v>
      </c>
      <c r="I698">
        <v>33</v>
      </c>
      <c r="J698">
        <v>2</v>
      </c>
      <c r="K698">
        <v>6506</v>
      </c>
      <c r="L698">
        <v>13012</v>
      </c>
      <c r="M698" t="s">
        <v>51</v>
      </c>
      <c r="N698">
        <v>0</v>
      </c>
      <c r="O698" t="s">
        <v>31</v>
      </c>
    </row>
    <row r="699" spans="1:15" x14ac:dyDescent="0.35">
      <c r="A699">
        <v>1698</v>
      </c>
      <c r="B699" t="s">
        <v>178</v>
      </c>
      <c r="C699" s="1">
        <v>45330</v>
      </c>
      <c r="D699" s="1">
        <v>45384</v>
      </c>
      <c r="E699" s="1">
        <v>45387</v>
      </c>
      <c r="F699" t="s">
        <v>60</v>
      </c>
      <c r="G699" t="s">
        <v>39</v>
      </c>
      <c r="H699" t="s">
        <v>30</v>
      </c>
      <c r="I699">
        <v>54</v>
      </c>
      <c r="J699">
        <v>3</v>
      </c>
      <c r="K699">
        <v>4175</v>
      </c>
      <c r="L699">
        <v>12525</v>
      </c>
      <c r="M699" t="s">
        <v>51</v>
      </c>
      <c r="N699">
        <v>1</v>
      </c>
      <c r="O699" t="s">
        <v>31</v>
      </c>
    </row>
    <row r="700" spans="1:15" x14ac:dyDescent="0.35">
      <c r="A700">
        <v>1699</v>
      </c>
      <c r="B700" t="s">
        <v>643</v>
      </c>
      <c r="C700" s="1">
        <v>45559</v>
      </c>
      <c r="D700" s="1">
        <v>45596</v>
      </c>
      <c r="E700" s="1">
        <v>45598</v>
      </c>
      <c r="F700" t="s">
        <v>35</v>
      </c>
      <c r="G700" t="s">
        <v>22</v>
      </c>
      <c r="H700" t="s">
        <v>46</v>
      </c>
      <c r="I700">
        <v>37</v>
      </c>
      <c r="J700">
        <v>2</v>
      </c>
      <c r="K700">
        <v>3622</v>
      </c>
      <c r="L700">
        <v>7244</v>
      </c>
      <c r="M700" t="s">
        <v>51</v>
      </c>
      <c r="N700">
        <v>1</v>
      </c>
      <c r="O700" t="s">
        <v>31</v>
      </c>
    </row>
    <row r="701" spans="1:15" x14ac:dyDescent="0.35">
      <c r="A701">
        <v>1700</v>
      </c>
      <c r="B701" t="s">
        <v>350</v>
      </c>
      <c r="C701" s="1">
        <v>45524</v>
      </c>
      <c r="D701" s="1">
        <v>45533</v>
      </c>
      <c r="E701" s="1">
        <v>45538</v>
      </c>
      <c r="F701" t="s">
        <v>60</v>
      </c>
      <c r="G701" t="s">
        <v>39</v>
      </c>
      <c r="H701" t="s">
        <v>46</v>
      </c>
      <c r="I701">
        <v>9</v>
      </c>
      <c r="J701">
        <v>5</v>
      </c>
      <c r="K701">
        <v>6481</v>
      </c>
      <c r="L701">
        <v>32405</v>
      </c>
      <c r="M701" t="s">
        <v>51</v>
      </c>
      <c r="N701">
        <v>1</v>
      </c>
      <c r="O701" t="s">
        <v>31</v>
      </c>
    </row>
    <row r="702" spans="1:15" x14ac:dyDescent="0.35">
      <c r="A702">
        <v>1701</v>
      </c>
      <c r="B702" t="s">
        <v>644</v>
      </c>
      <c r="C702" s="1">
        <v>45309</v>
      </c>
      <c r="D702" s="1">
        <v>45327</v>
      </c>
      <c r="E702" s="1">
        <v>45332</v>
      </c>
      <c r="F702" t="s">
        <v>38</v>
      </c>
      <c r="G702" t="s">
        <v>22</v>
      </c>
      <c r="H702" t="s">
        <v>23</v>
      </c>
      <c r="I702">
        <v>18</v>
      </c>
      <c r="J702">
        <v>5</v>
      </c>
      <c r="K702">
        <v>3801</v>
      </c>
      <c r="L702">
        <v>19005</v>
      </c>
      <c r="M702" t="s">
        <v>24</v>
      </c>
      <c r="N702">
        <v>1</v>
      </c>
      <c r="O702" t="s">
        <v>25</v>
      </c>
    </row>
    <row r="703" spans="1:15" x14ac:dyDescent="0.35">
      <c r="A703">
        <v>1702</v>
      </c>
      <c r="B703" t="s">
        <v>645</v>
      </c>
      <c r="C703" s="1">
        <v>45440</v>
      </c>
      <c r="D703" s="1">
        <v>45496</v>
      </c>
      <c r="E703" s="1">
        <v>45501</v>
      </c>
      <c r="F703" t="s">
        <v>35</v>
      </c>
      <c r="G703" t="s">
        <v>22</v>
      </c>
      <c r="H703" t="s">
        <v>23</v>
      </c>
      <c r="I703">
        <v>56</v>
      </c>
      <c r="J703">
        <v>5</v>
      </c>
      <c r="K703">
        <v>8182</v>
      </c>
      <c r="L703">
        <v>40910</v>
      </c>
      <c r="M703" t="s">
        <v>24</v>
      </c>
      <c r="N703">
        <v>1</v>
      </c>
      <c r="O703" t="s">
        <v>31</v>
      </c>
    </row>
    <row r="704" spans="1:15" x14ac:dyDescent="0.35">
      <c r="A704">
        <v>1703</v>
      </c>
      <c r="B704" t="s">
        <v>458</v>
      </c>
      <c r="C704" s="1">
        <v>45440</v>
      </c>
      <c r="D704" s="1">
        <v>45499</v>
      </c>
      <c r="E704" s="1">
        <v>45500</v>
      </c>
      <c r="F704" t="s">
        <v>38</v>
      </c>
      <c r="G704" t="s">
        <v>22</v>
      </c>
      <c r="H704" t="s">
        <v>30</v>
      </c>
      <c r="I704">
        <v>59</v>
      </c>
      <c r="J704">
        <v>1</v>
      </c>
      <c r="K704">
        <v>8282</v>
      </c>
      <c r="L704">
        <v>8282</v>
      </c>
      <c r="M704" t="s">
        <v>24</v>
      </c>
      <c r="N704">
        <v>1</v>
      </c>
      <c r="O704" t="s">
        <v>31</v>
      </c>
    </row>
    <row r="705" spans="1:15" x14ac:dyDescent="0.35">
      <c r="A705">
        <v>1704</v>
      </c>
      <c r="B705" t="s">
        <v>278</v>
      </c>
      <c r="C705" s="1">
        <v>45417</v>
      </c>
      <c r="D705" s="1">
        <v>45438</v>
      </c>
      <c r="E705" s="1">
        <v>45442</v>
      </c>
      <c r="F705" t="s">
        <v>29</v>
      </c>
      <c r="G705" t="s">
        <v>22</v>
      </c>
      <c r="H705" t="s">
        <v>46</v>
      </c>
      <c r="I705">
        <v>21</v>
      </c>
      <c r="J705">
        <v>4</v>
      </c>
      <c r="K705">
        <v>3443</v>
      </c>
      <c r="L705">
        <v>13772</v>
      </c>
      <c r="M705" t="s">
        <v>51</v>
      </c>
      <c r="N705">
        <v>1</v>
      </c>
      <c r="O705" t="s">
        <v>31</v>
      </c>
    </row>
    <row r="706" spans="1:15" x14ac:dyDescent="0.35">
      <c r="A706">
        <v>1705</v>
      </c>
      <c r="B706" t="s">
        <v>646</v>
      </c>
      <c r="C706" s="1">
        <v>45593</v>
      </c>
      <c r="D706" s="1">
        <v>45595</v>
      </c>
      <c r="E706" s="1">
        <v>45597</v>
      </c>
      <c r="F706" t="s">
        <v>60</v>
      </c>
      <c r="G706" t="s">
        <v>39</v>
      </c>
      <c r="H706" t="s">
        <v>23</v>
      </c>
      <c r="I706">
        <v>2</v>
      </c>
      <c r="J706">
        <v>2</v>
      </c>
      <c r="K706">
        <v>7050</v>
      </c>
      <c r="L706">
        <v>14100</v>
      </c>
      <c r="M706" t="s">
        <v>24</v>
      </c>
      <c r="N706">
        <v>0</v>
      </c>
      <c r="O706" t="s">
        <v>25</v>
      </c>
    </row>
    <row r="707" spans="1:15" x14ac:dyDescent="0.35">
      <c r="A707">
        <v>1706</v>
      </c>
      <c r="B707" t="s">
        <v>433</v>
      </c>
      <c r="C707" s="1">
        <v>45651</v>
      </c>
      <c r="D707" s="1">
        <v>45709</v>
      </c>
      <c r="E707" s="1">
        <v>45711</v>
      </c>
      <c r="F707" t="s">
        <v>21</v>
      </c>
      <c r="G707" t="s">
        <v>39</v>
      </c>
      <c r="H707" t="s">
        <v>46</v>
      </c>
      <c r="I707">
        <v>58</v>
      </c>
      <c r="J707">
        <v>2</v>
      </c>
      <c r="K707">
        <v>7723</v>
      </c>
      <c r="L707">
        <v>15446</v>
      </c>
      <c r="M707" t="s">
        <v>51</v>
      </c>
      <c r="N707">
        <v>0</v>
      </c>
      <c r="O707" t="s">
        <v>31</v>
      </c>
    </row>
    <row r="708" spans="1:15" x14ac:dyDescent="0.35">
      <c r="A708">
        <v>1707</v>
      </c>
      <c r="B708" t="s">
        <v>327</v>
      </c>
      <c r="C708" s="1">
        <v>45529</v>
      </c>
      <c r="D708" s="1">
        <v>45572</v>
      </c>
      <c r="E708" s="1">
        <v>45574</v>
      </c>
      <c r="F708" t="s">
        <v>35</v>
      </c>
      <c r="G708" t="s">
        <v>39</v>
      </c>
      <c r="H708" t="s">
        <v>23</v>
      </c>
      <c r="I708">
        <v>43</v>
      </c>
      <c r="J708">
        <v>2</v>
      </c>
      <c r="K708">
        <v>3445</v>
      </c>
      <c r="L708">
        <v>6890</v>
      </c>
      <c r="M708" t="s">
        <v>24</v>
      </c>
      <c r="N708">
        <v>1</v>
      </c>
      <c r="O708" t="s">
        <v>31</v>
      </c>
    </row>
    <row r="709" spans="1:15" x14ac:dyDescent="0.35">
      <c r="A709">
        <v>1708</v>
      </c>
      <c r="B709" t="s">
        <v>61</v>
      </c>
      <c r="C709" s="1">
        <v>45426</v>
      </c>
      <c r="D709" s="1">
        <v>45485</v>
      </c>
      <c r="E709" s="1">
        <v>45487</v>
      </c>
      <c r="F709" t="s">
        <v>60</v>
      </c>
      <c r="G709" t="s">
        <v>39</v>
      </c>
      <c r="H709" t="s">
        <v>46</v>
      </c>
      <c r="I709">
        <v>59</v>
      </c>
      <c r="J709">
        <v>2</v>
      </c>
      <c r="K709">
        <v>3100</v>
      </c>
      <c r="L709">
        <v>6200</v>
      </c>
      <c r="M709" t="s">
        <v>51</v>
      </c>
      <c r="N709">
        <v>1</v>
      </c>
      <c r="O709" t="s">
        <v>25</v>
      </c>
    </row>
    <row r="710" spans="1:15" x14ac:dyDescent="0.35">
      <c r="A710">
        <v>1709</v>
      </c>
      <c r="B710" t="s">
        <v>267</v>
      </c>
      <c r="C710" s="1">
        <v>45442</v>
      </c>
      <c r="D710" s="1">
        <v>45480</v>
      </c>
      <c r="E710" s="1">
        <v>45485</v>
      </c>
      <c r="F710" t="s">
        <v>21</v>
      </c>
      <c r="G710" t="s">
        <v>39</v>
      </c>
      <c r="H710" t="s">
        <v>30</v>
      </c>
      <c r="I710">
        <v>38</v>
      </c>
      <c r="J710">
        <v>5</v>
      </c>
      <c r="K710">
        <v>5200</v>
      </c>
      <c r="L710">
        <v>26000</v>
      </c>
      <c r="M710" t="s">
        <v>24</v>
      </c>
      <c r="N710">
        <v>1</v>
      </c>
      <c r="O710" t="s">
        <v>31</v>
      </c>
    </row>
    <row r="711" spans="1:15" x14ac:dyDescent="0.35">
      <c r="A711">
        <v>1710</v>
      </c>
      <c r="B711" t="s">
        <v>462</v>
      </c>
      <c r="C711" s="1">
        <v>45527</v>
      </c>
      <c r="D711" s="1">
        <v>45585</v>
      </c>
      <c r="E711" s="1">
        <v>45587</v>
      </c>
      <c r="F711" t="s">
        <v>29</v>
      </c>
      <c r="G711" t="s">
        <v>39</v>
      </c>
      <c r="H711" t="s">
        <v>30</v>
      </c>
      <c r="I711">
        <v>58</v>
      </c>
      <c r="J711">
        <v>2</v>
      </c>
      <c r="K711">
        <v>7320</v>
      </c>
      <c r="L711">
        <v>14640</v>
      </c>
      <c r="M711" t="s">
        <v>51</v>
      </c>
      <c r="N711">
        <v>1</v>
      </c>
      <c r="O711" t="s">
        <v>25</v>
      </c>
    </row>
    <row r="712" spans="1:15" x14ac:dyDescent="0.35">
      <c r="A712">
        <v>1711</v>
      </c>
      <c r="B712" t="s">
        <v>432</v>
      </c>
      <c r="C712" s="1">
        <v>45515</v>
      </c>
      <c r="D712" s="1">
        <v>45555</v>
      </c>
      <c r="E712" s="1">
        <v>45559</v>
      </c>
      <c r="F712" t="s">
        <v>35</v>
      </c>
      <c r="G712" t="s">
        <v>22</v>
      </c>
      <c r="H712" t="s">
        <v>46</v>
      </c>
      <c r="I712">
        <v>40</v>
      </c>
      <c r="J712">
        <v>4</v>
      </c>
      <c r="K712">
        <v>8876</v>
      </c>
      <c r="L712">
        <v>35504</v>
      </c>
      <c r="M712" t="s">
        <v>24</v>
      </c>
      <c r="N712">
        <v>0</v>
      </c>
      <c r="O712" t="s">
        <v>31</v>
      </c>
    </row>
    <row r="713" spans="1:15" x14ac:dyDescent="0.35">
      <c r="A713">
        <v>1712</v>
      </c>
      <c r="B713" t="s">
        <v>647</v>
      </c>
      <c r="C713" s="1">
        <v>45494</v>
      </c>
      <c r="D713" s="1">
        <v>45530</v>
      </c>
      <c r="E713" s="1">
        <v>45535</v>
      </c>
      <c r="F713" t="s">
        <v>38</v>
      </c>
      <c r="G713" t="s">
        <v>39</v>
      </c>
      <c r="H713" t="s">
        <v>23</v>
      </c>
      <c r="I713">
        <v>36</v>
      </c>
      <c r="J713">
        <v>5</v>
      </c>
      <c r="K713">
        <v>3917</v>
      </c>
      <c r="L713">
        <v>19585</v>
      </c>
      <c r="M713" t="s">
        <v>51</v>
      </c>
      <c r="N713">
        <v>1</v>
      </c>
      <c r="O713" t="s">
        <v>25</v>
      </c>
    </row>
    <row r="714" spans="1:15" x14ac:dyDescent="0.35">
      <c r="A714">
        <v>1713</v>
      </c>
      <c r="B714" t="s">
        <v>648</v>
      </c>
      <c r="C714" s="1">
        <v>45547</v>
      </c>
      <c r="D714" s="1">
        <v>45597</v>
      </c>
      <c r="E714" s="1">
        <v>45599</v>
      </c>
      <c r="F714" t="s">
        <v>29</v>
      </c>
      <c r="G714" t="s">
        <v>39</v>
      </c>
      <c r="H714" t="s">
        <v>23</v>
      </c>
      <c r="I714">
        <v>50</v>
      </c>
      <c r="J714">
        <v>2</v>
      </c>
      <c r="K714">
        <v>4024</v>
      </c>
      <c r="L714">
        <v>8048</v>
      </c>
      <c r="M714" t="s">
        <v>24</v>
      </c>
      <c r="N714">
        <v>0</v>
      </c>
      <c r="O714" t="s">
        <v>31</v>
      </c>
    </row>
    <row r="715" spans="1:15" x14ac:dyDescent="0.35">
      <c r="A715">
        <v>1714</v>
      </c>
      <c r="B715" t="s">
        <v>649</v>
      </c>
      <c r="C715" s="1">
        <v>45377</v>
      </c>
      <c r="D715" s="1">
        <v>45420</v>
      </c>
      <c r="E715" s="1">
        <v>45421</v>
      </c>
      <c r="F715" t="s">
        <v>21</v>
      </c>
      <c r="G715" t="s">
        <v>39</v>
      </c>
      <c r="H715" t="s">
        <v>30</v>
      </c>
      <c r="I715">
        <v>43</v>
      </c>
      <c r="J715">
        <v>1</v>
      </c>
      <c r="K715">
        <v>6266</v>
      </c>
      <c r="L715">
        <v>6266</v>
      </c>
      <c r="M715" t="s">
        <v>51</v>
      </c>
      <c r="N715">
        <v>1</v>
      </c>
      <c r="O715" t="s">
        <v>31</v>
      </c>
    </row>
    <row r="716" spans="1:15" x14ac:dyDescent="0.35">
      <c r="A716">
        <v>1715</v>
      </c>
      <c r="B716" t="s">
        <v>650</v>
      </c>
      <c r="C716" s="1">
        <v>45441</v>
      </c>
      <c r="D716" s="1">
        <v>45478</v>
      </c>
      <c r="E716" s="1">
        <v>45481</v>
      </c>
      <c r="F716" t="s">
        <v>35</v>
      </c>
      <c r="G716" t="s">
        <v>22</v>
      </c>
      <c r="H716" t="s">
        <v>30</v>
      </c>
      <c r="I716">
        <v>37</v>
      </c>
      <c r="J716">
        <v>3</v>
      </c>
      <c r="K716">
        <v>2750</v>
      </c>
      <c r="L716">
        <v>8250</v>
      </c>
      <c r="M716" t="s">
        <v>51</v>
      </c>
      <c r="N716">
        <v>0</v>
      </c>
      <c r="O716" t="s">
        <v>31</v>
      </c>
    </row>
    <row r="717" spans="1:15" x14ac:dyDescent="0.35">
      <c r="A717">
        <v>1716</v>
      </c>
      <c r="B717" t="s">
        <v>651</v>
      </c>
      <c r="C717" s="1">
        <v>45526</v>
      </c>
      <c r="D717" s="1">
        <v>45541</v>
      </c>
      <c r="E717" s="1">
        <v>45544</v>
      </c>
      <c r="F717" t="s">
        <v>35</v>
      </c>
      <c r="G717" t="s">
        <v>39</v>
      </c>
      <c r="H717" t="s">
        <v>30</v>
      </c>
      <c r="I717">
        <v>15</v>
      </c>
      <c r="J717">
        <v>3</v>
      </c>
      <c r="K717">
        <v>4044</v>
      </c>
      <c r="L717">
        <v>12132</v>
      </c>
      <c r="M717" t="s">
        <v>51</v>
      </c>
      <c r="N717">
        <v>1</v>
      </c>
      <c r="O717" t="s">
        <v>25</v>
      </c>
    </row>
    <row r="718" spans="1:15" x14ac:dyDescent="0.35">
      <c r="A718">
        <v>1717</v>
      </c>
      <c r="B718" t="s">
        <v>652</v>
      </c>
      <c r="C718" s="1">
        <v>45636</v>
      </c>
      <c r="D718" s="1">
        <v>45664</v>
      </c>
      <c r="E718" s="1">
        <v>45667</v>
      </c>
      <c r="F718" t="s">
        <v>29</v>
      </c>
      <c r="G718" t="s">
        <v>22</v>
      </c>
      <c r="H718" t="s">
        <v>23</v>
      </c>
      <c r="I718">
        <v>28</v>
      </c>
      <c r="J718">
        <v>3</v>
      </c>
      <c r="K718">
        <v>2578</v>
      </c>
      <c r="L718">
        <v>7734</v>
      </c>
      <c r="M718" t="s">
        <v>51</v>
      </c>
      <c r="N718">
        <v>1</v>
      </c>
      <c r="O718" t="s">
        <v>31</v>
      </c>
    </row>
    <row r="719" spans="1:15" x14ac:dyDescent="0.35">
      <c r="A719">
        <v>1718</v>
      </c>
      <c r="B719" t="s">
        <v>653</v>
      </c>
      <c r="C719" s="1">
        <v>45313</v>
      </c>
      <c r="D719" s="1">
        <v>45331</v>
      </c>
      <c r="E719" s="1">
        <v>45336</v>
      </c>
      <c r="F719" t="s">
        <v>35</v>
      </c>
      <c r="G719" t="s">
        <v>39</v>
      </c>
      <c r="H719" t="s">
        <v>23</v>
      </c>
      <c r="I719">
        <v>18</v>
      </c>
      <c r="J719">
        <v>5</v>
      </c>
      <c r="K719">
        <v>5623</v>
      </c>
      <c r="L719">
        <v>28115</v>
      </c>
      <c r="M719" t="s">
        <v>24</v>
      </c>
      <c r="N719">
        <v>1</v>
      </c>
      <c r="O719" t="s">
        <v>25</v>
      </c>
    </row>
    <row r="720" spans="1:15" x14ac:dyDescent="0.35">
      <c r="A720">
        <v>1719</v>
      </c>
      <c r="B720" t="s">
        <v>431</v>
      </c>
      <c r="C720" s="1">
        <v>45639</v>
      </c>
      <c r="D720" s="1">
        <v>45673</v>
      </c>
      <c r="E720" s="1">
        <v>45675</v>
      </c>
      <c r="F720" t="s">
        <v>21</v>
      </c>
      <c r="G720" t="s">
        <v>39</v>
      </c>
      <c r="H720" t="s">
        <v>30</v>
      </c>
      <c r="I720">
        <v>34</v>
      </c>
      <c r="J720">
        <v>2</v>
      </c>
      <c r="K720">
        <v>3397</v>
      </c>
      <c r="L720">
        <v>6794</v>
      </c>
      <c r="M720" t="s">
        <v>24</v>
      </c>
      <c r="N720">
        <v>1</v>
      </c>
      <c r="O720" t="s">
        <v>25</v>
      </c>
    </row>
    <row r="721" spans="1:15" x14ac:dyDescent="0.35">
      <c r="A721">
        <v>1720</v>
      </c>
      <c r="B721" t="s">
        <v>654</v>
      </c>
      <c r="C721" s="1">
        <v>45576</v>
      </c>
      <c r="D721" s="1">
        <v>45598</v>
      </c>
      <c r="E721" s="1">
        <v>45603</v>
      </c>
      <c r="F721" t="s">
        <v>29</v>
      </c>
      <c r="G721" t="s">
        <v>39</v>
      </c>
      <c r="H721" t="s">
        <v>46</v>
      </c>
      <c r="I721">
        <v>22</v>
      </c>
      <c r="J721">
        <v>5</v>
      </c>
      <c r="K721">
        <v>7376</v>
      </c>
      <c r="L721">
        <v>36880</v>
      </c>
      <c r="M721" t="s">
        <v>24</v>
      </c>
      <c r="N721">
        <v>1</v>
      </c>
      <c r="O721" t="s">
        <v>25</v>
      </c>
    </row>
    <row r="722" spans="1:15" x14ac:dyDescent="0.35">
      <c r="A722">
        <v>1721</v>
      </c>
      <c r="B722" t="s">
        <v>655</v>
      </c>
      <c r="C722" s="1">
        <v>45560</v>
      </c>
      <c r="D722" s="1">
        <v>45571</v>
      </c>
      <c r="E722" s="1">
        <v>45575</v>
      </c>
      <c r="F722" t="s">
        <v>38</v>
      </c>
      <c r="G722" t="s">
        <v>22</v>
      </c>
      <c r="H722" t="s">
        <v>23</v>
      </c>
      <c r="I722">
        <v>11</v>
      </c>
      <c r="J722">
        <v>4</v>
      </c>
      <c r="K722">
        <v>2725</v>
      </c>
      <c r="L722">
        <v>10900</v>
      </c>
      <c r="M722" t="s">
        <v>51</v>
      </c>
      <c r="N722">
        <v>1</v>
      </c>
      <c r="O722" t="s">
        <v>25</v>
      </c>
    </row>
    <row r="723" spans="1:15" x14ac:dyDescent="0.35">
      <c r="A723">
        <v>1722</v>
      </c>
      <c r="B723" t="s">
        <v>656</v>
      </c>
      <c r="C723" s="1">
        <v>45549</v>
      </c>
      <c r="D723" s="1">
        <v>45607</v>
      </c>
      <c r="E723" s="1">
        <v>45608</v>
      </c>
      <c r="F723" t="s">
        <v>29</v>
      </c>
      <c r="G723" t="s">
        <v>22</v>
      </c>
      <c r="H723" t="s">
        <v>30</v>
      </c>
      <c r="I723">
        <v>58</v>
      </c>
      <c r="J723">
        <v>1</v>
      </c>
      <c r="K723">
        <v>7670</v>
      </c>
      <c r="L723">
        <v>7670</v>
      </c>
      <c r="M723" t="s">
        <v>24</v>
      </c>
      <c r="N723">
        <v>0</v>
      </c>
      <c r="O723" t="s">
        <v>31</v>
      </c>
    </row>
    <row r="724" spans="1:15" x14ac:dyDescent="0.35">
      <c r="A724">
        <v>1723</v>
      </c>
      <c r="B724" t="s">
        <v>657</v>
      </c>
      <c r="C724" s="1">
        <v>45320</v>
      </c>
      <c r="D724" s="1">
        <v>45377</v>
      </c>
      <c r="E724" s="1">
        <v>45378</v>
      </c>
      <c r="F724" t="s">
        <v>29</v>
      </c>
      <c r="G724" t="s">
        <v>39</v>
      </c>
      <c r="H724" t="s">
        <v>46</v>
      </c>
      <c r="I724">
        <v>57</v>
      </c>
      <c r="J724">
        <v>1</v>
      </c>
      <c r="K724">
        <v>3709</v>
      </c>
      <c r="L724">
        <v>3709</v>
      </c>
      <c r="M724" t="s">
        <v>51</v>
      </c>
      <c r="N724">
        <v>1</v>
      </c>
      <c r="O724" t="s">
        <v>31</v>
      </c>
    </row>
    <row r="725" spans="1:15" x14ac:dyDescent="0.35">
      <c r="A725">
        <v>1724</v>
      </c>
      <c r="B725" t="s">
        <v>658</v>
      </c>
      <c r="C725" s="1">
        <v>45504</v>
      </c>
      <c r="D725" s="1">
        <v>45517</v>
      </c>
      <c r="E725" s="1">
        <v>45520</v>
      </c>
      <c r="F725" t="s">
        <v>38</v>
      </c>
      <c r="G725" t="s">
        <v>39</v>
      </c>
      <c r="H725" t="s">
        <v>23</v>
      </c>
      <c r="I725">
        <v>13</v>
      </c>
      <c r="J725">
        <v>3</v>
      </c>
      <c r="K725">
        <v>7653</v>
      </c>
      <c r="L725">
        <v>22959</v>
      </c>
      <c r="M725" t="s">
        <v>24</v>
      </c>
      <c r="N725">
        <v>1</v>
      </c>
      <c r="O725" t="s">
        <v>31</v>
      </c>
    </row>
    <row r="726" spans="1:15" x14ac:dyDescent="0.35">
      <c r="A726">
        <v>1725</v>
      </c>
      <c r="B726" t="s">
        <v>257</v>
      </c>
      <c r="C726" s="1">
        <v>45574</v>
      </c>
      <c r="D726" s="1">
        <v>45578</v>
      </c>
      <c r="E726" s="1">
        <v>45581</v>
      </c>
      <c r="F726" t="s">
        <v>21</v>
      </c>
      <c r="G726" t="s">
        <v>39</v>
      </c>
      <c r="H726" t="s">
        <v>46</v>
      </c>
      <c r="I726">
        <v>4</v>
      </c>
      <c r="J726">
        <v>3</v>
      </c>
      <c r="K726">
        <v>7398</v>
      </c>
      <c r="L726">
        <v>22194</v>
      </c>
      <c r="M726" t="s">
        <v>51</v>
      </c>
      <c r="N726">
        <v>1</v>
      </c>
      <c r="O726" t="s">
        <v>25</v>
      </c>
    </row>
    <row r="727" spans="1:15" x14ac:dyDescent="0.35">
      <c r="A727">
        <v>1726</v>
      </c>
      <c r="B727" t="s">
        <v>551</v>
      </c>
      <c r="C727" s="1">
        <v>45341</v>
      </c>
      <c r="D727" s="1">
        <v>45363</v>
      </c>
      <c r="E727" s="1">
        <v>45366</v>
      </c>
      <c r="F727" t="s">
        <v>60</v>
      </c>
      <c r="G727" t="s">
        <v>22</v>
      </c>
      <c r="H727" t="s">
        <v>46</v>
      </c>
      <c r="I727">
        <v>22</v>
      </c>
      <c r="J727">
        <v>3</v>
      </c>
      <c r="K727">
        <v>7337</v>
      </c>
      <c r="L727">
        <v>22011</v>
      </c>
      <c r="M727" t="s">
        <v>24</v>
      </c>
      <c r="N727">
        <v>0</v>
      </c>
      <c r="O727" t="s">
        <v>31</v>
      </c>
    </row>
    <row r="728" spans="1:15" x14ac:dyDescent="0.35">
      <c r="A728">
        <v>1727</v>
      </c>
      <c r="B728" t="s">
        <v>539</v>
      </c>
      <c r="C728" s="1">
        <v>45386</v>
      </c>
      <c r="D728" s="1">
        <v>45393</v>
      </c>
      <c r="E728" s="1">
        <v>45395</v>
      </c>
      <c r="F728" t="s">
        <v>60</v>
      </c>
      <c r="G728" t="s">
        <v>22</v>
      </c>
      <c r="H728" t="s">
        <v>23</v>
      </c>
      <c r="I728">
        <v>7</v>
      </c>
      <c r="J728">
        <v>2</v>
      </c>
      <c r="K728">
        <v>4678</v>
      </c>
      <c r="L728">
        <v>9356</v>
      </c>
      <c r="M728" t="s">
        <v>51</v>
      </c>
      <c r="N728">
        <v>1</v>
      </c>
      <c r="O728" t="s">
        <v>25</v>
      </c>
    </row>
    <row r="729" spans="1:15" x14ac:dyDescent="0.35">
      <c r="A729">
        <v>1728</v>
      </c>
      <c r="B729" t="s">
        <v>659</v>
      </c>
      <c r="C729" s="1">
        <v>45379</v>
      </c>
      <c r="D729" s="1">
        <v>45422</v>
      </c>
      <c r="E729" s="1">
        <v>45426</v>
      </c>
      <c r="F729" t="s">
        <v>38</v>
      </c>
      <c r="G729" t="s">
        <v>39</v>
      </c>
      <c r="H729" t="s">
        <v>30</v>
      </c>
      <c r="I729">
        <v>43</v>
      </c>
      <c r="J729">
        <v>4</v>
      </c>
      <c r="K729">
        <v>5179</v>
      </c>
      <c r="L729">
        <v>20716</v>
      </c>
      <c r="M729" t="s">
        <v>51</v>
      </c>
      <c r="N729">
        <v>0</v>
      </c>
      <c r="O729" t="s">
        <v>25</v>
      </c>
    </row>
    <row r="730" spans="1:15" x14ac:dyDescent="0.35">
      <c r="A730">
        <v>1729</v>
      </c>
      <c r="B730" t="s">
        <v>660</v>
      </c>
      <c r="C730" s="1">
        <v>45335</v>
      </c>
      <c r="D730" s="1">
        <v>45389</v>
      </c>
      <c r="E730" s="1">
        <v>45393</v>
      </c>
      <c r="F730" t="s">
        <v>21</v>
      </c>
      <c r="G730" t="s">
        <v>22</v>
      </c>
      <c r="H730" t="s">
        <v>46</v>
      </c>
      <c r="I730">
        <v>54</v>
      </c>
      <c r="J730">
        <v>4</v>
      </c>
      <c r="K730">
        <v>5385</v>
      </c>
      <c r="L730">
        <v>21540</v>
      </c>
      <c r="M730" t="s">
        <v>24</v>
      </c>
      <c r="N730">
        <v>0</v>
      </c>
      <c r="O730" t="s">
        <v>25</v>
      </c>
    </row>
    <row r="731" spans="1:15" x14ac:dyDescent="0.35">
      <c r="A731">
        <v>1730</v>
      </c>
      <c r="B731" t="s">
        <v>661</v>
      </c>
      <c r="C731" s="1">
        <v>45569</v>
      </c>
      <c r="D731" s="1">
        <v>45593</v>
      </c>
      <c r="E731" s="1">
        <v>45597</v>
      </c>
      <c r="F731" t="s">
        <v>35</v>
      </c>
      <c r="G731" t="s">
        <v>22</v>
      </c>
      <c r="H731" t="s">
        <v>30</v>
      </c>
      <c r="I731">
        <v>24</v>
      </c>
      <c r="J731">
        <v>4</v>
      </c>
      <c r="K731">
        <v>5306</v>
      </c>
      <c r="L731">
        <v>21224</v>
      </c>
      <c r="M731" t="s">
        <v>24</v>
      </c>
      <c r="N731">
        <v>1</v>
      </c>
      <c r="O731" t="s">
        <v>31</v>
      </c>
    </row>
    <row r="732" spans="1:15" x14ac:dyDescent="0.35">
      <c r="A732">
        <v>1731</v>
      </c>
      <c r="B732" t="s">
        <v>662</v>
      </c>
      <c r="C732" s="1">
        <v>45462</v>
      </c>
      <c r="D732" s="1">
        <v>45466</v>
      </c>
      <c r="E732" s="1">
        <v>45470</v>
      </c>
      <c r="F732" t="s">
        <v>38</v>
      </c>
      <c r="G732" t="s">
        <v>22</v>
      </c>
      <c r="H732" t="s">
        <v>23</v>
      </c>
      <c r="I732">
        <v>4</v>
      </c>
      <c r="J732">
        <v>4</v>
      </c>
      <c r="K732">
        <v>3203</v>
      </c>
      <c r="L732">
        <v>12812</v>
      </c>
      <c r="M732" t="s">
        <v>24</v>
      </c>
      <c r="N732">
        <v>0</v>
      </c>
      <c r="O732" t="s">
        <v>31</v>
      </c>
    </row>
    <row r="733" spans="1:15" x14ac:dyDescent="0.35">
      <c r="A733">
        <v>1732</v>
      </c>
      <c r="B733" t="s">
        <v>663</v>
      </c>
      <c r="C733" s="1">
        <v>45480</v>
      </c>
      <c r="D733" s="1">
        <v>45508</v>
      </c>
      <c r="E733" s="1">
        <v>45511</v>
      </c>
      <c r="F733" t="s">
        <v>60</v>
      </c>
      <c r="G733" t="s">
        <v>22</v>
      </c>
      <c r="H733" t="s">
        <v>46</v>
      </c>
      <c r="I733">
        <v>28</v>
      </c>
      <c r="J733">
        <v>3</v>
      </c>
      <c r="K733">
        <v>5044</v>
      </c>
      <c r="L733">
        <v>15132</v>
      </c>
      <c r="M733" t="s">
        <v>51</v>
      </c>
      <c r="N733">
        <v>1</v>
      </c>
      <c r="O733" t="s">
        <v>25</v>
      </c>
    </row>
    <row r="734" spans="1:15" x14ac:dyDescent="0.35">
      <c r="A734">
        <v>1733</v>
      </c>
      <c r="B734" t="s">
        <v>664</v>
      </c>
      <c r="C734" s="1">
        <v>45644</v>
      </c>
      <c r="D734" s="1">
        <v>45659</v>
      </c>
      <c r="E734" s="1">
        <v>45660</v>
      </c>
      <c r="F734" t="s">
        <v>21</v>
      </c>
      <c r="G734" t="s">
        <v>39</v>
      </c>
      <c r="H734" t="s">
        <v>46</v>
      </c>
      <c r="I734">
        <v>15</v>
      </c>
      <c r="J734">
        <v>1</v>
      </c>
      <c r="K734">
        <v>8022</v>
      </c>
      <c r="L734">
        <v>8022</v>
      </c>
      <c r="M734" t="s">
        <v>51</v>
      </c>
      <c r="N734">
        <v>0</v>
      </c>
      <c r="O734" t="s">
        <v>31</v>
      </c>
    </row>
    <row r="735" spans="1:15" x14ac:dyDescent="0.35">
      <c r="A735">
        <v>1734</v>
      </c>
      <c r="B735" t="s">
        <v>202</v>
      </c>
      <c r="C735" s="1">
        <v>45475</v>
      </c>
      <c r="D735" s="1">
        <v>45476</v>
      </c>
      <c r="E735" s="1">
        <v>45479</v>
      </c>
      <c r="F735" t="s">
        <v>29</v>
      </c>
      <c r="G735" t="s">
        <v>39</v>
      </c>
      <c r="H735" t="s">
        <v>46</v>
      </c>
      <c r="I735">
        <v>1</v>
      </c>
      <c r="J735">
        <v>3</v>
      </c>
      <c r="K735">
        <v>4870</v>
      </c>
      <c r="L735">
        <v>14610</v>
      </c>
      <c r="M735" t="s">
        <v>51</v>
      </c>
      <c r="N735">
        <v>0</v>
      </c>
      <c r="O735" t="s">
        <v>31</v>
      </c>
    </row>
    <row r="736" spans="1:15" x14ac:dyDescent="0.35">
      <c r="A736">
        <v>1735</v>
      </c>
      <c r="B736" t="s">
        <v>665</v>
      </c>
      <c r="C736" s="1">
        <v>45294</v>
      </c>
      <c r="D736" s="1">
        <v>45349</v>
      </c>
      <c r="E736" s="1">
        <v>45353</v>
      </c>
      <c r="F736" t="s">
        <v>21</v>
      </c>
      <c r="G736" t="s">
        <v>22</v>
      </c>
      <c r="H736" t="s">
        <v>46</v>
      </c>
      <c r="I736">
        <v>55</v>
      </c>
      <c r="J736">
        <v>4</v>
      </c>
      <c r="K736">
        <v>5781</v>
      </c>
      <c r="L736">
        <v>23124</v>
      </c>
      <c r="M736" t="s">
        <v>24</v>
      </c>
      <c r="N736">
        <v>1</v>
      </c>
      <c r="O736" t="s">
        <v>25</v>
      </c>
    </row>
    <row r="737" spans="1:15" x14ac:dyDescent="0.35">
      <c r="A737">
        <v>1736</v>
      </c>
      <c r="B737" t="s">
        <v>666</v>
      </c>
      <c r="C737" s="1">
        <v>45482</v>
      </c>
      <c r="D737" s="1">
        <v>45485</v>
      </c>
      <c r="E737" s="1">
        <v>45488</v>
      </c>
      <c r="F737" t="s">
        <v>21</v>
      </c>
      <c r="G737" t="s">
        <v>22</v>
      </c>
      <c r="H737" t="s">
        <v>46</v>
      </c>
      <c r="I737">
        <v>3</v>
      </c>
      <c r="J737">
        <v>3</v>
      </c>
      <c r="K737">
        <v>7210</v>
      </c>
      <c r="L737">
        <v>21630</v>
      </c>
      <c r="M737" t="s">
        <v>51</v>
      </c>
      <c r="N737">
        <v>1</v>
      </c>
      <c r="O737" t="s">
        <v>25</v>
      </c>
    </row>
    <row r="738" spans="1:15" x14ac:dyDescent="0.35">
      <c r="A738">
        <v>1737</v>
      </c>
      <c r="B738" t="s">
        <v>667</v>
      </c>
      <c r="C738" s="1">
        <v>45409</v>
      </c>
      <c r="D738" s="1">
        <v>45423</v>
      </c>
      <c r="E738" s="1">
        <v>45427</v>
      </c>
      <c r="F738" t="s">
        <v>60</v>
      </c>
      <c r="G738" t="s">
        <v>22</v>
      </c>
      <c r="H738" t="s">
        <v>23</v>
      </c>
      <c r="I738">
        <v>14</v>
      </c>
      <c r="J738">
        <v>4</v>
      </c>
      <c r="K738">
        <v>2828</v>
      </c>
      <c r="L738">
        <v>11312</v>
      </c>
      <c r="M738" t="s">
        <v>24</v>
      </c>
      <c r="N738">
        <v>0</v>
      </c>
      <c r="O738" t="s">
        <v>31</v>
      </c>
    </row>
    <row r="739" spans="1:15" x14ac:dyDescent="0.35">
      <c r="A739">
        <v>1738</v>
      </c>
      <c r="B739" t="s">
        <v>668</v>
      </c>
      <c r="C739" s="1">
        <v>45310</v>
      </c>
      <c r="D739" s="1">
        <v>45348</v>
      </c>
      <c r="E739" s="1">
        <v>45353</v>
      </c>
      <c r="F739" t="s">
        <v>60</v>
      </c>
      <c r="G739" t="s">
        <v>39</v>
      </c>
      <c r="H739" t="s">
        <v>46</v>
      </c>
      <c r="I739">
        <v>38</v>
      </c>
      <c r="J739">
        <v>5</v>
      </c>
      <c r="K739">
        <v>7991</v>
      </c>
      <c r="L739">
        <v>39955</v>
      </c>
      <c r="M739" t="s">
        <v>51</v>
      </c>
      <c r="N739">
        <v>1</v>
      </c>
      <c r="O739" t="s">
        <v>25</v>
      </c>
    </row>
    <row r="740" spans="1:15" x14ac:dyDescent="0.35">
      <c r="A740">
        <v>1739</v>
      </c>
      <c r="B740" t="s">
        <v>310</v>
      </c>
      <c r="C740" s="1">
        <v>45314</v>
      </c>
      <c r="D740" s="1">
        <v>45364</v>
      </c>
      <c r="E740" s="1">
        <v>45365</v>
      </c>
      <c r="F740" t="s">
        <v>35</v>
      </c>
      <c r="G740" t="s">
        <v>39</v>
      </c>
      <c r="H740" t="s">
        <v>23</v>
      </c>
      <c r="I740">
        <v>50</v>
      </c>
      <c r="J740">
        <v>1</v>
      </c>
      <c r="K740">
        <v>8079</v>
      </c>
      <c r="L740">
        <v>8079</v>
      </c>
      <c r="M740" t="s">
        <v>24</v>
      </c>
      <c r="N740">
        <v>1</v>
      </c>
      <c r="O740" t="s">
        <v>25</v>
      </c>
    </row>
    <row r="741" spans="1:15" x14ac:dyDescent="0.35">
      <c r="A741">
        <v>1740</v>
      </c>
      <c r="B741" t="s">
        <v>322</v>
      </c>
      <c r="C741" s="1">
        <v>45321</v>
      </c>
      <c r="D741" s="1">
        <v>45378</v>
      </c>
      <c r="E741" s="1">
        <v>45383</v>
      </c>
      <c r="F741" t="s">
        <v>35</v>
      </c>
      <c r="G741" t="s">
        <v>22</v>
      </c>
      <c r="H741" t="s">
        <v>30</v>
      </c>
      <c r="I741">
        <v>57</v>
      </c>
      <c r="J741">
        <v>5</v>
      </c>
      <c r="K741">
        <v>6728</v>
      </c>
      <c r="L741">
        <v>33640</v>
      </c>
      <c r="M741" t="s">
        <v>51</v>
      </c>
      <c r="N741">
        <v>1</v>
      </c>
      <c r="O741" t="s">
        <v>31</v>
      </c>
    </row>
    <row r="742" spans="1:15" x14ac:dyDescent="0.35">
      <c r="A742">
        <v>1741</v>
      </c>
      <c r="B742" t="s">
        <v>669</v>
      </c>
      <c r="C742" s="1">
        <v>45586</v>
      </c>
      <c r="D742" s="1">
        <v>45587</v>
      </c>
      <c r="E742" s="1">
        <v>45589</v>
      </c>
      <c r="F742" t="s">
        <v>38</v>
      </c>
      <c r="G742" t="s">
        <v>22</v>
      </c>
      <c r="H742" t="s">
        <v>23</v>
      </c>
      <c r="I742">
        <v>1</v>
      </c>
      <c r="J742">
        <v>2</v>
      </c>
      <c r="K742">
        <v>7430</v>
      </c>
      <c r="L742">
        <v>14860</v>
      </c>
      <c r="M742" t="s">
        <v>51</v>
      </c>
      <c r="N742">
        <v>0</v>
      </c>
      <c r="O742" t="s">
        <v>31</v>
      </c>
    </row>
    <row r="743" spans="1:15" x14ac:dyDescent="0.35">
      <c r="A743">
        <v>1742</v>
      </c>
      <c r="B743" t="s">
        <v>663</v>
      </c>
      <c r="C743" s="1">
        <v>45399</v>
      </c>
      <c r="D743" s="1">
        <v>45437</v>
      </c>
      <c r="E743" s="1">
        <v>45440</v>
      </c>
      <c r="F743" t="s">
        <v>29</v>
      </c>
      <c r="G743" t="s">
        <v>22</v>
      </c>
      <c r="H743" t="s">
        <v>46</v>
      </c>
      <c r="I743">
        <v>38</v>
      </c>
      <c r="J743">
        <v>3</v>
      </c>
      <c r="K743">
        <v>2620</v>
      </c>
      <c r="L743">
        <v>7860</v>
      </c>
      <c r="M743" t="s">
        <v>24</v>
      </c>
      <c r="N743">
        <v>0</v>
      </c>
      <c r="O743" t="s">
        <v>25</v>
      </c>
    </row>
    <row r="744" spans="1:15" x14ac:dyDescent="0.35">
      <c r="A744">
        <v>1743</v>
      </c>
      <c r="B744" t="s">
        <v>307</v>
      </c>
      <c r="C744" s="1">
        <v>45572</v>
      </c>
      <c r="D744" s="1">
        <v>45610</v>
      </c>
      <c r="E744" s="1">
        <v>45612</v>
      </c>
      <c r="F744" t="s">
        <v>35</v>
      </c>
      <c r="G744" t="s">
        <v>22</v>
      </c>
      <c r="H744" t="s">
        <v>30</v>
      </c>
      <c r="I744">
        <v>38</v>
      </c>
      <c r="J744">
        <v>2</v>
      </c>
      <c r="K744">
        <v>8071</v>
      </c>
      <c r="L744">
        <v>16142</v>
      </c>
      <c r="M744" t="s">
        <v>51</v>
      </c>
      <c r="N744">
        <v>1</v>
      </c>
      <c r="O744" t="s">
        <v>31</v>
      </c>
    </row>
    <row r="745" spans="1:15" x14ac:dyDescent="0.35">
      <c r="A745">
        <v>1744</v>
      </c>
      <c r="B745" t="s">
        <v>670</v>
      </c>
      <c r="C745" s="1">
        <v>45419</v>
      </c>
      <c r="D745" s="1">
        <v>45440</v>
      </c>
      <c r="E745" s="1">
        <v>45443</v>
      </c>
      <c r="F745" t="s">
        <v>60</v>
      </c>
      <c r="G745" t="s">
        <v>39</v>
      </c>
      <c r="H745" t="s">
        <v>23</v>
      </c>
      <c r="I745">
        <v>21</v>
      </c>
      <c r="J745">
        <v>3</v>
      </c>
      <c r="K745">
        <v>3464</v>
      </c>
      <c r="L745">
        <v>10392</v>
      </c>
      <c r="M745" t="s">
        <v>51</v>
      </c>
      <c r="N745">
        <v>0</v>
      </c>
      <c r="O745" t="s">
        <v>25</v>
      </c>
    </row>
    <row r="746" spans="1:15" x14ac:dyDescent="0.35">
      <c r="A746">
        <v>1745</v>
      </c>
      <c r="B746" t="s">
        <v>671</v>
      </c>
      <c r="C746" s="1">
        <v>45520</v>
      </c>
      <c r="D746" s="1">
        <v>45568</v>
      </c>
      <c r="E746" s="1">
        <v>45573</v>
      </c>
      <c r="F746" t="s">
        <v>21</v>
      </c>
      <c r="G746" t="s">
        <v>39</v>
      </c>
      <c r="H746" t="s">
        <v>23</v>
      </c>
      <c r="I746">
        <v>48</v>
      </c>
      <c r="J746">
        <v>5</v>
      </c>
      <c r="K746">
        <v>6724</v>
      </c>
      <c r="L746">
        <v>33620</v>
      </c>
      <c r="M746" t="s">
        <v>24</v>
      </c>
      <c r="N746">
        <v>1</v>
      </c>
      <c r="O746" t="s">
        <v>25</v>
      </c>
    </row>
    <row r="747" spans="1:15" x14ac:dyDescent="0.35">
      <c r="A747">
        <v>1746</v>
      </c>
      <c r="B747" t="s">
        <v>535</v>
      </c>
      <c r="C747" s="1">
        <v>45402</v>
      </c>
      <c r="D747" s="1">
        <v>45431</v>
      </c>
      <c r="E747" s="1">
        <v>45435</v>
      </c>
      <c r="F747" t="s">
        <v>38</v>
      </c>
      <c r="G747" t="s">
        <v>39</v>
      </c>
      <c r="H747" t="s">
        <v>23</v>
      </c>
      <c r="I747">
        <v>29</v>
      </c>
      <c r="J747">
        <v>4</v>
      </c>
      <c r="K747">
        <v>6175</v>
      </c>
      <c r="L747">
        <v>24700</v>
      </c>
      <c r="M747" t="s">
        <v>51</v>
      </c>
      <c r="N747">
        <v>1</v>
      </c>
      <c r="O747" t="s">
        <v>31</v>
      </c>
    </row>
    <row r="748" spans="1:15" x14ac:dyDescent="0.35">
      <c r="A748">
        <v>1747</v>
      </c>
      <c r="B748" t="s">
        <v>672</v>
      </c>
      <c r="C748" s="1">
        <v>45427</v>
      </c>
      <c r="D748" s="1">
        <v>45432</v>
      </c>
      <c r="E748" s="1">
        <v>45436</v>
      </c>
      <c r="F748" t="s">
        <v>35</v>
      </c>
      <c r="G748" t="s">
        <v>39</v>
      </c>
      <c r="H748" t="s">
        <v>46</v>
      </c>
      <c r="I748">
        <v>5</v>
      </c>
      <c r="J748">
        <v>4</v>
      </c>
      <c r="K748">
        <v>8194</v>
      </c>
      <c r="L748">
        <v>32776</v>
      </c>
      <c r="M748" t="s">
        <v>24</v>
      </c>
      <c r="N748">
        <v>0</v>
      </c>
      <c r="O748" t="s">
        <v>25</v>
      </c>
    </row>
    <row r="749" spans="1:15" x14ac:dyDescent="0.35">
      <c r="A749">
        <v>1748</v>
      </c>
      <c r="B749" t="s">
        <v>673</v>
      </c>
      <c r="C749" s="1">
        <v>45653</v>
      </c>
      <c r="D749" s="1">
        <v>45702</v>
      </c>
      <c r="E749" s="1">
        <v>45705</v>
      </c>
      <c r="F749" t="s">
        <v>21</v>
      </c>
      <c r="G749" t="s">
        <v>39</v>
      </c>
      <c r="H749" t="s">
        <v>46</v>
      </c>
      <c r="I749">
        <v>49</v>
      </c>
      <c r="J749">
        <v>3</v>
      </c>
      <c r="K749">
        <v>4576</v>
      </c>
      <c r="L749">
        <v>13728</v>
      </c>
      <c r="M749" t="s">
        <v>24</v>
      </c>
      <c r="N749">
        <v>1</v>
      </c>
      <c r="O749" t="s">
        <v>25</v>
      </c>
    </row>
    <row r="750" spans="1:15" x14ac:dyDescent="0.35">
      <c r="A750">
        <v>1749</v>
      </c>
      <c r="B750" t="s">
        <v>674</v>
      </c>
      <c r="C750" s="1">
        <v>45477</v>
      </c>
      <c r="D750" s="1">
        <v>45487</v>
      </c>
      <c r="E750" s="1">
        <v>45491</v>
      </c>
      <c r="F750" t="s">
        <v>21</v>
      </c>
      <c r="G750" t="s">
        <v>39</v>
      </c>
      <c r="H750" t="s">
        <v>23</v>
      </c>
      <c r="I750">
        <v>10</v>
      </c>
      <c r="J750">
        <v>4</v>
      </c>
      <c r="K750">
        <v>8143</v>
      </c>
      <c r="L750">
        <v>32572</v>
      </c>
      <c r="M750" t="s">
        <v>51</v>
      </c>
      <c r="N750">
        <v>0</v>
      </c>
      <c r="O750" t="s">
        <v>25</v>
      </c>
    </row>
    <row r="751" spans="1:15" x14ac:dyDescent="0.35">
      <c r="A751">
        <v>1750</v>
      </c>
      <c r="B751" t="s">
        <v>675</v>
      </c>
      <c r="C751" s="1">
        <v>45435</v>
      </c>
      <c r="D751" s="1">
        <v>45463</v>
      </c>
      <c r="E751" s="1">
        <v>45468</v>
      </c>
      <c r="F751" t="s">
        <v>35</v>
      </c>
      <c r="G751" t="s">
        <v>22</v>
      </c>
      <c r="H751" t="s">
        <v>23</v>
      </c>
      <c r="I751">
        <v>28</v>
      </c>
      <c r="J751">
        <v>5</v>
      </c>
      <c r="K751">
        <v>2832</v>
      </c>
      <c r="L751">
        <v>14160</v>
      </c>
      <c r="M751" t="s">
        <v>51</v>
      </c>
      <c r="N751">
        <v>1</v>
      </c>
      <c r="O751" t="s">
        <v>31</v>
      </c>
    </row>
    <row r="752" spans="1:15" x14ac:dyDescent="0.35">
      <c r="A752">
        <v>1751</v>
      </c>
      <c r="B752" t="s">
        <v>676</v>
      </c>
      <c r="C752" s="1">
        <v>45363</v>
      </c>
      <c r="D752" s="1">
        <v>45384</v>
      </c>
      <c r="E752" s="1">
        <v>45388</v>
      </c>
      <c r="F752" t="s">
        <v>29</v>
      </c>
      <c r="G752" t="s">
        <v>22</v>
      </c>
      <c r="H752" t="s">
        <v>30</v>
      </c>
      <c r="I752">
        <v>21</v>
      </c>
      <c r="J752">
        <v>4</v>
      </c>
      <c r="K752">
        <v>5868</v>
      </c>
      <c r="L752">
        <v>23472</v>
      </c>
      <c r="M752" t="s">
        <v>51</v>
      </c>
      <c r="N752">
        <v>0</v>
      </c>
      <c r="O752" t="s">
        <v>31</v>
      </c>
    </row>
    <row r="753" spans="1:15" x14ac:dyDescent="0.35">
      <c r="A753">
        <v>1752</v>
      </c>
      <c r="B753" t="s">
        <v>677</v>
      </c>
      <c r="C753" s="1">
        <v>45420</v>
      </c>
      <c r="D753" s="1">
        <v>45470</v>
      </c>
      <c r="E753" s="1">
        <v>45475</v>
      </c>
      <c r="F753" t="s">
        <v>29</v>
      </c>
      <c r="G753" t="s">
        <v>39</v>
      </c>
      <c r="H753" t="s">
        <v>46</v>
      </c>
      <c r="I753">
        <v>50</v>
      </c>
      <c r="J753">
        <v>5</v>
      </c>
      <c r="K753">
        <v>7749</v>
      </c>
      <c r="L753">
        <v>38745</v>
      </c>
      <c r="M753" t="s">
        <v>24</v>
      </c>
      <c r="N753">
        <v>1</v>
      </c>
      <c r="O753" t="s">
        <v>31</v>
      </c>
    </row>
    <row r="754" spans="1:15" x14ac:dyDescent="0.35">
      <c r="A754">
        <v>1753</v>
      </c>
      <c r="B754" t="s">
        <v>632</v>
      </c>
      <c r="C754" s="1">
        <v>45655</v>
      </c>
      <c r="D754" s="1">
        <v>45662</v>
      </c>
      <c r="E754" s="1">
        <v>45664</v>
      </c>
      <c r="F754" t="s">
        <v>38</v>
      </c>
      <c r="G754" t="s">
        <v>39</v>
      </c>
      <c r="H754" t="s">
        <v>46</v>
      </c>
      <c r="I754">
        <v>7</v>
      </c>
      <c r="J754">
        <v>2</v>
      </c>
      <c r="K754">
        <v>3816</v>
      </c>
      <c r="L754">
        <v>7632</v>
      </c>
      <c r="M754" t="s">
        <v>51</v>
      </c>
      <c r="N754">
        <v>0</v>
      </c>
      <c r="O754" t="s">
        <v>25</v>
      </c>
    </row>
    <row r="755" spans="1:15" x14ac:dyDescent="0.35">
      <c r="A755">
        <v>1754</v>
      </c>
      <c r="B755" t="s">
        <v>377</v>
      </c>
      <c r="C755" s="1">
        <v>45552</v>
      </c>
      <c r="D755" s="1">
        <v>45555</v>
      </c>
      <c r="E755" s="1">
        <v>45560</v>
      </c>
      <c r="F755" t="s">
        <v>29</v>
      </c>
      <c r="G755" t="s">
        <v>39</v>
      </c>
      <c r="H755" t="s">
        <v>30</v>
      </c>
      <c r="I755">
        <v>3</v>
      </c>
      <c r="J755">
        <v>5</v>
      </c>
      <c r="K755">
        <v>3696</v>
      </c>
      <c r="L755">
        <v>18480</v>
      </c>
      <c r="M755" t="s">
        <v>24</v>
      </c>
      <c r="N755">
        <v>0</v>
      </c>
      <c r="O755" t="s">
        <v>25</v>
      </c>
    </row>
    <row r="756" spans="1:15" x14ac:dyDescent="0.35">
      <c r="A756">
        <v>1755</v>
      </c>
      <c r="B756" t="s">
        <v>678</v>
      </c>
      <c r="C756" s="1">
        <v>45294</v>
      </c>
      <c r="D756" s="1">
        <v>45339</v>
      </c>
      <c r="E756" s="1">
        <v>45340</v>
      </c>
      <c r="F756" t="s">
        <v>38</v>
      </c>
      <c r="G756" t="s">
        <v>22</v>
      </c>
      <c r="H756" t="s">
        <v>23</v>
      </c>
      <c r="I756">
        <v>45</v>
      </c>
      <c r="J756">
        <v>1</v>
      </c>
      <c r="K756">
        <v>5670</v>
      </c>
      <c r="L756">
        <v>5670</v>
      </c>
      <c r="M756" t="s">
        <v>51</v>
      </c>
      <c r="N756">
        <v>0</v>
      </c>
      <c r="O756" t="s">
        <v>31</v>
      </c>
    </row>
    <row r="757" spans="1:15" x14ac:dyDescent="0.35">
      <c r="A757">
        <v>1756</v>
      </c>
      <c r="B757" t="s">
        <v>679</v>
      </c>
      <c r="C757" s="1">
        <v>45395</v>
      </c>
      <c r="D757" s="1">
        <v>45442</v>
      </c>
      <c r="E757" s="1">
        <v>45443</v>
      </c>
      <c r="F757" t="s">
        <v>60</v>
      </c>
      <c r="G757" t="s">
        <v>22</v>
      </c>
      <c r="H757" t="s">
        <v>23</v>
      </c>
      <c r="I757">
        <v>47</v>
      </c>
      <c r="J757">
        <v>1</v>
      </c>
      <c r="K757">
        <v>3929</v>
      </c>
      <c r="L757">
        <v>3929</v>
      </c>
      <c r="M757" t="s">
        <v>51</v>
      </c>
      <c r="N757">
        <v>0</v>
      </c>
      <c r="O757" t="s">
        <v>31</v>
      </c>
    </row>
    <row r="758" spans="1:15" x14ac:dyDescent="0.35">
      <c r="A758">
        <v>1757</v>
      </c>
      <c r="B758" t="s">
        <v>455</v>
      </c>
      <c r="C758" s="1">
        <v>45515</v>
      </c>
      <c r="D758" s="1">
        <v>45535</v>
      </c>
      <c r="E758" s="1">
        <v>45536</v>
      </c>
      <c r="F758" t="s">
        <v>35</v>
      </c>
      <c r="G758" t="s">
        <v>22</v>
      </c>
      <c r="H758" t="s">
        <v>30</v>
      </c>
      <c r="I758">
        <v>20</v>
      </c>
      <c r="J758">
        <v>1</v>
      </c>
      <c r="K758">
        <v>2855</v>
      </c>
      <c r="L758">
        <v>2855</v>
      </c>
      <c r="M758" t="s">
        <v>24</v>
      </c>
      <c r="N758">
        <v>1</v>
      </c>
      <c r="O758" t="s">
        <v>31</v>
      </c>
    </row>
    <row r="759" spans="1:15" x14ac:dyDescent="0.35">
      <c r="A759">
        <v>1758</v>
      </c>
      <c r="B759" t="s">
        <v>221</v>
      </c>
      <c r="C759" s="1">
        <v>45611</v>
      </c>
      <c r="D759" s="1">
        <v>45630</v>
      </c>
      <c r="E759" s="1">
        <v>45633</v>
      </c>
      <c r="F759" t="s">
        <v>21</v>
      </c>
      <c r="G759" t="s">
        <v>22</v>
      </c>
      <c r="H759" t="s">
        <v>23</v>
      </c>
      <c r="I759">
        <v>19</v>
      </c>
      <c r="J759">
        <v>3</v>
      </c>
      <c r="K759">
        <v>6734</v>
      </c>
      <c r="L759">
        <v>20202</v>
      </c>
      <c r="M759" t="s">
        <v>51</v>
      </c>
      <c r="N759">
        <v>0</v>
      </c>
      <c r="O759" t="s">
        <v>25</v>
      </c>
    </row>
    <row r="760" spans="1:15" x14ac:dyDescent="0.35">
      <c r="A760">
        <v>1759</v>
      </c>
      <c r="B760" t="s">
        <v>680</v>
      </c>
      <c r="C760" s="1">
        <v>45653</v>
      </c>
      <c r="D760" s="1">
        <v>45688</v>
      </c>
      <c r="E760" s="1">
        <v>45691</v>
      </c>
      <c r="F760" t="s">
        <v>38</v>
      </c>
      <c r="G760" t="s">
        <v>39</v>
      </c>
      <c r="H760" t="s">
        <v>23</v>
      </c>
      <c r="I760">
        <v>35</v>
      </c>
      <c r="J760">
        <v>3</v>
      </c>
      <c r="K760">
        <v>4026</v>
      </c>
      <c r="L760">
        <v>12078</v>
      </c>
      <c r="M760" t="s">
        <v>51</v>
      </c>
      <c r="N760">
        <v>0</v>
      </c>
      <c r="O760" t="s">
        <v>31</v>
      </c>
    </row>
    <row r="761" spans="1:15" x14ac:dyDescent="0.35">
      <c r="A761">
        <v>1760</v>
      </c>
      <c r="B761" t="s">
        <v>515</v>
      </c>
      <c r="C761" s="1">
        <v>45645</v>
      </c>
      <c r="D761" s="1">
        <v>45649</v>
      </c>
      <c r="E761" s="1">
        <v>45652</v>
      </c>
      <c r="F761" t="s">
        <v>29</v>
      </c>
      <c r="G761" t="s">
        <v>22</v>
      </c>
      <c r="H761" t="s">
        <v>30</v>
      </c>
      <c r="I761">
        <v>4</v>
      </c>
      <c r="J761">
        <v>3</v>
      </c>
      <c r="K761">
        <v>6397</v>
      </c>
      <c r="L761">
        <v>19191</v>
      </c>
      <c r="M761" t="s">
        <v>51</v>
      </c>
      <c r="N761">
        <v>1</v>
      </c>
      <c r="O761" t="s">
        <v>25</v>
      </c>
    </row>
    <row r="762" spans="1:15" x14ac:dyDescent="0.35">
      <c r="A762">
        <v>1761</v>
      </c>
      <c r="B762" t="s">
        <v>681</v>
      </c>
      <c r="C762" s="1">
        <v>45301</v>
      </c>
      <c r="D762" s="1">
        <v>45306</v>
      </c>
      <c r="E762" s="1">
        <v>45311</v>
      </c>
      <c r="F762" t="s">
        <v>38</v>
      </c>
      <c r="G762" t="s">
        <v>39</v>
      </c>
      <c r="H762" t="s">
        <v>30</v>
      </c>
      <c r="I762">
        <v>5</v>
      </c>
      <c r="J762">
        <v>5</v>
      </c>
      <c r="K762">
        <v>7793</v>
      </c>
      <c r="L762">
        <v>38965</v>
      </c>
      <c r="M762" t="s">
        <v>51</v>
      </c>
      <c r="N762">
        <v>0</v>
      </c>
      <c r="O762" t="s">
        <v>31</v>
      </c>
    </row>
    <row r="763" spans="1:15" x14ac:dyDescent="0.35">
      <c r="A763">
        <v>1762</v>
      </c>
      <c r="B763" t="s">
        <v>682</v>
      </c>
      <c r="C763" s="1">
        <v>45593</v>
      </c>
      <c r="D763" s="1">
        <v>45594</v>
      </c>
      <c r="E763" s="1">
        <v>45597</v>
      </c>
      <c r="F763" t="s">
        <v>38</v>
      </c>
      <c r="G763" t="s">
        <v>22</v>
      </c>
      <c r="H763" t="s">
        <v>30</v>
      </c>
      <c r="I763">
        <v>1</v>
      </c>
      <c r="J763">
        <v>3</v>
      </c>
      <c r="K763">
        <v>2528</v>
      </c>
      <c r="L763">
        <v>7584</v>
      </c>
      <c r="M763" t="s">
        <v>51</v>
      </c>
      <c r="N763">
        <v>0</v>
      </c>
      <c r="O763" t="s">
        <v>25</v>
      </c>
    </row>
    <row r="764" spans="1:15" x14ac:dyDescent="0.35">
      <c r="A764">
        <v>1763</v>
      </c>
      <c r="B764" t="s">
        <v>683</v>
      </c>
      <c r="C764" s="1">
        <v>45522</v>
      </c>
      <c r="D764" s="1">
        <v>45526</v>
      </c>
      <c r="E764" s="1">
        <v>45528</v>
      </c>
      <c r="F764" t="s">
        <v>29</v>
      </c>
      <c r="G764" t="s">
        <v>22</v>
      </c>
      <c r="H764" t="s">
        <v>23</v>
      </c>
      <c r="I764">
        <v>4</v>
      </c>
      <c r="J764">
        <v>2</v>
      </c>
      <c r="K764">
        <v>7526</v>
      </c>
      <c r="L764">
        <v>15052</v>
      </c>
      <c r="M764" t="s">
        <v>24</v>
      </c>
      <c r="N764">
        <v>0</v>
      </c>
      <c r="O764" t="s">
        <v>25</v>
      </c>
    </row>
    <row r="765" spans="1:15" x14ac:dyDescent="0.35">
      <c r="A765">
        <v>1764</v>
      </c>
      <c r="B765" t="s">
        <v>684</v>
      </c>
      <c r="C765" s="1">
        <v>45510</v>
      </c>
      <c r="D765" s="1">
        <v>45522</v>
      </c>
      <c r="E765" s="1">
        <v>45523</v>
      </c>
      <c r="F765" t="s">
        <v>29</v>
      </c>
      <c r="G765" t="s">
        <v>22</v>
      </c>
      <c r="H765" t="s">
        <v>30</v>
      </c>
      <c r="I765">
        <v>12</v>
      </c>
      <c r="J765">
        <v>1</v>
      </c>
      <c r="K765">
        <v>3513</v>
      </c>
      <c r="L765">
        <v>3513</v>
      </c>
      <c r="M765" t="s">
        <v>51</v>
      </c>
      <c r="N765">
        <v>1</v>
      </c>
      <c r="O765" t="s">
        <v>31</v>
      </c>
    </row>
    <row r="766" spans="1:15" x14ac:dyDescent="0.35">
      <c r="A766">
        <v>1765</v>
      </c>
      <c r="B766" t="s">
        <v>685</v>
      </c>
      <c r="C766" s="1">
        <v>45357</v>
      </c>
      <c r="D766" s="1">
        <v>45384</v>
      </c>
      <c r="E766" s="1">
        <v>45389</v>
      </c>
      <c r="F766" t="s">
        <v>35</v>
      </c>
      <c r="G766" t="s">
        <v>22</v>
      </c>
      <c r="H766" t="s">
        <v>23</v>
      </c>
      <c r="I766">
        <v>27</v>
      </c>
      <c r="J766">
        <v>5</v>
      </c>
      <c r="K766">
        <v>5202</v>
      </c>
      <c r="L766">
        <v>26010</v>
      </c>
      <c r="M766" t="s">
        <v>24</v>
      </c>
      <c r="N766">
        <v>1</v>
      </c>
      <c r="O766" t="s">
        <v>25</v>
      </c>
    </row>
    <row r="767" spans="1:15" x14ac:dyDescent="0.35">
      <c r="A767">
        <v>1766</v>
      </c>
      <c r="B767" t="s">
        <v>567</v>
      </c>
      <c r="C767" s="1">
        <v>45403</v>
      </c>
      <c r="D767" s="1">
        <v>45459</v>
      </c>
      <c r="E767" s="1">
        <v>45460</v>
      </c>
      <c r="F767" t="s">
        <v>21</v>
      </c>
      <c r="G767" t="s">
        <v>39</v>
      </c>
      <c r="H767" t="s">
        <v>46</v>
      </c>
      <c r="I767">
        <v>56</v>
      </c>
      <c r="J767">
        <v>1</v>
      </c>
      <c r="K767">
        <v>3327</v>
      </c>
      <c r="L767">
        <v>3327</v>
      </c>
      <c r="M767" t="s">
        <v>51</v>
      </c>
      <c r="N767">
        <v>1</v>
      </c>
      <c r="O767" t="s">
        <v>31</v>
      </c>
    </row>
    <row r="768" spans="1:15" x14ac:dyDescent="0.35">
      <c r="A768">
        <v>1767</v>
      </c>
      <c r="B768" t="s">
        <v>686</v>
      </c>
      <c r="C768" s="1">
        <v>45304</v>
      </c>
      <c r="D768" s="1">
        <v>45346</v>
      </c>
      <c r="E768" s="1">
        <v>45349</v>
      </c>
      <c r="F768" t="s">
        <v>35</v>
      </c>
      <c r="G768" t="s">
        <v>39</v>
      </c>
      <c r="H768" t="s">
        <v>46</v>
      </c>
      <c r="I768">
        <v>42</v>
      </c>
      <c r="J768">
        <v>3</v>
      </c>
      <c r="K768">
        <v>6946</v>
      </c>
      <c r="L768">
        <v>20838</v>
      </c>
      <c r="M768" t="s">
        <v>51</v>
      </c>
      <c r="N768">
        <v>1</v>
      </c>
      <c r="O768" t="s">
        <v>25</v>
      </c>
    </row>
    <row r="769" spans="1:15" x14ac:dyDescent="0.35">
      <c r="A769">
        <v>1768</v>
      </c>
      <c r="B769" t="s">
        <v>687</v>
      </c>
      <c r="C769" s="1">
        <v>45377</v>
      </c>
      <c r="D769" s="1">
        <v>45400</v>
      </c>
      <c r="E769" s="1">
        <v>45405</v>
      </c>
      <c r="F769" t="s">
        <v>35</v>
      </c>
      <c r="G769" t="s">
        <v>39</v>
      </c>
      <c r="H769" t="s">
        <v>30</v>
      </c>
      <c r="I769">
        <v>23</v>
      </c>
      <c r="J769">
        <v>5</v>
      </c>
      <c r="K769">
        <v>4524</v>
      </c>
      <c r="L769">
        <v>22620</v>
      </c>
      <c r="M769" t="s">
        <v>24</v>
      </c>
      <c r="N769">
        <v>1</v>
      </c>
      <c r="O769" t="s">
        <v>25</v>
      </c>
    </row>
    <row r="770" spans="1:15" x14ac:dyDescent="0.35">
      <c r="A770">
        <v>1769</v>
      </c>
      <c r="B770" t="s">
        <v>688</v>
      </c>
      <c r="C770" s="1">
        <v>45525</v>
      </c>
      <c r="D770" s="1">
        <v>45550</v>
      </c>
      <c r="E770" s="1">
        <v>45554</v>
      </c>
      <c r="F770" t="s">
        <v>29</v>
      </c>
      <c r="G770" t="s">
        <v>39</v>
      </c>
      <c r="H770" t="s">
        <v>23</v>
      </c>
      <c r="I770">
        <v>25</v>
      </c>
      <c r="J770">
        <v>4</v>
      </c>
      <c r="K770">
        <v>2798</v>
      </c>
      <c r="L770">
        <v>11192</v>
      </c>
      <c r="M770" t="s">
        <v>51</v>
      </c>
      <c r="N770">
        <v>0</v>
      </c>
      <c r="O770" t="s">
        <v>31</v>
      </c>
    </row>
    <row r="771" spans="1:15" x14ac:dyDescent="0.35">
      <c r="A771">
        <v>1770</v>
      </c>
      <c r="B771" t="s">
        <v>689</v>
      </c>
      <c r="C771" s="1">
        <v>45381</v>
      </c>
      <c r="D771" s="1">
        <v>45402</v>
      </c>
      <c r="E771" s="1">
        <v>45404</v>
      </c>
      <c r="F771" t="s">
        <v>29</v>
      </c>
      <c r="G771" t="s">
        <v>39</v>
      </c>
      <c r="H771" t="s">
        <v>23</v>
      </c>
      <c r="I771">
        <v>21</v>
      </c>
      <c r="J771">
        <v>2</v>
      </c>
      <c r="K771">
        <v>8339</v>
      </c>
      <c r="L771">
        <v>16678</v>
      </c>
      <c r="M771" t="s">
        <v>51</v>
      </c>
      <c r="N771">
        <v>0</v>
      </c>
      <c r="O771" t="s">
        <v>25</v>
      </c>
    </row>
    <row r="772" spans="1:15" x14ac:dyDescent="0.35">
      <c r="A772">
        <v>1771</v>
      </c>
      <c r="B772" t="s">
        <v>690</v>
      </c>
      <c r="C772" s="1">
        <v>45605</v>
      </c>
      <c r="D772" s="1">
        <v>45663</v>
      </c>
      <c r="E772" s="1">
        <v>45666</v>
      </c>
      <c r="F772" t="s">
        <v>21</v>
      </c>
      <c r="G772" t="s">
        <v>39</v>
      </c>
      <c r="H772" t="s">
        <v>23</v>
      </c>
      <c r="I772">
        <v>58</v>
      </c>
      <c r="J772">
        <v>3</v>
      </c>
      <c r="K772">
        <v>4365</v>
      </c>
      <c r="L772">
        <v>13095</v>
      </c>
      <c r="M772" t="s">
        <v>24</v>
      </c>
      <c r="N772">
        <v>1</v>
      </c>
      <c r="O772" t="s">
        <v>31</v>
      </c>
    </row>
    <row r="773" spans="1:15" x14ac:dyDescent="0.35">
      <c r="A773">
        <v>1772</v>
      </c>
      <c r="B773" t="s">
        <v>227</v>
      </c>
      <c r="C773" s="1">
        <v>45345</v>
      </c>
      <c r="D773" s="1">
        <v>45397</v>
      </c>
      <c r="E773" s="1">
        <v>45400</v>
      </c>
      <c r="F773" t="s">
        <v>38</v>
      </c>
      <c r="G773" t="s">
        <v>39</v>
      </c>
      <c r="H773" t="s">
        <v>30</v>
      </c>
      <c r="I773">
        <v>52</v>
      </c>
      <c r="J773">
        <v>3</v>
      </c>
      <c r="K773">
        <v>6516</v>
      </c>
      <c r="L773">
        <v>19548</v>
      </c>
      <c r="M773" t="s">
        <v>24</v>
      </c>
      <c r="N773">
        <v>1</v>
      </c>
      <c r="O773" t="s">
        <v>31</v>
      </c>
    </row>
    <row r="774" spans="1:15" x14ac:dyDescent="0.35">
      <c r="A774">
        <v>1773</v>
      </c>
      <c r="B774" t="s">
        <v>691</v>
      </c>
      <c r="C774" s="1">
        <v>45303</v>
      </c>
      <c r="D774" s="1">
        <v>45327</v>
      </c>
      <c r="E774" s="1">
        <v>45329</v>
      </c>
      <c r="F774" t="s">
        <v>35</v>
      </c>
      <c r="G774" t="s">
        <v>22</v>
      </c>
      <c r="H774" t="s">
        <v>23</v>
      </c>
      <c r="I774">
        <v>24</v>
      </c>
      <c r="J774">
        <v>2</v>
      </c>
      <c r="K774">
        <v>7811</v>
      </c>
      <c r="L774">
        <v>15622</v>
      </c>
      <c r="M774" t="s">
        <v>51</v>
      </c>
      <c r="N774">
        <v>0</v>
      </c>
      <c r="O774" t="s">
        <v>31</v>
      </c>
    </row>
    <row r="775" spans="1:15" x14ac:dyDescent="0.35">
      <c r="A775">
        <v>1774</v>
      </c>
      <c r="B775" t="s">
        <v>232</v>
      </c>
      <c r="C775" s="1">
        <v>45500</v>
      </c>
      <c r="D775" s="1">
        <v>45525</v>
      </c>
      <c r="E775" s="1">
        <v>45527</v>
      </c>
      <c r="F775" t="s">
        <v>21</v>
      </c>
      <c r="G775" t="s">
        <v>39</v>
      </c>
      <c r="H775" t="s">
        <v>23</v>
      </c>
      <c r="I775">
        <v>25</v>
      </c>
      <c r="J775">
        <v>2</v>
      </c>
      <c r="K775">
        <v>8291</v>
      </c>
      <c r="L775">
        <v>16582</v>
      </c>
      <c r="M775" t="s">
        <v>24</v>
      </c>
      <c r="N775">
        <v>0</v>
      </c>
      <c r="O775" t="s">
        <v>25</v>
      </c>
    </row>
    <row r="776" spans="1:15" x14ac:dyDescent="0.35">
      <c r="A776">
        <v>1775</v>
      </c>
      <c r="B776" t="s">
        <v>692</v>
      </c>
      <c r="C776" s="1">
        <v>45305</v>
      </c>
      <c r="D776" s="1">
        <v>45350</v>
      </c>
      <c r="E776" s="1">
        <v>45354</v>
      </c>
      <c r="F776" t="s">
        <v>35</v>
      </c>
      <c r="G776" t="s">
        <v>22</v>
      </c>
      <c r="H776" t="s">
        <v>23</v>
      </c>
      <c r="I776">
        <v>45</v>
      </c>
      <c r="J776">
        <v>4</v>
      </c>
      <c r="K776">
        <v>4611</v>
      </c>
      <c r="L776">
        <v>18444</v>
      </c>
      <c r="M776" t="s">
        <v>24</v>
      </c>
      <c r="N776">
        <v>1</v>
      </c>
      <c r="O776" t="s">
        <v>25</v>
      </c>
    </row>
    <row r="777" spans="1:15" x14ac:dyDescent="0.35">
      <c r="A777">
        <v>1776</v>
      </c>
      <c r="B777" t="s">
        <v>340</v>
      </c>
      <c r="C777" s="1">
        <v>45412</v>
      </c>
      <c r="D777" s="1">
        <v>45467</v>
      </c>
      <c r="E777" s="1">
        <v>45470</v>
      </c>
      <c r="F777" t="s">
        <v>38</v>
      </c>
      <c r="G777" t="s">
        <v>39</v>
      </c>
      <c r="H777" t="s">
        <v>46</v>
      </c>
      <c r="I777">
        <v>55</v>
      </c>
      <c r="J777">
        <v>3</v>
      </c>
      <c r="K777">
        <v>3254</v>
      </c>
      <c r="L777">
        <v>9762</v>
      </c>
      <c r="M777" t="s">
        <v>24</v>
      </c>
      <c r="N777">
        <v>1</v>
      </c>
      <c r="O777" t="s">
        <v>25</v>
      </c>
    </row>
    <row r="778" spans="1:15" x14ac:dyDescent="0.35">
      <c r="A778">
        <v>1777</v>
      </c>
      <c r="B778" t="s">
        <v>97</v>
      </c>
      <c r="C778" s="1">
        <v>45311</v>
      </c>
      <c r="D778" s="1">
        <v>45357</v>
      </c>
      <c r="E778" s="1">
        <v>45360</v>
      </c>
      <c r="F778" t="s">
        <v>35</v>
      </c>
      <c r="G778" t="s">
        <v>22</v>
      </c>
      <c r="H778" t="s">
        <v>23</v>
      </c>
      <c r="I778">
        <v>46</v>
      </c>
      <c r="J778">
        <v>3</v>
      </c>
      <c r="K778">
        <v>3269</v>
      </c>
      <c r="L778">
        <v>9807</v>
      </c>
      <c r="M778" t="s">
        <v>24</v>
      </c>
      <c r="N778">
        <v>0</v>
      </c>
      <c r="O778" t="s">
        <v>31</v>
      </c>
    </row>
    <row r="779" spans="1:15" x14ac:dyDescent="0.35">
      <c r="A779">
        <v>1778</v>
      </c>
      <c r="B779" t="s">
        <v>291</v>
      </c>
      <c r="C779" s="1">
        <v>45366</v>
      </c>
      <c r="D779" s="1">
        <v>45398</v>
      </c>
      <c r="E779" s="1">
        <v>45399</v>
      </c>
      <c r="F779" t="s">
        <v>60</v>
      </c>
      <c r="G779" t="s">
        <v>39</v>
      </c>
      <c r="H779" t="s">
        <v>46</v>
      </c>
      <c r="I779">
        <v>32</v>
      </c>
      <c r="J779">
        <v>1</v>
      </c>
      <c r="K779">
        <v>6235</v>
      </c>
      <c r="L779">
        <v>6235</v>
      </c>
      <c r="M779" t="s">
        <v>51</v>
      </c>
      <c r="N779">
        <v>0</v>
      </c>
      <c r="O779" t="s">
        <v>31</v>
      </c>
    </row>
    <row r="780" spans="1:15" x14ac:dyDescent="0.35">
      <c r="A780">
        <v>1779</v>
      </c>
      <c r="B780" t="s">
        <v>693</v>
      </c>
      <c r="C780" s="1">
        <v>45534</v>
      </c>
      <c r="D780" s="1">
        <v>45589</v>
      </c>
      <c r="E780" s="1">
        <v>45594</v>
      </c>
      <c r="F780" t="s">
        <v>21</v>
      </c>
      <c r="G780" t="s">
        <v>22</v>
      </c>
      <c r="H780" t="s">
        <v>23</v>
      </c>
      <c r="I780">
        <v>55</v>
      </c>
      <c r="J780">
        <v>5</v>
      </c>
      <c r="K780">
        <v>3738</v>
      </c>
      <c r="L780">
        <v>18690</v>
      </c>
      <c r="M780" t="s">
        <v>51</v>
      </c>
      <c r="N780">
        <v>1</v>
      </c>
      <c r="O780" t="s">
        <v>25</v>
      </c>
    </row>
    <row r="781" spans="1:15" x14ac:dyDescent="0.35">
      <c r="A781">
        <v>1780</v>
      </c>
      <c r="B781" t="s">
        <v>460</v>
      </c>
      <c r="C781" s="1">
        <v>45514</v>
      </c>
      <c r="D781" s="1">
        <v>45546</v>
      </c>
      <c r="E781" s="1">
        <v>45551</v>
      </c>
      <c r="F781" t="s">
        <v>29</v>
      </c>
      <c r="G781" t="s">
        <v>39</v>
      </c>
      <c r="H781" t="s">
        <v>23</v>
      </c>
      <c r="I781">
        <v>32</v>
      </c>
      <c r="J781">
        <v>5</v>
      </c>
      <c r="K781">
        <v>7429</v>
      </c>
      <c r="L781">
        <v>37145</v>
      </c>
      <c r="M781" t="s">
        <v>24</v>
      </c>
      <c r="N781">
        <v>0</v>
      </c>
      <c r="O781" t="s">
        <v>25</v>
      </c>
    </row>
    <row r="782" spans="1:15" x14ac:dyDescent="0.35">
      <c r="A782">
        <v>1781</v>
      </c>
      <c r="B782" t="s">
        <v>390</v>
      </c>
      <c r="C782" s="1">
        <v>45361</v>
      </c>
      <c r="D782" s="1">
        <v>45366</v>
      </c>
      <c r="E782" s="1">
        <v>45367</v>
      </c>
      <c r="F782" t="s">
        <v>35</v>
      </c>
      <c r="G782" t="s">
        <v>39</v>
      </c>
      <c r="H782" t="s">
        <v>23</v>
      </c>
      <c r="I782">
        <v>5</v>
      </c>
      <c r="J782">
        <v>1</v>
      </c>
      <c r="K782">
        <v>4713</v>
      </c>
      <c r="L782">
        <v>4713</v>
      </c>
      <c r="M782" t="s">
        <v>51</v>
      </c>
      <c r="N782">
        <v>1</v>
      </c>
      <c r="O782" t="s">
        <v>31</v>
      </c>
    </row>
    <row r="783" spans="1:15" x14ac:dyDescent="0.35">
      <c r="A783">
        <v>1782</v>
      </c>
      <c r="B783" t="s">
        <v>622</v>
      </c>
      <c r="C783" s="1">
        <v>45603</v>
      </c>
      <c r="D783" s="1">
        <v>45639</v>
      </c>
      <c r="E783" s="1">
        <v>45644</v>
      </c>
      <c r="F783" t="s">
        <v>21</v>
      </c>
      <c r="G783" t="s">
        <v>39</v>
      </c>
      <c r="H783" t="s">
        <v>46</v>
      </c>
      <c r="I783">
        <v>36</v>
      </c>
      <c r="J783">
        <v>5</v>
      </c>
      <c r="K783">
        <v>4406</v>
      </c>
      <c r="L783">
        <v>22030</v>
      </c>
      <c r="M783" t="s">
        <v>24</v>
      </c>
      <c r="N783">
        <v>1</v>
      </c>
      <c r="O783" t="s">
        <v>25</v>
      </c>
    </row>
    <row r="784" spans="1:15" x14ac:dyDescent="0.35">
      <c r="A784">
        <v>1783</v>
      </c>
      <c r="B784" t="s">
        <v>675</v>
      </c>
      <c r="C784" s="1">
        <v>45502</v>
      </c>
      <c r="D784" s="1">
        <v>45548</v>
      </c>
      <c r="E784" s="1">
        <v>45550</v>
      </c>
      <c r="F784" t="s">
        <v>21</v>
      </c>
      <c r="G784" t="s">
        <v>39</v>
      </c>
      <c r="H784" t="s">
        <v>23</v>
      </c>
      <c r="I784">
        <v>46</v>
      </c>
      <c r="J784">
        <v>2</v>
      </c>
      <c r="K784">
        <v>4064</v>
      </c>
      <c r="L784">
        <v>8128</v>
      </c>
      <c r="M784" t="s">
        <v>51</v>
      </c>
      <c r="N784">
        <v>1</v>
      </c>
      <c r="O784" t="s">
        <v>31</v>
      </c>
    </row>
    <row r="785" spans="1:15" x14ac:dyDescent="0.35">
      <c r="A785">
        <v>1784</v>
      </c>
      <c r="B785" t="s">
        <v>694</v>
      </c>
      <c r="C785" s="1">
        <v>45392</v>
      </c>
      <c r="D785" s="1">
        <v>45434</v>
      </c>
      <c r="E785" s="1">
        <v>45439</v>
      </c>
      <c r="F785" t="s">
        <v>35</v>
      </c>
      <c r="G785" t="s">
        <v>22</v>
      </c>
      <c r="H785" t="s">
        <v>30</v>
      </c>
      <c r="I785">
        <v>42</v>
      </c>
      <c r="J785">
        <v>5</v>
      </c>
      <c r="K785">
        <v>3718</v>
      </c>
      <c r="L785">
        <v>18590</v>
      </c>
      <c r="M785" t="s">
        <v>51</v>
      </c>
      <c r="N785">
        <v>1</v>
      </c>
      <c r="O785" t="s">
        <v>25</v>
      </c>
    </row>
    <row r="786" spans="1:15" x14ac:dyDescent="0.35">
      <c r="A786">
        <v>1785</v>
      </c>
      <c r="B786" t="s">
        <v>695</v>
      </c>
      <c r="C786" s="1">
        <v>45477</v>
      </c>
      <c r="D786" s="1">
        <v>45526</v>
      </c>
      <c r="E786" s="1">
        <v>45531</v>
      </c>
      <c r="F786" t="s">
        <v>29</v>
      </c>
      <c r="G786" t="s">
        <v>39</v>
      </c>
      <c r="H786" t="s">
        <v>23</v>
      </c>
      <c r="I786">
        <v>49</v>
      </c>
      <c r="J786">
        <v>5</v>
      </c>
      <c r="K786">
        <v>7101</v>
      </c>
      <c r="L786">
        <v>35505</v>
      </c>
      <c r="M786" t="s">
        <v>24</v>
      </c>
      <c r="N786">
        <v>0</v>
      </c>
      <c r="O786" t="s">
        <v>31</v>
      </c>
    </row>
    <row r="787" spans="1:15" x14ac:dyDescent="0.35">
      <c r="A787">
        <v>1786</v>
      </c>
      <c r="B787" t="s">
        <v>696</v>
      </c>
      <c r="C787" s="1">
        <v>45423</v>
      </c>
      <c r="D787" s="1">
        <v>45465</v>
      </c>
      <c r="E787" s="1">
        <v>45466</v>
      </c>
      <c r="F787" t="s">
        <v>29</v>
      </c>
      <c r="G787" t="s">
        <v>39</v>
      </c>
      <c r="H787" t="s">
        <v>46</v>
      </c>
      <c r="I787">
        <v>42</v>
      </c>
      <c r="J787">
        <v>1</v>
      </c>
      <c r="K787">
        <v>3857</v>
      </c>
      <c r="L787">
        <v>3857</v>
      </c>
      <c r="M787" t="s">
        <v>24</v>
      </c>
      <c r="N787">
        <v>1</v>
      </c>
      <c r="O787" t="s">
        <v>25</v>
      </c>
    </row>
    <row r="788" spans="1:15" x14ac:dyDescent="0.35">
      <c r="A788">
        <v>1787</v>
      </c>
      <c r="B788" t="s">
        <v>492</v>
      </c>
      <c r="C788" s="1">
        <v>45402</v>
      </c>
      <c r="D788" s="1">
        <v>45460</v>
      </c>
      <c r="E788" s="1">
        <v>45464</v>
      </c>
      <c r="F788" t="s">
        <v>35</v>
      </c>
      <c r="G788" t="s">
        <v>22</v>
      </c>
      <c r="H788" t="s">
        <v>46</v>
      </c>
      <c r="I788">
        <v>58</v>
      </c>
      <c r="J788">
        <v>4</v>
      </c>
      <c r="K788">
        <v>6339</v>
      </c>
      <c r="L788">
        <v>25356</v>
      </c>
      <c r="M788" t="s">
        <v>51</v>
      </c>
      <c r="N788">
        <v>1</v>
      </c>
      <c r="O788" t="s">
        <v>25</v>
      </c>
    </row>
    <row r="789" spans="1:15" x14ac:dyDescent="0.35">
      <c r="A789">
        <v>1788</v>
      </c>
      <c r="B789" t="s">
        <v>697</v>
      </c>
      <c r="C789" s="1">
        <v>45423</v>
      </c>
      <c r="D789" s="1">
        <v>45462</v>
      </c>
      <c r="E789" s="1">
        <v>45467</v>
      </c>
      <c r="F789" t="s">
        <v>21</v>
      </c>
      <c r="G789" t="s">
        <v>39</v>
      </c>
      <c r="H789" t="s">
        <v>30</v>
      </c>
      <c r="I789">
        <v>39</v>
      </c>
      <c r="J789">
        <v>5</v>
      </c>
      <c r="K789">
        <v>3960</v>
      </c>
      <c r="L789">
        <v>19800</v>
      </c>
      <c r="M789" t="s">
        <v>51</v>
      </c>
      <c r="N789">
        <v>0</v>
      </c>
      <c r="O789" t="s">
        <v>31</v>
      </c>
    </row>
    <row r="790" spans="1:15" x14ac:dyDescent="0.35">
      <c r="A790">
        <v>1789</v>
      </c>
      <c r="B790" t="s">
        <v>616</v>
      </c>
      <c r="C790" s="1">
        <v>45311</v>
      </c>
      <c r="D790" s="1">
        <v>45327</v>
      </c>
      <c r="E790" s="1">
        <v>45332</v>
      </c>
      <c r="F790" t="s">
        <v>29</v>
      </c>
      <c r="G790" t="s">
        <v>22</v>
      </c>
      <c r="H790" t="s">
        <v>30</v>
      </c>
      <c r="I790">
        <v>16</v>
      </c>
      <c r="J790">
        <v>5</v>
      </c>
      <c r="K790">
        <v>6485</v>
      </c>
      <c r="L790">
        <v>32425</v>
      </c>
      <c r="M790" t="s">
        <v>51</v>
      </c>
      <c r="N790">
        <v>1</v>
      </c>
      <c r="O790" t="s">
        <v>31</v>
      </c>
    </row>
    <row r="791" spans="1:15" x14ac:dyDescent="0.35">
      <c r="A791">
        <v>1790</v>
      </c>
      <c r="B791" t="s">
        <v>698</v>
      </c>
      <c r="C791" s="1">
        <v>45315</v>
      </c>
      <c r="D791" s="1">
        <v>45348</v>
      </c>
      <c r="E791" s="1">
        <v>45352</v>
      </c>
      <c r="F791" t="s">
        <v>35</v>
      </c>
      <c r="G791" t="s">
        <v>22</v>
      </c>
      <c r="H791" t="s">
        <v>30</v>
      </c>
      <c r="I791">
        <v>33</v>
      </c>
      <c r="J791">
        <v>4</v>
      </c>
      <c r="K791">
        <v>3916</v>
      </c>
      <c r="L791">
        <v>15664</v>
      </c>
      <c r="M791" t="s">
        <v>24</v>
      </c>
      <c r="N791">
        <v>0</v>
      </c>
      <c r="O791" t="s">
        <v>31</v>
      </c>
    </row>
    <row r="792" spans="1:15" x14ac:dyDescent="0.35">
      <c r="A792">
        <v>1791</v>
      </c>
      <c r="B792" t="s">
        <v>699</v>
      </c>
      <c r="C792" s="1">
        <v>45518</v>
      </c>
      <c r="D792" s="1">
        <v>45567</v>
      </c>
      <c r="E792" s="1">
        <v>45568</v>
      </c>
      <c r="F792" t="s">
        <v>35</v>
      </c>
      <c r="G792" t="s">
        <v>39</v>
      </c>
      <c r="H792" t="s">
        <v>46</v>
      </c>
      <c r="I792">
        <v>49</v>
      </c>
      <c r="J792">
        <v>1</v>
      </c>
      <c r="K792">
        <v>5353</v>
      </c>
      <c r="L792">
        <v>5353</v>
      </c>
      <c r="M792" t="s">
        <v>51</v>
      </c>
      <c r="N792">
        <v>0</v>
      </c>
      <c r="O792" t="s">
        <v>25</v>
      </c>
    </row>
    <row r="793" spans="1:15" x14ac:dyDescent="0.35">
      <c r="A793">
        <v>1792</v>
      </c>
      <c r="B793" t="s">
        <v>668</v>
      </c>
      <c r="C793" s="1">
        <v>45445</v>
      </c>
      <c r="D793" s="1">
        <v>45466</v>
      </c>
      <c r="E793" s="1">
        <v>45470</v>
      </c>
      <c r="F793" t="s">
        <v>35</v>
      </c>
      <c r="G793" t="s">
        <v>39</v>
      </c>
      <c r="H793" t="s">
        <v>23</v>
      </c>
      <c r="I793">
        <v>21</v>
      </c>
      <c r="J793">
        <v>4</v>
      </c>
      <c r="K793">
        <v>7768</v>
      </c>
      <c r="L793">
        <v>31072</v>
      </c>
      <c r="M793" t="s">
        <v>24</v>
      </c>
      <c r="N793">
        <v>0</v>
      </c>
      <c r="O793" t="s">
        <v>31</v>
      </c>
    </row>
    <row r="794" spans="1:15" x14ac:dyDescent="0.35">
      <c r="A794">
        <v>1793</v>
      </c>
      <c r="B794" t="s">
        <v>700</v>
      </c>
      <c r="C794" s="1">
        <v>45584</v>
      </c>
      <c r="D794" s="1">
        <v>45593</v>
      </c>
      <c r="E794" s="1">
        <v>45594</v>
      </c>
      <c r="F794" t="s">
        <v>21</v>
      </c>
      <c r="G794" t="s">
        <v>22</v>
      </c>
      <c r="H794" t="s">
        <v>23</v>
      </c>
      <c r="I794">
        <v>9</v>
      </c>
      <c r="J794">
        <v>1</v>
      </c>
      <c r="K794">
        <v>7356</v>
      </c>
      <c r="L794">
        <v>7356</v>
      </c>
      <c r="M794" t="s">
        <v>24</v>
      </c>
      <c r="N794">
        <v>1</v>
      </c>
      <c r="O794" t="s">
        <v>31</v>
      </c>
    </row>
    <row r="795" spans="1:15" x14ac:dyDescent="0.35">
      <c r="A795">
        <v>1794</v>
      </c>
      <c r="B795" t="s">
        <v>701</v>
      </c>
      <c r="C795" s="1">
        <v>45521</v>
      </c>
      <c r="D795" s="1">
        <v>45527</v>
      </c>
      <c r="E795" s="1">
        <v>45529</v>
      </c>
      <c r="F795" t="s">
        <v>29</v>
      </c>
      <c r="G795" t="s">
        <v>39</v>
      </c>
      <c r="H795" t="s">
        <v>30</v>
      </c>
      <c r="I795">
        <v>6</v>
      </c>
      <c r="J795">
        <v>2</v>
      </c>
      <c r="K795">
        <v>7428</v>
      </c>
      <c r="L795">
        <v>14856</v>
      </c>
      <c r="M795" t="s">
        <v>24</v>
      </c>
      <c r="N795">
        <v>0</v>
      </c>
      <c r="O795" t="s">
        <v>25</v>
      </c>
    </row>
    <row r="796" spans="1:15" x14ac:dyDescent="0.35">
      <c r="A796">
        <v>1795</v>
      </c>
      <c r="B796" t="s">
        <v>553</v>
      </c>
      <c r="C796" s="1">
        <v>45601</v>
      </c>
      <c r="D796" s="1">
        <v>45652</v>
      </c>
      <c r="E796" s="1">
        <v>45653</v>
      </c>
      <c r="F796" t="s">
        <v>21</v>
      </c>
      <c r="G796" t="s">
        <v>22</v>
      </c>
      <c r="H796" t="s">
        <v>30</v>
      </c>
      <c r="I796">
        <v>51</v>
      </c>
      <c r="J796">
        <v>1</v>
      </c>
      <c r="K796">
        <v>3928</v>
      </c>
      <c r="L796">
        <v>3928</v>
      </c>
      <c r="M796" t="s">
        <v>51</v>
      </c>
      <c r="N796">
        <v>1</v>
      </c>
      <c r="O796" t="s">
        <v>31</v>
      </c>
    </row>
    <row r="797" spans="1:15" x14ac:dyDescent="0.35">
      <c r="A797">
        <v>1796</v>
      </c>
      <c r="B797" t="s">
        <v>702</v>
      </c>
      <c r="C797" s="1">
        <v>45650</v>
      </c>
      <c r="D797" s="1">
        <v>45695</v>
      </c>
      <c r="E797" s="1">
        <v>45697</v>
      </c>
      <c r="F797" t="s">
        <v>60</v>
      </c>
      <c r="G797" t="s">
        <v>39</v>
      </c>
      <c r="H797" t="s">
        <v>23</v>
      </c>
      <c r="I797">
        <v>45</v>
      </c>
      <c r="J797">
        <v>2</v>
      </c>
      <c r="K797">
        <v>6878</v>
      </c>
      <c r="L797">
        <v>13756</v>
      </c>
      <c r="M797" t="s">
        <v>24</v>
      </c>
      <c r="N797">
        <v>1</v>
      </c>
      <c r="O797" t="s">
        <v>31</v>
      </c>
    </row>
    <row r="798" spans="1:15" x14ac:dyDescent="0.35">
      <c r="A798">
        <v>1797</v>
      </c>
      <c r="B798" t="s">
        <v>438</v>
      </c>
      <c r="C798" s="1">
        <v>45493</v>
      </c>
      <c r="D798" s="1">
        <v>45528</v>
      </c>
      <c r="E798" s="1">
        <v>45530</v>
      </c>
      <c r="F798" t="s">
        <v>29</v>
      </c>
      <c r="G798" t="s">
        <v>39</v>
      </c>
      <c r="H798" t="s">
        <v>30</v>
      </c>
      <c r="I798">
        <v>35</v>
      </c>
      <c r="J798">
        <v>2</v>
      </c>
      <c r="K798">
        <v>6974</v>
      </c>
      <c r="L798">
        <v>13948</v>
      </c>
      <c r="M798" t="s">
        <v>51</v>
      </c>
      <c r="N798">
        <v>1</v>
      </c>
      <c r="O798" t="s">
        <v>31</v>
      </c>
    </row>
    <row r="799" spans="1:15" x14ac:dyDescent="0.35">
      <c r="A799">
        <v>1798</v>
      </c>
      <c r="B799" t="s">
        <v>425</v>
      </c>
      <c r="C799" s="1">
        <v>45329</v>
      </c>
      <c r="D799" s="1">
        <v>45368</v>
      </c>
      <c r="E799" s="1">
        <v>45369</v>
      </c>
      <c r="F799" t="s">
        <v>21</v>
      </c>
      <c r="G799" t="s">
        <v>22</v>
      </c>
      <c r="H799" t="s">
        <v>23</v>
      </c>
      <c r="I799">
        <v>39</v>
      </c>
      <c r="J799">
        <v>1</v>
      </c>
      <c r="K799">
        <v>6793</v>
      </c>
      <c r="L799">
        <v>6793</v>
      </c>
      <c r="M799" t="s">
        <v>24</v>
      </c>
      <c r="N799">
        <v>0</v>
      </c>
      <c r="O799" t="s">
        <v>25</v>
      </c>
    </row>
    <row r="800" spans="1:15" x14ac:dyDescent="0.35">
      <c r="A800">
        <v>1799</v>
      </c>
      <c r="B800" t="s">
        <v>703</v>
      </c>
      <c r="C800" s="1">
        <v>45551</v>
      </c>
      <c r="D800" s="1">
        <v>45573</v>
      </c>
      <c r="E800" s="1">
        <v>45576</v>
      </c>
      <c r="F800" t="s">
        <v>29</v>
      </c>
      <c r="G800" t="s">
        <v>39</v>
      </c>
      <c r="H800" t="s">
        <v>23</v>
      </c>
      <c r="I800">
        <v>22</v>
      </c>
      <c r="J800">
        <v>3</v>
      </c>
      <c r="K800">
        <v>5562</v>
      </c>
      <c r="L800">
        <v>16686</v>
      </c>
      <c r="M800" t="s">
        <v>51</v>
      </c>
      <c r="N800">
        <v>1</v>
      </c>
      <c r="O800" t="s">
        <v>25</v>
      </c>
    </row>
    <row r="801" spans="1:15" x14ac:dyDescent="0.35">
      <c r="A801">
        <v>1800</v>
      </c>
      <c r="B801" t="s">
        <v>704</v>
      </c>
      <c r="C801" s="1">
        <v>45479</v>
      </c>
      <c r="D801" s="1">
        <v>45520</v>
      </c>
      <c r="E801" s="1">
        <v>45521</v>
      </c>
      <c r="F801" t="s">
        <v>60</v>
      </c>
      <c r="G801" t="s">
        <v>39</v>
      </c>
      <c r="H801" t="s">
        <v>23</v>
      </c>
      <c r="I801">
        <v>41</v>
      </c>
      <c r="J801">
        <v>1</v>
      </c>
      <c r="K801">
        <v>5571</v>
      </c>
      <c r="L801">
        <v>5571</v>
      </c>
      <c r="M801" t="s">
        <v>51</v>
      </c>
      <c r="N801">
        <v>0</v>
      </c>
      <c r="O801" t="s">
        <v>25</v>
      </c>
    </row>
    <row r="802" spans="1:15" x14ac:dyDescent="0.35">
      <c r="A802">
        <v>1801</v>
      </c>
      <c r="B802" t="s">
        <v>705</v>
      </c>
      <c r="C802" s="1">
        <v>45348</v>
      </c>
      <c r="D802" s="1">
        <v>45402</v>
      </c>
      <c r="E802" s="1">
        <v>45407</v>
      </c>
      <c r="F802" t="s">
        <v>38</v>
      </c>
      <c r="G802" t="s">
        <v>39</v>
      </c>
      <c r="H802" t="s">
        <v>23</v>
      </c>
      <c r="I802">
        <v>54</v>
      </c>
      <c r="J802">
        <v>5</v>
      </c>
      <c r="K802">
        <v>3055</v>
      </c>
      <c r="L802">
        <v>15275</v>
      </c>
      <c r="M802" t="s">
        <v>24</v>
      </c>
      <c r="N802">
        <v>1</v>
      </c>
      <c r="O802" t="s">
        <v>31</v>
      </c>
    </row>
    <row r="803" spans="1:15" x14ac:dyDescent="0.35">
      <c r="A803">
        <v>1802</v>
      </c>
      <c r="B803" t="s">
        <v>332</v>
      </c>
      <c r="C803" s="1">
        <v>45311</v>
      </c>
      <c r="D803" s="1">
        <v>45316</v>
      </c>
      <c r="E803" s="1">
        <v>45321</v>
      </c>
      <c r="F803" t="s">
        <v>35</v>
      </c>
      <c r="G803" t="s">
        <v>22</v>
      </c>
      <c r="H803" t="s">
        <v>46</v>
      </c>
      <c r="I803">
        <v>5</v>
      </c>
      <c r="J803">
        <v>5</v>
      </c>
      <c r="K803">
        <v>2855</v>
      </c>
      <c r="L803">
        <v>14275</v>
      </c>
      <c r="M803" t="s">
        <v>24</v>
      </c>
      <c r="N803">
        <v>0</v>
      </c>
      <c r="O803" t="s">
        <v>25</v>
      </c>
    </row>
    <row r="804" spans="1:15" x14ac:dyDescent="0.35">
      <c r="A804">
        <v>1803</v>
      </c>
      <c r="B804" t="s">
        <v>481</v>
      </c>
      <c r="C804" s="1">
        <v>45564</v>
      </c>
      <c r="D804" s="1">
        <v>45606</v>
      </c>
      <c r="E804" s="1">
        <v>45609</v>
      </c>
      <c r="F804" t="s">
        <v>21</v>
      </c>
      <c r="G804" t="s">
        <v>39</v>
      </c>
      <c r="H804" t="s">
        <v>23</v>
      </c>
      <c r="I804">
        <v>42</v>
      </c>
      <c r="J804">
        <v>3</v>
      </c>
      <c r="K804">
        <v>4063</v>
      </c>
      <c r="L804">
        <v>12189</v>
      </c>
      <c r="M804" t="s">
        <v>51</v>
      </c>
      <c r="N804">
        <v>0</v>
      </c>
      <c r="O804" t="s">
        <v>31</v>
      </c>
    </row>
    <row r="805" spans="1:15" x14ac:dyDescent="0.35">
      <c r="A805">
        <v>1804</v>
      </c>
      <c r="B805" t="s">
        <v>706</v>
      </c>
      <c r="C805" s="1">
        <v>45410</v>
      </c>
      <c r="D805" s="1">
        <v>45433</v>
      </c>
      <c r="E805" s="1">
        <v>45435</v>
      </c>
      <c r="F805" t="s">
        <v>60</v>
      </c>
      <c r="G805" t="s">
        <v>22</v>
      </c>
      <c r="H805" t="s">
        <v>30</v>
      </c>
      <c r="I805">
        <v>23</v>
      </c>
      <c r="J805">
        <v>2</v>
      </c>
      <c r="K805">
        <v>6000</v>
      </c>
      <c r="L805">
        <v>12000</v>
      </c>
      <c r="M805" t="s">
        <v>51</v>
      </c>
      <c r="N805">
        <v>1</v>
      </c>
      <c r="O805" t="s">
        <v>31</v>
      </c>
    </row>
    <row r="806" spans="1:15" x14ac:dyDescent="0.35">
      <c r="A806">
        <v>1805</v>
      </c>
      <c r="B806" t="s">
        <v>257</v>
      </c>
      <c r="C806" s="1">
        <v>45362</v>
      </c>
      <c r="D806" s="1">
        <v>45379</v>
      </c>
      <c r="E806" s="1">
        <v>45382</v>
      </c>
      <c r="F806" t="s">
        <v>60</v>
      </c>
      <c r="G806" t="s">
        <v>39</v>
      </c>
      <c r="H806" t="s">
        <v>30</v>
      </c>
      <c r="I806">
        <v>17</v>
      </c>
      <c r="J806">
        <v>3</v>
      </c>
      <c r="K806">
        <v>3540</v>
      </c>
      <c r="L806">
        <v>10620</v>
      </c>
      <c r="M806" t="s">
        <v>24</v>
      </c>
      <c r="N806">
        <v>1</v>
      </c>
      <c r="O806" t="s">
        <v>31</v>
      </c>
    </row>
    <row r="807" spans="1:15" x14ac:dyDescent="0.35">
      <c r="A807">
        <v>1806</v>
      </c>
      <c r="B807" t="s">
        <v>707</v>
      </c>
      <c r="C807" s="1">
        <v>45295</v>
      </c>
      <c r="D807" s="1">
        <v>45307</v>
      </c>
      <c r="E807" s="1">
        <v>45312</v>
      </c>
      <c r="F807" t="s">
        <v>29</v>
      </c>
      <c r="G807" t="s">
        <v>22</v>
      </c>
      <c r="H807" t="s">
        <v>30</v>
      </c>
      <c r="I807">
        <v>12</v>
      </c>
      <c r="J807">
        <v>5</v>
      </c>
      <c r="K807">
        <v>5186</v>
      </c>
      <c r="L807">
        <v>25930</v>
      </c>
      <c r="M807" t="s">
        <v>24</v>
      </c>
      <c r="N807">
        <v>0</v>
      </c>
      <c r="O807" t="s">
        <v>25</v>
      </c>
    </row>
    <row r="808" spans="1:15" x14ac:dyDescent="0.35">
      <c r="A808">
        <v>1807</v>
      </c>
      <c r="B808" t="s">
        <v>43</v>
      </c>
      <c r="C808" s="1">
        <v>45512</v>
      </c>
      <c r="D808" s="1">
        <v>45535</v>
      </c>
      <c r="E808" s="1">
        <v>45538</v>
      </c>
      <c r="F808" t="s">
        <v>29</v>
      </c>
      <c r="G808" t="s">
        <v>39</v>
      </c>
      <c r="H808" t="s">
        <v>30</v>
      </c>
      <c r="I808">
        <v>23</v>
      </c>
      <c r="J808">
        <v>3</v>
      </c>
      <c r="K808">
        <v>6974</v>
      </c>
      <c r="L808">
        <v>20922</v>
      </c>
      <c r="M808" t="s">
        <v>51</v>
      </c>
      <c r="N808">
        <v>0</v>
      </c>
      <c r="O808" t="s">
        <v>25</v>
      </c>
    </row>
    <row r="809" spans="1:15" x14ac:dyDescent="0.35">
      <c r="A809">
        <v>1808</v>
      </c>
      <c r="B809" t="s">
        <v>490</v>
      </c>
      <c r="C809" s="1">
        <v>45305</v>
      </c>
      <c r="D809" s="1">
        <v>45321</v>
      </c>
      <c r="E809" s="1">
        <v>45322</v>
      </c>
      <c r="F809" t="s">
        <v>35</v>
      </c>
      <c r="G809" t="s">
        <v>39</v>
      </c>
      <c r="H809" t="s">
        <v>46</v>
      </c>
      <c r="I809">
        <v>16</v>
      </c>
      <c r="J809">
        <v>1</v>
      </c>
      <c r="K809">
        <v>7275</v>
      </c>
      <c r="L809">
        <v>7275</v>
      </c>
      <c r="M809" t="s">
        <v>51</v>
      </c>
      <c r="N809">
        <v>0</v>
      </c>
      <c r="O809" t="s">
        <v>31</v>
      </c>
    </row>
    <row r="810" spans="1:15" x14ac:dyDescent="0.35">
      <c r="A810">
        <v>1809</v>
      </c>
      <c r="B810" t="s">
        <v>708</v>
      </c>
      <c r="C810" s="1">
        <v>45294</v>
      </c>
      <c r="D810" s="1">
        <v>45297</v>
      </c>
      <c r="E810" s="1">
        <v>45300</v>
      </c>
      <c r="F810" t="s">
        <v>29</v>
      </c>
      <c r="G810" t="s">
        <v>22</v>
      </c>
      <c r="H810" t="s">
        <v>23</v>
      </c>
      <c r="I810">
        <v>3</v>
      </c>
      <c r="J810">
        <v>3</v>
      </c>
      <c r="K810">
        <v>5053</v>
      </c>
      <c r="L810">
        <v>15159</v>
      </c>
      <c r="M810" t="s">
        <v>24</v>
      </c>
      <c r="N810">
        <v>0</v>
      </c>
      <c r="O810" t="s">
        <v>31</v>
      </c>
    </row>
    <row r="811" spans="1:15" x14ac:dyDescent="0.35">
      <c r="A811">
        <v>1810</v>
      </c>
      <c r="B811" t="s">
        <v>709</v>
      </c>
      <c r="C811" s="1">
        <v>45507</v>
      </c>
      <c r="D811" s="1">
        <v>45537</v>
      </c>
      <c r="E811" s="1">
        <v>45539</v>
      </c>
      <c r="F811" t="s">
        <v>21</v>
      </c>
      <c r="G811" t="s">
        <v>39</v>
      </c>
      <c r="H811" t="s">
        <v>23</v>
      </c>
      <c r="I811">
        <v>30</v>
      </c>
      <c r="J811">
        <v>2</v>
      </c>
      <c r="K811">
        <v>4279</v>
      </c>
      <c r="L811">
        <v>8558</v>
      </c>
      <c r="M811" t="s">
        <v>51</v>
      </c>
      <c r="N811">
        <v>1</v>
      </c>
      <c r="O811" t="s">
        <v>25</v>
      </c>
    </row>
    <row r="812" spans="1:15" x14ac:dyDescent="0.35">
      <c r="A812">
        <v>1811</v>
      </c>
      <c r="B812" t="s">
        <v>374</v>
      </c>
      <c r="C812" s="1">
        <v>45520</v>
      </c>
      <c r="D812" s="1">
        <v>45577</v>
      </c>
      <c r="E812" s="1">
        <v>45578</v>
      </c>
      <c r="F812" t="s">
        <v>21</v>
      </c>
      <c r="G812" t="s">
        <v>22</v>
      </c>
      <c r="H812" t="s">
        <v>30</v>
      </c>
      <c r="I812">
        <v>57</v>
      </c>
      <c r="J812">
        <v>1</v>
      </c>
      <c r="K812">
        <v>7494</v>
      </c>
      <c r="L812">
        <v>7494</v>
      </c>
      <c r="M812" t="s">
        <v>24</v>
      </c>
      <c r="N812">
        <v>0</v>
      </c>
      <c r="O812" t="s">
        <v>25</v>
      </c>
    </row>
    <row r="813" spans="1:15" x14ac:dyDescent="0.35">
      <c r="A813">
        <v>1812</v>
      </c>
      <c r="B813" t="s">
        <v>710</v>
      </c>
      <c r="C813" s="1">
        <v>45627</v>
      </c>
      <c r="D813" s="1">
        <v>45649</v>
      </c>
      <c r="E813" s="1">
        <v>45653</v>
      </c>
      <c r="F813" t="s">
        <v>21</v>
      </c>
      <c r="G813" t="s">
        <v>39</v>
      </c>
      <c r="H813" t="s">
        <v>30</v>
      </c>
      <c r="I813">
        <v>22</v>
      </c>
      <c r="J813">
        <v>4</v>
      </c>
      <c r="K813">
        <v>2575</v>
      </c>
      <c r="L813">
        <v>10300</v>
      </c>
      <c r="M813" t="s">
        <v>24</v>
      </c>
      <c r="N813">
        <v>0</v>
      </c>
      <c r="O813" t="s">
        <v>25</v>
      </c>
    </row>
    <row r="814" spans="1:15" x14ac:dyDescent="0.35">
      <c r="A814">
        <v>1813</v>
      </c>
      <c r="B814" t="s">
        <v>694</v>
      </c>
      <c r="C814" s="1">
        <v>45477</v>
      </c>
      <c r="D814" s="1">
        <v>45486</v>
      </c>
      <c r="E814" s="1">
        <v>45491</v>
      </c>
      <c r="F814" t="s">
        <v>38</v>
      </c>
      <c r="G814" t="s">
        <v>22</v>
      </c>
      <c r="H814" t="s">
        <v>30</v>
      </c>
      <c r="I814">
        <v>9</v>
      </c>
      <c r="J814">
        <v>5</v>
      </c>
      <c r="K814">
        <v>6826</v>
      </c>
      <c r="L814">
        <v>34130</v>
      </c>
      <c r="M814" t="s">
        <v>24</v>
      </c>
      <c r="N814">
        <v>0</v>
      </c>
      <c r="O814" t="s">
        <v>31</v>
      </c>
    </row>
    <row r="815" spans="1:15" x14ac:dyDescent="0.35">
      <c r="A815">
        <v>1814</v>
      </c>
      <c r="B815" t="s">
        <v>711</v>
      </c>
      <c r="C815" s="1">
        <v>45346</v>
      </c>
      <c r="D815" s="1">
        <v>45375</v>
      </c>
      <c r="E815" s="1">
        <v>45380</v>
      </c>
      <c r="F815" t="s">
        <v>21</v>
      </c>
      <c r="G815" t="s">
        <v>39</v>
      </c>
      <c r="H815" t="s">
        <v>23</v>
      </c>
      <c r="I815">
        <v>29</v>
      </c>
      <c r="J815">
        <v>5</v>
      </c>
      <c r="K815">
        <v>8335</v>
      </c>
      <c r="L815">
        <v>41675</v>
      </c>
      <c r="M815" t="s">
        <v>24</v>
      </c>
      <c r="N815">
        <v>0</v>
      </c>
      <c r="O815" t="s">
        <v>25</v>
      </c>
    </row>
    <row r="816" spans="1:15" x14ac:dyDescent="0.35">
      <c r="A816">
        <v>1815</v>
      </c>
      <c r="B816" t="s">
        <v>712</v>
      </c>
      <c r="C816" s="1">
        <v>45545</v>
      </c>
      <c r="D816" s="1">
        <v>45592</v>
      </c>
      <c r="E816" s="1">
        <v>45595</v>
      </c>
      <c r="F816" t="s">
        <v>29</v>
      </c>
      <c r="G816" t="s">
        <v>22</v>
      </c>
      <c r="H816" t="s">
        <v>46</v>
      </c>
      <c r="I816">
        <v>47</v>
      </c>
      <c r="J816">
        <v>3</v>
      </c>
      <c r="K816">
        <v>7557</v>
      </c>
      <c r="L816">
        <v>22671</v>
      </c>
      <c r="M816" t="s">
        <v>51</v>
      </c>
      <c r="N816">
        <v>1</v>
      </c>
      <c r="O816" t="s">
        <v>25</v>
      </c>
    </row>
    <row r="817" spans="1:15" x14ac:dyDescent="0.35">
      <c r="A817">
        <v>1816</v>
      </c>
      <c r="B817" t="s">
        <v>447</v>
      </c>
      <c r="C817" s="1">
        <v>45315</v>
      </c>
      <c r="D817" s="1">
        <v>45352</v>
      </c>
      <c r="E817" s="1">
        <v>45353</v>
      </c>
      <c r="F817" t="s">
        <v>29</v>
      </c>
      <c r="G817" t="s">
        <v>39</v>
      </c>
      <c r="H817" t="s">
        <v>46</v>
      </c>
      <c r="I817">
        <v>37</v>
      </c>
      <c r="J817">
        <v>1</v>
      </c>
      <c r="K817">
        <v>5819</v>
      </c>
      <c r="L817">
        <v>5819</v>
      </c>
      <c r="M817" t="s">
        <v>24</v>
      </c>
      <c r="N817">
        <v>1</v>
      </c>
      <c r="O817" t="s">
        <v>25</v>
      </c>
    </row>
    <row r="818" spans="1:15" x14ac:dyDescent="0.35">
      <c r="A818">
        <v>1817</v>
      </c>
      <c r="B818" t="s">
        <v>713</v>
      </c>
      <c r="C818" s="1">
        <v>45453</v>
      </c>
      <c r="D818" s="1">
        <v>45476</v>
      </c>
      <c r="E818" s="1">
        <v>45480</v>
      </c>
      <c r="F818" t="s">
        <v>21</v>
      </c>
      <c r="G818" t="s">
        <v>22</v>
      </c>
      <c r="H818" t="s">
        <v>46</v>
      </c>
      <c r="I818">
        <v>23</v>
      </c>
      <c r="J818">
        <v>4</v>
      </c>
      <c r="K818">
        <v>4849</v>
      </c>
      <c r="L818">
        <v>19396</v>
      </c>
      <c r="M818" t="s">
        <v>24</v>
      </c>
      <c r="N818">
        <v>1</v>
      </c>
      <c r="O818" t="s">
        <v>31</v>
      </c>
    </row>
    <row r="819" spans="1:15" x14ac:dyDescent="0.35">
      <c r="A819">
        <v>1818</v>
      </c>
      <c r="B819" t="s">
        <v>714</v>
      </c>
      <c r="C819" s="1">
        <v>45449</v>
      </c>
      <c r="D819" s="1">
        <v>45462</v>
      </c>
      <c r="E819" s="1">
        <v>45463</v>
      </c>
      <c r="F819" t="s">
        <v>60</v>
      </c>
      <c r="G819" t="s">
        <v>22</v>
      </c>
      <c r="H819" t="s">
        <v>46</v>
      </c>
      <c r="I819">
        <v>13</v>
      </c>
      <c r="J819">
        <v>1</v>
      </c>
      <c r="K819">
        <v>5273</v>
      </c>
      <c r="L819">
        <v>5273</v>
      </c>
      <c r="M819" t="s">
        <v>51</v>
      </c>
      <c r="N819">
        <v>0</v>
      </c>
      <c r="O819" t="s">
        <v>25</v>
      </c>
    </row>
    <row r="820" spans="1:15" x14ac:dyDescent="0.35">
      <c r="A820">
        <v>1819</v>
      </c>
      <c r="B820" t="s">
        <v>715</v>
      </c>
      <c r="C820" s="1">
        <v>45373</v>
      </c>
      <c r="D820" s="1">
        <v>45405</v>
      </c>
      <c r="E820" s="1">
        <v>45410</v>
      </c>
      <c r="F820" t="s">
        <v>60</v>
      </c>
      <c r="G820" t="s">
        <v>39</v>
      </c>
      <c r="H820" t="s">
        <v>30</v>
      </c>
      <c r="I820">
        <v>32</v>
      </c>
      <c r="J820">
        <v>5</v>
      </c>
      <c r="K820">
        <v>4762</v>
      </c>
      <c r="L820">
        <v>23810</v>
      </c>
      <c r="M820" t="s">
        <v>51</v>
      </c>
      <c r="N820">
        <v>0</v>
      </c>
      <c r="O820" t="s">
        <v>31</v>
      </c>
    </row>
    <row r="821" spans="1:15" x14ac:dyDescent="0.35">
      <c r="A821">
        <v>1820</v>
      </c>
      <c r="B821" t="s">
        <v>716</v>
      </c>
      <c r="C821" s="1">
        <v>45450</v>
      </c>
      <c r="D821" s="1">
        <v>45496</v>
      </c>
      <c r="E821" s="1">
        <v>45497</v>
      </c>
      <c r="F821" t="s">
        <v>60</v>
      </c>
      <c r="G821" t="s">
        <v>22</v>
      </c>
      <c r="H821" t="s">
        <v>23</v>
      </c>
      <c r="I821">
        <v>46</v>
      </c>
      <c r="J821">
        <v>1</v>
      </c>
      <c r="K821">
        <v>5729</v>
      </c>
      <c r="L821">
        <v>5729</v>
      </c>
      <c r="M821" t="s">
        <v>24</v>
      </c>
      <c r="N821">
        <v>1</v>
      </c>
      <c r="O821" t="s">
        <v>31</v>
      </c>
    </row>
    <row r="822" spans="1:15" x14ac:dyDescent="0.35">
      <c r="A822">
        <v>1821</v>
      </c>
      <c r="B822" t="s">
        <v>301</v>
      </c>
      <c r="C822" s="1">
        <v>45479</v>
      </c>
      <c r="D822" s="1">
        <v>45531</v>
      </c>
      <c r="E822" s="1">
        <v>45535</v>
      </c>
      <c r="F822" t="s">
        <v>35</v>
      </c>
      <c r="G822" t="s">
        <v>22</v>
      </c>
      <c r="H822" t="s">
        <v>30</v>
      </c>
      <c r="I822">
        <v>52</v>
      </c>
      <c r="J822">
        <v>4</v>
      </c>
      <c r="K822">
        <v>4616</v>
      </c>
      <c r="L822">
        <v>18464</v>
      </c>
      <c r="M822" t="s">
        <v>24</v>
      </c>
      <c r="N822">
        <v>1</v>
      </c>
      <c r="O822" t="s">
        <v>31</v>
      </c>
    </row>
    <row r="823" spans="1:15" x14ac:dyDescent="0.35">
      <c r="A823">
        <v>1822</v>
      </c>
      <c r="B823" t="s">
        <v>331</v>
      </c>
      <c r="C823" s="1">
        <v>45351</v>
      </c>
      <c r="D823" s="1">
        <v>45398</v>
      </c>
      <c r="E823" s="1">
        <v>45401</v>
      </c>
      <c r="F823" t="s">
        <v>38</v>
      </c>
      <c r="G823" t="s">
        <v>39</v>
      </c>
      <c r="H823" t="s">
        <v>46</v>
      </c>
      <c r="I823">
        <v>47</v>
      </c>
      <c r="J823">
        <v>3</v>
      </c>
      <c r="K823">
        <v>2892</v>
      </c>
      <c r="L823">
        <v>8676</v>
      </c>
      <c r="M823" t="s">
        <v>24</v>
      </c>
      <c r="N823">
        <v>0</v>
      </c>
      <c r="O823" t="s">
        <v>25</v>
      </c>
    </row>
    <row r="824" spans="1:15" x14ac:dyDescent="0.35">
      <c r="A824">
        <v>1823</v>
      </c>
      <c r="B824" t="s">
        <v>223</v>
      </c>
      <c r="C824" s="1">
        <v>45596</v>
      </c>
      <c r="D824" s="1">
        <v>45644</v>
      </c>
      <c r="E824" s="1">
        <v>45646</v>
      </c>
      <c r="F824" t="s">
        <v>21</v>
      </c>
      <c r="G824" t="s">
        <v>39</v>
      </c>
      <c r="H824" t="s">
        <v>30</v>
      </c>
      <c r="I824">
        <v>48</v>
      </c>
      <c r="J824">
        <v>2</v>
      </c>
      <c r="K824">
        <v>3608</v>
      </c>
      <c r="L824">
        <v>7216</v>
      </c>
      <c r="M824" t="s">
        <v>24</v>
      </c>
      <c r="N824">
        <v>1</v>
      </c>
      <c r="O824" t="s">
        <v>25</v>
      </c>
    </row>
    <row r="825" spans="1:15" x14ac:dyDescent="0.35">
      <c r="A825">
        <v>1824</v>
      </c>
      <c r="B825" t="s">
        <v>717</v>
      </c>
      <c r="C825" s="1">
        <v>45610</v>
      </c>
      <c r="D825" s="1">
        <v>45633</v>
      </c>
      <c r="E825" s="1">
        <v>45634</v>
      </c>
      <c r="F825" t="s">
        <v>35</v>
      </c>
      <c r="G825" t="s">
        <v>39</v>
      </c>
      <c r="H825" t="s">
        <v>46</v>
      </c>
      <c r="I825">
        <v>23</v>
      </c>
      <c r="J825">
        <v>1</v>
      </c>
      <c r="K825">
        <v>6862</v>
      </c>
      <c r="L825">
        <v>6862</v>
      </c>
      <c r="M825" t="s">
        <v>24</v>
      </c>
      <c r="N825">
        <v>0</v>
      </c>
      <c r="O825" t="s">
        <v>25</v>
      </c>
    </row>
    <row r="826" spans="1:15" x14ac:dyDescent="0.35">
      <c r="A826">
        <v>1825</v>
      </c>
      <c r="B826" t="s">
        <v>718</v>
      </c>
      <c r="C826" s="1">
        <v>45502</v>
      </c>
      <c r="D826" s="1">
        <v>45547</v>
      </c>
      <c r="E826" s="1">
        <v>45549</v>
      </c>
      <c r="F826" t="s">
        <v>60</v>
      </c>
      <c r="G826" t="s">
        <v>39</v>
      </c>
      <c r="H826" t="s">
        <v>23</v>
      </c>
      <c r="I826">
        <v>45</v>
      </c>
      <c r="J826">
        <v>2</v>
      </c>
      <c r="K826">
        <v>7688</v>
      </c>
      <c r="L826">
        <v>15376</v>
      </c>
      <c r="M826" t="s">
        <v>24</v>
      </c>
      <c r="N826">
        <v>0</v>
      </c>
      <c r="O826" t="s">
        <v>31</v>
      </c>
    </row>
    <row r="827" spans="1:15" x14ac:dyDescent="0.35">
      <c r="A827">
        <v>1826</v>
      </c>
      <c r="B827" t="s">
        <v>719</v>
      </c>
      <c r="C827" s="1">
        <v>45443</v>
      </c>
      <c r="D827" s="1">
        <v>45460</v>
      </c>
      <c r="E827" s="1">
        <v>45465</v>
      </c>
      <c r="F827" t="s">
        <v>21</v>
      </c>
      <c r="G827" t="s">
        <v>39</v>
      </c>
      <c r="H827" t="s">
        <v>46</v>
      </c>
      <c r="I827">
        <v>17</v>
      </c>
      <c r="J827">
        <v>5</v>
      </c>
      <c r="K827">
        <v>3110</v>
      </c>
      <c r="L827">
        <v>15550</v>
      </c>
      <c r="M827" t="s">
        <v>51</v>
      </c>
      <c r="N827">
        <v>1</v>
      </c>
      <c r="O827" t="s">
        <v>25</v>
      </c>
    </row>
    <row r="828" spans="1:15" x14ac:dyDescent="0.35">
      <c r="A828">
        <v>1827</v>
      </c>
      <c r="B828" t="s">
        <v>643</v>
      </c>
      <c r="C828" s="1">
        <v>45400</v>
      </c>
      <c r="D828" s="1">
        <v>45455</v>
      </c>
      <c r="E828" s="1">
        <v>45458</v>
      </c>
      <c r="F828" t="s">
        <v>35</v>
      </c>
      <c r="G828" t="s">
        <v>39</v>
      </c>
      <c r="H828" t="s">
        <v>30</v>
      </c>
      <c r="I828">
        <v>55</v>
      </c>
      <c r="J828">
        <v>3</v>
      </c>
      <c r="K828">
        <v>7966</v>
      </c>
      <c r="L828">
        <v>23898</v>
      </c>
      <c r="M828" t="s">
        <v>51</v>
      </c>
      <c r="N828">
        <v>1</v>
      </c>
      <c r="O828" t="s">
        <v>31</v>
      </c>
    </row>
    <row r="829" spans="1:15" x14ac:dyDescent="0.35">
      <c r="A829">
        <v>1828</v>
      </c>
      <c r="B829" t="s">
        <v>686</v>
      </c>
      <c r="C829" s="1">
        <v>45367</v>
      </c>
      <c r="D829" s="1">
        <v>45407</v>
      </c>
      <c r="E829" s="1">
        <v>45410</v>
      </c>
      <c r="F829" t="s">
        <v>29</v>
      </c>
      <c r="G829" t="s">
        <v>22</v>
      </c>
      <c r="H829" t="s">
        <v>23</v>
      </c>
      <c r="I829">
        <v>40</v>
      </c>
      <c r="J829">
        <v>3</v>
      </c>
      <c r="K829">
        <v>7604</v>
      </c>
      <c r="L829">
        <v>22812</v>
      </c>
      <c r="M829" t="s">
        <v>24</v>
      </c>
      <c r="N829">
        <v>0</v>
      </c>
      <c r="O829" t="s">
        <v>25</v>
      </c>
    </row>
    <row r="830" spans="1:15" x14ac:dyDescent="0.35">
      <c r="A830">
        <v>1829</v>
      </c>
      <c r="B830" t="s">
        <v>250</v>
      </c>
      <c r="C830" s="1">
        <v>45321</v>
      </c>
      <c r="D830" s="1">
        <v>45342</v>
      </c>
      <c r="E830" s="1">
        <v>45343</v>
      </c>
      <c r="F830" t="s">
        <v>60</v>
      </c>
      <c r="G830" t="s">
        <v>22</v>
      </c>
      <c r="H830" t="s">
        <v>46</v>
      </c>
      <c r="I830">
        <v>21</v>
      </c>
      <c r="J830">
        <v>1</v>
      </c>
      <c r="K830">
        <v>7557</v>
      </c>
      <c r="L830">
        <v>7557</v>
      </c>
      <c r="M830" t="s">
        <v>51</v>
      </c>
      <c r="N830">
        <v>0</v>
      </c>
      <c r="O830" t="s">
        <v>25</v>
      </c>
    </row>
    <row r="831" spans="1:15" x14ac:dyDescent="0.35">
      <c r="A831">
        <v>1830</v>
      </c>
      <c r="B831" t="s">
        <v>720</v>
      </c>
      <c r="C831" s="1">
        <v>45605</v>
      </c>
      <c r="D831" s="1">
        <v>45607</v>
      </c>
      <c r="E831" s="1">
        <v>45610</v>
      </c>
      <c r="F831" t="s">
        <v>35</v>
      </c>
      <c r="G831" t="s">
        <v>22</v>
      </c>
      <c r="H831" t="s">
        <v>46</v>
      </c>
      <c r="I831">
        <v>2</v>
      </c>
      <c r="J831">
        <v>3</v>
      </c>
      <c r="K831">
        <v>5275</v>
      </c>
      <c r="L831">
        <v>15825</v>
      </c>
      <c r="M831" t="s">
        <v>51</v>
      </c>
      <c r="N831">
        <v>0</v>
      </c>
      <c r="O831" t="s">
        <v>25</v>
      </c>
    </row>
    <row r="832" spans="1:15" x14ac:dyDescent="0.35">
      <c r="A832">
        <v>1831</v>
      </c>
      <c r="B832" t="s">
        <v>721</v>
      </c>
      <c r="C832" s="1">
        <v>45408</v>
      </c>
      <c r="D832" s="1">
        <v>45445</v>
      </c>
      <c r="E832" s="1">
        <v>45446</v>
      </c>
      <c r="F832" t="s">
        <v>29</v>
      </c>
      <c r="G832" t="s">
        <v>39</v>
      </c>
      <c r="H832" t="s">
        <v>23</v>
      </c>
      <c r="I832">
        <v>37</v>
      </c>
      <c r="J832">
        <v>1</v>
      </c>
      <c r="K832">
        <v>6498</v>
      </c>
      <c r="L832">
        <v>6498</v>
      </c>
      <c r="M832" t="s">
        <v>24</v>
      </c>
      <c r="N832">
        <v>1</v>
      </c>
      <c r="O832" t="s">
        <v>25</v>
      </c>
    </row>
    <row r="833" spans="1:15" x14ac:dyDescent="0.35">
      <c r="A833">
        <v>1832</v>
      </c>
      <c r="B833" t="s">
        <v>722</v>
      </c>
      <c r="C833" s="1">
        <v>45647</v>
      </c>
      <c r="D833" s="1">
        <v>45653</v>
      </c>
      <c r="E833" s="1">
        <v>45654</v>
      </c>
      <c r="F833" t="s">
        <v>60</v>
      </c>
      <c r="G833" t="s">
        <v>39</v>
      </c>
      <c r="H833" t="s">
        <v>30</v>
      </c>
      <c r="I833">
        <v>6</v>
      </c>
      <c r="J833">
        <v>1</v>
      </c>
      <c r="K833">
        <v>3172</v>
      </c>
      <c r="L833">
        <v>3172</v>
      </c>
      <c r="M833" t="s">
        <v>51</v>
      </c>
      <c r="N833">
        <v>0</v>
      </c>
      <c r="O833" t="s">
        <v>31</v>
      </c>
    </row>
    <row r="834" spans="1:15" x14ac:dyDescent="0.35">
      <c r="A834">
        <v>1833</v>
      </c>
      <c r="B834" t="s">
        <v>348</v>
      </c>
      <c r="C834" s="1">
        <v>45483</v>
      </c>
      <c r="D834" s="1">
        <v>45527</v>
      </c>
      <c r="E834" s="1">
        <v>45529</v>
      </c>
      <c r="F834" t="s">
        <v>38</v>
      </c>
      <c r="G834" t="s">
        <v>22</v>
      </c>
      <c r="H834" t="s">
        <v>23</v>
      </c>
      <c r="I834">
        <v>44</v>
      </c>
      <c r="J834">
        <v>2</v>
      </c>
      <c r="K834">
        <v>6177</v>
      </c>
      <c r="L834">
        <v>12354</v>
      </c>
      <c r="M834" t="s">
        <v>51</v>
      </c>
      <c r="N834">
        <v>1</v>
      </c>
      <c r="O834" t="s">
        <v>31</v>
      </c>
    </row>
    <row r="835" spans="1:15" x14ac:dyDescent="0.35">
      <c r="A835">
        <v>1834</v>
      </c>
      <c r="B835" t="s">
        <v>178</v>
      </c>
      <c r="C835" s="1">
        <v>45310</v>
      </c>
      <c r="D835" s="1">
        <v>45328</v>
      </c>
      <c r="E835" s="1">
        <v>45331</v>
      </c>
      <c r="F835" t="s">
        <v>60</v>
      </c>
      <c r="G835" t="s">
        <v>22</v>
      </c>
      <c r="H835" t="s">
        <v>30</v>
      </c>
      <c r="I835">
        <v>18</v>
      </c>
      <c r="J835">
        <v>3</v>
      </c>
      <c r="K835">
        <v>8296</v>
      </c>
      <c r="L835">
        <v>24888</v>
      </c>
      <c r="M835" t="s">
        <v>24</v>
      </c>
      <c r="N835">
        <v>0</v>
      </c>
      <c r="O835" t="s">
        <v>31</v>
      </c>
    </row>
    <row r="836" spans="1:15" x14ac:dyDescent="0.35">
      <c r="A836">
        <v>1835</v>
      </c>
      <c r="B836" t="s">
        <v>723</v>
      </c>
      <c r="C836" s="1">
        <v>45464</v>
      </c>
      <c r="D836" s="1">
        <v>45494</v>
      </c>
      <c r="E836" s="1">
        <v>45495</v>
      </c>
      <c r="F836" t="s">
        <v>38</v>
      </c>
      <c r="G836" t="s">
        <v>39</v>
      </c>
      <c r="H836" t="s">
        <v>46</v>
      </c>
      <c r="I836">
        <v>30</v>
      </c>
      <c r="J836">
        <v>1</v>
      </c>
      <c r="K836">
        <v>8758</v>
      </c>
      <c r="L836">
        <v>8758</v>
      </c>
      <c r="M836" t="s">
        <v>24</v>
      </c>
      <c r="N836">
        <v>0</v>
      </c>
      <c r="O836" t="s">
        <v>31</v>
      </c>
    </row>
    <row r="837" spans="1:15" x14ac:dyDescent="0.35">
      <c r="A837">
        <v>1836</v>
      </c>
      <c r="B837" t="s">
        <v>76</v>
      </c>
      <c r="C837" s="1">
        <v>45519</v>
      </c>
      <c r="D837" s="1">
        <v>45541</v>
      </c>
      <c r="E837" s="1">
        <v>45543</v>
      </c>
      <c r="F837" t="s">
        <v>38</v>
      </c>
      <c r="G837" t="s">
        <v>22</v>
      </c>
      <c r="H837" t="s">
        <v>46</v>
      </c>
      <c r="I837">
        <v>22</v>
      </c>
      <c r="J837">
        <v>2</v>
      </c>
      <c r="K837">
        <v>8863</v>
      </c>
      <c r="L837">
        <v>17726</v>
      </c>
      <c r="M837" t="s">
        <v>24</v>
      </c>
      <c r="N837">
        <v>0</v>
      </c>
      <c r="O837" t="s">
        <v>25</v>
      </c>
    </row>
    <row r="838" spans="1:15" x14ac:dyDescent="0.35">
      <c r="A838">
        <v>1837</v>
      </c>
      <c r="B838" t="s">
        <v>711</v>
      </c>
      <c r="C838" s="1">
        <v>45641</v>
      </c>
      <c r="D838" s="1">
        <v>45695</v>
      </c>
      <c r="E838" s="1">
        <v>45699</v>
      </c>
      <c r="F838" t="s">
        <v>38</v>
      </c>
      <c r="G838" t="s">
        <v>39</v>
      </c>
      <c r="H838" t="s">
        <v>23</v>
      </c>
      <c r="I838">
        <v>54</v>
      </c>
      <c r="J838">
        <v>4</v>
      </c>
      <c r="K838">
        <v>2530</v>
      </c>
      <c r="L838">
        <v>10120</v>
      </c>
      <c r="M838" t="s">
        <v>51</v>
      </c>
      <c r="N838">
        <v>0</v>
      </c>
      <c r="O838" t="s">
        <v>31</v>
      </c>
    </row>
    <row r="839" spans="1:15" x14ac:dyDescent="0.35">
      <c r="A839">
        <v>1838</v>
      </c>
      <c r="B839" t="s">
        <v>724</v>
      </c>
      <c r="C839" s="1">
        <v>45474</v>
      </c>
      <c r="D839" s="1">
        <v>45507</v>
      </c>
      <c r="E839" s="1">
        <v>45509</v>
      </c>
      <c r="F839" t="s">
        <v>21</v>
      </c>
      <c r="G839" t="s">
        <v>39</v>
      </c>
      <c r="H839" t="s">
        <v>46</v>
      </c>
      <c r="I839">
        <v>33</v>
      </c>
      <c r="J839">
        <v>2</v>
      </c>
      <c r="K839">
        <v>7962</v>
      </c>
      <c r="L839">
        <v>15924</v>
      </c>
      <c r="M839" t="s">
        <v>24</v>
      </c>
      <c r="N839">
        <v>0</v>
      </c>
      <c r="O839" t="s">
        <v>31</v>
      </c>
    </row>
    <row r="840" spans="1:15" x14ac:dyDescent="0.35">
      <c r="A840">
        <v>1839</v>
      </c>
      <c r="B840" t="s">
        <v>377</v>
      </c>
      <c r="C840" s="1">
        <v>45404</v>
      </c>
      <c r="D840" s="1">
        <v>45434</v>
      </c>
      <c r="E840" s="1">
        <v>45436</v>
      </c>
      <c r="F840" t="s">
        <v>21</v>
      </c>
      <c r="G840" t="s">
        <v>22</v>
      </c>
      <c r="H840" t="s">
        <v>23</v>
      </c>
      <c r="I840">
        <v>30</v>
      </c>
      <c r="J840">
        <v>2</v>
      </c>
      <c r="K840">
        <v>3900</v>
      </c>
      <c r="L840">
        <v>7800</v>
      </c>
      <c r="M840" t="s">
        <v>51</v>
      </c>
      <c r="N840">
        <v>1</v>
      </c>
      <c r="O840" t="s">
        <v>31</v>
      </c>
    </row>
    <row r="841" spans="1:15" x14ac:dyDescent="0.35">
      <c r="A841">
        <v>1840</v>
      </c>
      <c r="B841" t="s">
        <v>725</v>
      </c>
      <c r="C841" s="1">
        <v>45474</v>
      </c>
      <c r="D841" s="1">
        <v>45491</v>
      </c>
      <c r="E841" s="1">
        <v>45492</v>
      </c>
      <c r="F841" t="s">
        <v>38</v>
      </c>
      <c r="G841" t="s">
        <v>39</v>
      </c>
      <c r="H841" t="s">
        <v>46</v>
      </c>
      <c r="I841">
        <v>17</v>
      </c>
      <c r="J841">
        <v>1</v>
      </c>
      <c r="K841">
        <v>7749</v>
      </c>
      <c r="L841">
        <v>7749</v>
      </c>
      <c r="M841" t="s">
        <v>24</v>
      </c>
      <c r="N841">
        <v>0</v>
      </c>
      <c r="O841" t="s">
        <v>25</v>
      </c>
    </row>
    <row r="842" spans="1:15" x14ac:dyDescent="0.35">
      <c r="A842">
        <v>1841</v>
      </c>
      <c r="B842" t="s">
        <v>726</v>
      </c>
      <c r="C842" s="1">
        <v>45437</v>
      </c>
      <c r="D842" s="1">
        <v>45480</v>
      </c>
      <c r="E842" s="1">
        <v>45485</v>
      </c>
      <c r="F842" t="s">
        <v>29</v>
      </c>
      <c r="G842" t="s">
        <v>39</v>
      </c>
      <c r="H842" t="s">
        <v>46</v>
      </c>
      <c r="I842">
        <v>43</v>
      </c>
      <c r="J842">
        <v>5</v>
      </c>
      <c r="K842">
        <v>6571</v>
      </c>
      <c r="L842">
        <v>32855</v>
      </c>
      <c r="M842" t="s">
        <v>24</v>
      </c>
      <c r="N842">
        <v>0</v>
      </c>
      <c r="O842" t="s">
        <v>31</v>
      </c>
    </row>
    <row r="843" spans="1:15" x14ac:dyDescent="0.35">
      <c r="A843">
        <v>1842</v>
      </c>
      <c r="B843" t="s">
        <v>721</v>
      </c>
      <c r="C843" s="1">
        <v>45610</v>
      </c>
      <c r="D843" s="1">
        <v>45642</v>
      </c>
      <c r="E843" s="1">
        <v>45647</v>
      </c>
      <c r="F843" t="s">
        <v>38</v>
      </c>
      <c r="G843" t="s">
        <v>39</v>
      </c>
      <c r="H843" t="s">
        <v>30</v>
      </c>
      <c r="I843">
        <v>32</v>
      </c>
      <c r="J843">
        <v>5</v>
      </c>
      <c r="K843">
        <v>3116</v>
      </c>
      <c r="L843">
        <v>15580</v>
      </c>
      <c r="M843" t="s">
        <v>24</v>
      </c>
      <c r="N843">
        <v>1</v>
      </c>
      <c r="O843" t="s">
        <v>31</v>
      </c>
    </row>
    <row r="844" spans="1:15" x14ac:dyDescent="0.35">
      <c r="A844">
        <v>1843</v>
      </c>
      <c r="B844" t="s">
        <v>727</v>
      </c>
      <c r="C844" s="1">
        <v>45407</v>
      </c>
      <c r="D844" s="1">
        <v>45449</v>
      </c>
      <c r="E844" s="1">
        <v>45454</v>
      </c>
      <c r="F844" t="s">
        <v>35</v>
      </c>
      <c r="G844" t="s">
        <v>39</v>
      </c>
      <c r="H844" t="s">
        <v>23</v>
      </c>
      <c r="I844">
        <v>42</v>
      </c>
      <c r="J844">
        <v>5</v>
      </c>
      <c r="K844">
        <v>7134</v>
      </c>
      <c r="L844">
        <v>35670</v>
      </c>
      <c r="M844" t="s">
        <v>24</v>
      </c>
      <c r="N844">
        <v>1</v>
      </c>
      <c r="O844" t="s">
        <v>25</v>
      </c>
    </row>
    <row r="845" spans="1:15" x14ac:dyDescent="0.35">
      <c r="A845">
        <v>1844</v>
      </c>
      <c r="B845" t="s">
        <v>728</v>
      </c>
      <c r="C845" s="1">
        <v>45404</v>
      </c>
      <c r="D845" s="1">
        <v>45455</v>
      </c>
      <c r="E845" s="1">
        <v>45457</v>
      </c>
      <c r="F845" t="s">
        <v>38</v>
      </c>
      <c r="G845" t="s">
        <v>22</v>
      </c>
      <c r="H845" t="s">
        <v>23</v>
      </c>
      <c r="I845">
        <v>51</v>
      </c>
      <c r="J845">
        <v>2</v>
      </c>
      <c r="K845">
        <v>5286</v>
      </c>
      <c r="L845">
        <v>10572</v>
      </c>
      <c r="M845" t="s">
        <v>51</v>
      </c>
      <c r="N845">
        <v>1</v>
      </c>
      <c r="O845" t="s">
        <v>25</v>
      </c>
    </row>
    <row r="846" spans="1:15" x14ac:dyDescent="0.35">
      <c r="A846">
        <v>1845</v>
      </c>
      <c r="B846" t="s">
        <v>729</v>
      </c>
      <c r="C846" s="1">
        <v>45542</v>
      </c>
      <c r="D846" s="1">
        <v>45556</v>
      </c>
      <c r="E846" s="1">
        <v>45557</v>
      </c>
      <c r="F846" t="s">
        <v>21</v>
      </c>
      <c r="G846" t="s">
        <v>39</v>
      </c>
      <c r="H846" t="s">
        <v>46</v>
      </c>
      <c r="I846">
        <v>14</v>
      </c>
      <c r="J846">
        <v>1</v>
      </c>
      <c r="K846">
        <v>3370</v>
      </c>
      <c r="L846">
        <v>3370</v>
      </c>
      <c r="M846" t="s">
        <v>51</v>
      </c>
      <c r="N846">
        <v>0</v>
      </c>
      <c r="O846" t="s">
        <v>31</v>
      </c>
    </row>
    <row r="847" spans="1:15" x14ac:dyDescent="0.35">
      <c r="A847">
        <v>1846</v>
      </c>
      <c r="B847" t="s">
        <v>730</v>
      </c>
      <c r="C847" s="1">
        <v>45542</v>
      </c>
      <c r="D847" s="1">
        <v>45600</v>
      </c>
      <c r="E847" s="1">
        <v>45603</v>
      </c>
      <c r="F847" t="s">
        <v>21</v>
      </c>
      <c r="G847" t="s">
        <v>39</v>
      </c>
      <c r="H847" t="s">
        <v>30</v>
      </c>
      <c r="I847">
        <v>58</v>
      </c>
      <c r="J847">
        <v>3</v>
      </c>
      <c r="K847">
        <v>6696</v>
      </c>
      <c r="L847">
        <v>20088</v>
      </c>
      <c r="M847" t="s">
        <v>24</v>
      </c>
      <c r="N847">
        <v>1</v>
      </c>
      <c r="O847" t="s">
        <v>31</v>
      </c>
    </row>
    <row r="848" spans="1:15" x14ac:dyDescent="0.35">
      <c r="A848">
        <v>1847</v>
      </c>
      <c r="B848" t="s">
        <v>731</v>
      </c>
      <c r="C848" s="1">
        <v>45594</v>
      </c>
      <c r="D848" s="1">
        <v>45604</v>
      </c>
      <c r="E848" s="1">
        <v>45606</v>
      </c>
      <c r="F848" t="s">
        <v>35</v>
      </c>
      <c r="G848" t="s">
        <v>22</v>
      </c>
      <c r="H848" t="s">
        <v>30</v>
      </c>
      <c r="I848">
        <v>10</v>
      </c>
      <c r="J848">
        <v>2</v>
      </c>
      <c r="K848">
        <v>6104</v>
      </c>
      <c r="L848">
        <v>12208</v>
      </c>
      <c r="M848" t="s">
        <v>51</v>
      </c>
      <c r="N848">
        <v>0</v>
      </c>
      <c r="O848" t="s">
        <v>25</v>
      </c>
    </row>
    <row r="849" spans="1:15" x14ac:dyDescent="0.35">
      <c r="A849">
        <v>1848</v>
      </c>
      <c r="B849" t="s">
        <v>725</v>
      </c>
      <c r="C849" s="1">
        <v>45604</v>
      </c>
      <c r="D849" s="1">
        <v>45651</v>
      </c>
      <c r="E849" s="1">
        <v>45653</v>
      </c>
      <c r="F849" t="s">
        <v>35</v>
      </c>
      <c r="G849" t="s">
        <v>39</v>
      </c>
      <c r="H849" t="s">
        <v>23</v>
      </c>
      <c r="I849">
        <v>47</v>
      </c>
      <c r="J849">
        <v>2</v>
      </c>
      <c r="K849">
        <v>3912</v>
      </c>
      <c r="L849">
        <v>7824</v>
      </c>
      <c r="M849" t="s">
        <v>24</v>
      </c>
      <c r="N849">
        <v>1</v>
      </c>
      <c r="O849" t="s">
        <v>31</v>
      </c>
    </row>
    <row r="850" spans="1:15" x14ac:dyDescent="0.35">
      <c r="A850">
        <v>1849</v>
      </c>
      <c r="B850" t="s">
        <v>380</v>
      </c>
      <c r="C850" s="1">
        <v>45409</v>
      </c>
      <c r="D850" s="1">
        <v>45460</v>
      </c>
      <c r="E850" s="1">
        <v>45461</v>
      </c>
      <c r="F850" t="s">
        <v>60</v>
      </c>
      <c r="G850" t="s">
        <v>39</v>
      </c>
      <c r="H850" t="s">
        <v>23</v>
      </c>
      <c r="I850">
        <v>51</v>
      </c>
      <c r="J850">
        <v>1</v>
      </c>
      <c r="K850">
        <v>5239</v>
      </c>
      <c r="L850">
        <v>5239</v>
      </c>
      <c r="M850" t="s">
        <v>24</v>
      </c>
      <c r="N850">
        <v>1</v>
      </c>
      <c r="O850" t="s">
        <v>25</v>
      </c>
    </row>
    <row r="851" spans="1:15" x14ac:dyDescent="0.35">
      <c r="A851">
        <v>1850</v>
      </c>
      <c r="B851" t="s">
        <v>732</v>
      </c>
      <c r="C851" s="1">
        <v>45592</v>
      </c>
      <c r="D851" s="1">
        <v>45628</v>
      </c>
      <c r="E851" s="1">
        <v>45632</v>
      </c>
      <c r="F851" t="s">
        <v>29</v>
      </c>
      <c r="G851" t="s">
        <v>22</v>
      </c>
      <c r="H851" t="s">
        <v>46</v>
      </c>
      <c r="I851">
        <v>36</v>
      </c>
      <c r="J851">
        <v>4</v>
      </c>
      <c r="K851">
        <v>3440</v>
      </c>
      <c r="L851">
        <v>13760</v>
      </c>
      <c r="M851" t="s">
        <v>51</v>
      </c>
      <c r="N851">
        <v>0</v>
      </c>
      <c r="O851" t="s">
        <v>31</v>
      </c>
    </row>
    <row r="852" spans="1:15" x14ac:dyDescent="0.35">
      <c r="A852">
        <v>1851</v>
      </c>
      <c r="B852" t="s">
        <v>418</v>
      </c>
      <c r="C852" s="1">
        <v>45452</v>
      </c>
      <c r="D852" s="1">
        <v>45486</v>
      </c>
      <c r="E852" s="1">
        <v>45488</v>
      </c>
      <c r="F852" t="s">
        <v>29</v>
      </c>
      <c r="G852" t="s">
        <v>22</v>
      </c>
      <c r="H852" t="s">
        <v>23</v>
      </c>
      <c r="I852">
        <v>34</v>
      </c>
      <c r="J852">
        <v>2</v>
      </c>
      <c r="K852">
        <v>2840</v>
      </c>
      <c r="L852">
        <v>5680</v>
      </c>
      <c r="M852" t="s">
        <v>51</v>
      </c>
      <c r="N852">
        <v>1</v>
      </c>
      <c r="O852" t="s">
        <v>31</v>
      </c>
    </row>
    <row r="853" spans="1:15" x14ac:dyDescent="0.35">
      <c r="A853">
        <v>1852</v>
      </c>
      <c r="B853" t="s">
        <v>154</v>
      </c>
      <c r="C853" s="1">
        <v>45489</v>
      </c>
      <c r="D853" s="1">
        <v>45498</v>
      </c>
      <c r="E853" s="1">
        <v>45502</v>
      </c>
      <c r="F853" t="s">
        <v>29</v>
      </c>
      <c r="G853" t="s">
        <v>39</v>
      </c>
      <c r="H853" t="s">
        <v>46</v>
      </c>
      <c r="I853">
        <v>9</v>
      </c>
      <c r="J853">
        <v>4</v>
      </c>
      <c r="K853">
        <v>5408</v>
      </c>
      <c r="L853">
        <v>21632</v>
      </c>
      <c r="M853" t="s">
        <v>24</v>
      </c>
      <c r="N853">
        <v>0</v>
      </c>
      <c r="O853" t="s">
        <v>31</v>
      </c>
    </row>
    <row r="854" spans="1:15" x14ac:dyDescent="0.35">
      <c r="A854">
        <v>1853</v>
      </c>
      <c r="B854" t="s">
        <v>733</v>
      </c>
      <c r="C854" s="1">
        <v>45551</v>
      </c>
      <c r="D854" s="1">
        <v>45593</v>
      </c>
      <c r="E854" s="1">
        <v>45597</v>
      </c>
      <c r="F854" t="s">
        <v>21</v>
      </c>
      <c r="G854" t="s">
        <v>39</v>
      </c>
      <c r="H854" t="s">
        <v>30</v>
      </c>
      <c r="I854">
        <v>42</v>
      </c>
      <c r="J854">
        <v>4</v>
      </c>
      <c r="K854">
        <v>7639</v>
      </c>
      <c r="L854">
        <v>30556</v>
      </c>
      <c r="M854" t="s">
        <v>24</v>
      </c>
      <c r="N854">
        <v>0</v>
      </c>
      <c r="O854" t="s">
        <v>31</v>
      </c>
    </row>
    <row r="855" spans="1:15" x14ac:dyDescent="0.35">
      <c r="A855">
        <v>1854</v>
      </c>
      <c r="B855" t="s">
        <v>734</v>
      </c>
      <c r="C855" s="1">
        <v>45439</v>
      </c>
      <c r="D855" s="1">
        <v>45467</v>
      </c>
      <c r="E855" s="1">
        <v>45472</v>
      </c>
      <c r="F855" t="s">
        <v>29</v>
      </c>
      <c r="G855" t="s">
        <v>22</v>
      </c>
      <c r="H855" t="s">
        <v>23</v>
      </c>
      <c r="I855">
        <v>28</v>
      </c>
      <c r="J855">
        <v>5</v>
      </c>
      <c r="K855">
        <v>6633</v>
      </c>
      <c r="L855">
        <v>33165</v>
      </c>
      <c r="M855" t="s">
        <v>24</v>
      </c>
      <c r="N855">
        <v>0</v>
      </c>
      <c r="O855" t="s">
        <v>31</v>
      </c>
    </row>
    <row r="856" spans="1:15" x14ac:dyDescent="0.35">
      <c r="A856">
        <v>1855</v>
      </c>
      <c r="B856" t="s">
        <v>735</v>
      </c>
      <c r="C856" s="1">
        <v>45531</v>
      </c>
      <c r="D856" s="1">
        <v>45542</v>
      </c>
      <c r="E856" s="1">
        <v>45543</v>
      </c>
      <c r="F856" t="s">
        <v>60</v>
      </c>
      <c r="G856" t="s">
        <v>39</v>
      </c>
      <c r="H856" t="s">
        <v>30</v>
      </c>
      <c r="I856">
        <v>11</v>
      </c>
      <c r="J856">
        <v>1</v>
      </c>
      <c r="K856">
        <v>3159</v>
      </c>
      <c r="L856">
        <v>3159</v>
      </c>
      <c r="M856" t="s">
        <v>51</v>
      </c>
      <c r="N856">
        <v>1</v>
      </c>
      <c r="O856" t="s">
        <v>25</v>
      </c>
    </row>
    <row r="857" spans="1:15" x14ac:dyDescent="0.35">
      <c r="A857">
        <v>1856</v>
      </c>
      <c r="B857" t="s">
        <v>736</v>
      </c>
      <c r="C857" s="1">
        <v>45338</v>
      </c>
      <c r="D857" s="1">
        <v>45352</v>
      </c>
      <c r="E857" s="1">
        <v>45356</v>
      </c>
      <c r="F857" t="s">
        <v>60</v>
      </c>
      <c r="G857" t="s">
        <v>39</v>
      </c>
      <c r="H857" t="s">
        <v>30</v>
      </c>
      <c r="I857">
        <v>14</v>
      </c>
      <c r="J857">
        <v>4</v>
      </c>
      <c r="K857">
        <v>4533</v>
      </c>
      <c r="L857">
        <v>18132</v>
      </c>
      <c r="M857" t="s">
        <v>24</v>
      </c>
      <c r="N857">
        <v>0</v>
      </c>
      <c r="O857" t="s">
        <v>25</v>
      </c>
    </row>
    <row r="858" spans="1:15" x14ac:dyDescent="0.35">
      <c r="A858">
        <v>1857</v>
      </c>
      <c r="B858" t="s">
        <v>737</v>
      </c>
      <c r="C858" s="1">
        <v>45489</v>
      </c>
      <c r="D858" s="1">
        <v>45528</v>
      </c>
      <c r="E858" s="1">
        <v>45529</v>
      </c>
      <c r="F858" t="s">
        <v>29</v>
      </c>
      <c r="G858" t="s">
        <v>39</v>
      </c>
      <c r="H858" t="s">
        <v>46</v>
      </c>
      <c r="I858">
        <v>39</v>
      </c>
      <c r="J858">
        <v>1</v>
      </c>
      <c r="K858">
        <v>4060</v>
      </c>
      <c r="L858">
        <v>4060</v>
      </c>
      <c r="M858" t="s">
        <v>24</v>
      </c>
      <c r="N858">
        <v>0</v>
      </c>
      <c r="O858" t="s">
        <v>31</v>
      </c>
    </row>
    <row r="859" spans="1:15" x14ac:dyDescent="0.35">
      <c r="A859">
        <v>1858</v>
      </c>
      <c r="B859" t="s">
        <v>738</v>
      </c>
      <c r="C859" s="1">
        <v>45338</v>
      </c>
      <c r="D859" s="1">
        <v>45393</v>
      </c>
      <c r="E859" s="1">
        <v>45398</v>
      </c>
      <c r="F859" t="s">
        <v>35</v>
      </c>
      <c r="G859" t="s">
        <v>22</v>
      </c>
      <c r="H859" t="s">
        <v>30</v>
      </c>
      <c r="I859">
        <v>55</v>
      </c>
      <c r="J859">
        <v>5</v>
      </c>
      <c r="K859">
        <v>5957</v>
      </c>
      <c r="L859">
        <v>29785</v>
      </c>
      <c r="M859" t="s">
        <v>24</v>
      </c>
      <c r="N859">
        <v>0</v>
      </c>
      <c r="O859" t="s">
        <v>31</v>
      </c>
    </row>
    <row r="860" spans="1:15" x14ac:dyDescent="0.35">
      <c r="A860">
        <v>1859</v>
      </c>
      <c r="B860" t="s">
        <v>739</v>
      </c>
      <c r="C860" s="1">
        <v>45369</v>
      </c>
      <c r="D860" s="1">
        <v>45416</v>
      </c>
      <c r="E860" s="1">
        <v>45417</v>
      </c>
      <c r="F860" t="s">
        <v>60</v>
      </c>
      <c r="G860" t="s">
        <v>39</v>
      </c>
      <c r="H860" t="s">
        <v>46</v>
      </c>
      <c r="I860">
        <v>47</v>
      </c>
      <c r="J860">
        <v>1</v>
      </c>
      <c r="K860">
        <v>4156</v>
      </c>
      <c r="L860">
        <v>4156</v>
      </c>
      <c r="M860" t="s">
        <v>24</v>
      </c>
      <c r="N860">
        <v>1</v>
      </c>
      <c r="O860" t="s">
        <v>31</v>
      </c>
    </row>
    <row r="861" spans="1:15" x14ac:dyDescent="0.35">
      <c r="A861">
        <v>1860</v>
      </c>
      <c r="B861" t="s">
        <v>649</v>
      </c>
      <c r="C861" s="1">
        <v>45415</v>
      </c>
      <c r="D861" s="1">
        <v>45469</v>
      </c>
      <c r="E861" s="1">
        <v>45471</v>
      </c>
      <c r="F861" t="s">
        <v>35</v>
      </c>
      <c r="G861" t="s">
        <v>22</v>
      </c>
      <c r="H861" t="s">
        <v>46</v>
      </c>
      <c r="I861">
        <v>54</v>
      </c>
      <c r="J861">
        <v>2</v>
      </c>
      <c r="K861">
        <v>5475</v>
      </c>
      <c r="L861">
        <v>10950</v>
      </c>
      <c r="M861" t="s">
        <v>24</v>
      </c>
      <c r="N861">
        <v>1</v>
      </c>
      <c r="O861" t="s">
        <v>25</v>
      </c>
    </row>
    <row r="862" spans="1:15" x14ac:dyDescent="0.35">
      <c r="A862">
        <v>1861</v>
      </c>
      <c r="B862" t="s">
        <v>412</v>
      </c>
      <c r="C862" s="1">
        <v>45366</v>
      </c>
      <c r="D862" s="1">
        <v>45385</v>
      </c>
      <c r="E862" s="1">
        <v>45389</v>
      </c>
      <c r="F862" t="s">
        <v>21</v>
      </c>
      <c r="G862" t="s">
        <v>22</v>
      </c>
      <c r="H862" t="s">
        <v>30</v>
      </c>
      <c r="I862">
        <v>19</v>
      </c>
      <c r="J862">
        <v>4</v>
      </c>
      <c r="K862">
        <v>3549</v>
      </c>
      <c r="L862">
        <v>14196</v>
      </c>
      <c r="M862" t="s">
        <v>24</v>
      </c>
      <c r="N862">
        <v>0</v>
      </c>
      <c r="O862" t="s">
        <v>25</v>
      </c>
    </row>
    <row r="863" spans="1:15" x14ac:dyDescent="0.35">
      <c r="A863">
        <v>1862</v>
      </c>
      <c r="B863" t="s">
        <v>731</v>
      </c>
      <c r="C863" s="1">
        <v>45650</v>
      </c>
      <c r="D863" s="1">
        <v>45704</v>
      </c>
      <c r="E863" s="1">
        <v>45705</v>
      </c>
      <c r="F863" t="s">
        <v>60</v>
      </c>
      <c r="G863" t="s">
        <v>22</v>
      </c>
      <c r="H863" t="s">
        <v>30</v>
      </c>
      <c r="I863">
        <v>54</v>
      </c>
      <c r="J863">
        <v>1</v>
      </c>
      <c r="K863">
        <v>2953</v>
      </c>
      <c r="L863">
        <v>2953</v>
      </c>
      <c r="M863" t="s">
        <v>51</v>
      </c>
      <c r="N863">
        <v>0</v>
      </c>
      <c r="O863" t="s">
        <v>25</v>
      </c>
    </row>
    <row r="864" spans="1:15" x14ac:dyDescent="0.35">
      <c r="A864">
        <v>1863</v>
      </c>
      <c r="B864" t="s">
        <v>740</v>
      </c>
      <c r="C864" s="1">
        <v>45428</v>
      </c>
      <c r="D864" s="1">
        <v>45443</v>
      </c>
      <c r="E864" s="1">
        <v>45446</v>
      </c>
      <c r="F864" t="s">
        <v>35</v>
      </c>
      <c r="G864" t="s">
        <v>22</v>
      </c>
      <c r="H864" t="s">
        <v>46</v>
      </c>
      <c r="I864">
        <v>15</v>
      </c>
      <c r="J864">
        <v>3</v>
      </c>
      <c r="K864">
        <v>4204</v>
      </c>
      <c r="L864">
        <v>12612</v>
      </c>
      <c r="M864" t="s">
        <v>24</v>
      </c>
      <c r="N864">
        <v>0</v>
      </c>
      <c r="O864" t="s">
        <v>25</v>
      </c>
    </row>
    <row r="865" spans="1:15" x14ac:dyDescent="0.35">
      <c r="A865">
        <v>1864</v>
      </c>
      <c r="B865" t="s">
        <v>741</v>
      </c>
      <c r="C865" s="1">
        <v>45381</v>
      </c>
      <c r="D865" s="1">
        <v>45409</v>
      </c>
      <c r="E865" s="1">
        <v>45410</v>
      </c>
      <c r="F865" t="s">
        <v>29</v>
      </c>
      <c r="G865" t="s">
        <v>39</v>
      </c>
      <c r="H865" t="s">
        <v>46</v>
      </c>
      <c r="I865">
        <v>28</v>
      </c>
      <c r="J865">
        <v>1</v>
      </c>
      <c r="K865">
        <v>7942</v>
      </c>
      <c r="L865">
        <v>7942</v>
      </c>
      <c r="M865" t="s">
        <v>24</v>
      </c>
      <c r="N865">
        <v>1</v>
      </c>
      <c r="O865" t="s">
        <v>25</v>
      </c>
    </row>
    <row r="866" spans="1:15" x14ac:dyDescent="0.35">
      <c r="A866">
        <v>1865</v>
      </c>
      <c r="B866" t="s">
        <v>742</v>
      </c>
      <c r="C866" s="1">
        <v>45616</v>
      </c>
      <c r="D866" s="1">
        <v>45640</v>
      </c>
      <c r="E866" s="1">
        <v>45644</v>
      </c>
      <c r="F866" t="s">
        <v>21</v>
      </c>
      <c r="G866" t="s">
        <v>22</v>
      </c>
      <c r="H866" t="s">
        <v>30</v>
      </c>
      <c r="I866">
        <v>24</v>
      </c>
      <c r="J866">
        <v>4</v>
      </c>
      <c r="K866">
        <v>5284</v>
      </c>
      <c r="L866">
        <v>21136</v>
      </c>
      <c r="M866" t="s">
        <v>51</v>
      </c>
      <c r="N866">
        <v>1</v>
      </c>
      <c r="O866" t="s">
        <v>25</v>
      </c>
    </row>
    <row r="867" spans="1:15" x14ac:dyDescent="0.35">
      <c r="A867">
        <v>1866</v>
      </c>
      <c r="B867" t="s">
        <v>743</v>
      </c>
      <c r="C867" s="1">
        <v>45352</v>
      </c>
      <c r="D867" s="1">
        <v>45360</v>
      </c>
      <c r="E867" s="1">
        <v>45365</v>
      </c>
      <c r="F867" t="s">
        <v>38</v>
      </c>
      <c r="G867" t="s">
        <v>39</v>
      </c>
      <c r="H867" t="s">
        <v>46</v>
      </c>
      <c r="I867">
        <v>8</v>
      </c>
      <c r="J867">
        <v>5</v>
      </c>
      <c r="K867">
        <v>3318</v>
      </c>
      <c r="L867">
        <v>16590</v>
      </c>
      <c r="M867" t="s">
        <v>51</v>
      </c>
      <c r="N867">
        <v>0</v>
      </c>
      <c r="O867" t="s">
        <v>25</v>
      </c>
    </row>
    <row r="868" spans="1:15" x14ac:dyDescent="0.35">
      <c r="A868">
        <v>1867</v>
      </c>
      <c r="B868" t="s">
        <v>744</v>
      </c>
      <c r="C868" s="1">
        <v>45429</v>
      </c>
      <c r="D868" s="1">
        <v>45472</v>
      </c>
      <c r="E868" s="1">
        <v>45477</v>
      </c>
      <c r="F868" t="s">
        <v>38</v>
      </c>
      <c r="G868" t="s">
        <v>22</v>
      </c>
      <c r="H868" t="s">
        <v>46</v>
      </c>
      <c r="I868">
        <v>43</v>
      </c>
      <c r="J868">
        <v>5</v>
      </c>
      <c r="K868">
        <v>7368</v>
      </c>
      <c r="L868">
        <v>36840</v>
      </c>
      <c r="M868" t="s">
        <v>24</v>
      </c>
      <c r="N868">
        <v>1</v>
      </c>
      <c r="O868" t="s">
        <v>25</v>
      </c>
    </row>
    <row r="869" spans="1:15" x14ac:dyDescent="0.35">
      <c r="A869">
        <v>1868</v>
      </c>
      <c r="B869" t="s">
        <v>745</v>
      </c>
      <c r="C869" s="1">
        <v>45341</v>
      </c>
      <c r="D869" s="1">
        <v>45350</v>
      </c>
      <c r="E869" s="1">
        <v>45354</v>
      </c>
      <c r="F869" t="s">
        <v>29</v>
      </c>
      <c r="G869" t="s">
        <v>22</v>
      </c>
      <c r="H869" t="s">
        <v>23</v>
      </c>
      <c r="I869">
        <v>9</v>
      </c>
      <c r="J869">
        <v>4</v>
      </c>
      <c r="K869">
        <v>2512</v>
      </c>
      <c r="L869">
        <v>10048</v>
      </c>
      <c r="M869" t="s">
        <v>51</v>
      </c>
      <c r="N869">
        <v>1</v>
      </c>
      <c r="O869" t="s">
        <v>31</v>
      </c>
    </row>
    <row r="870" spans="1:15" x14ac:dyDescent="0.35">
      <c r="A870">
        <v>1869</v>
      </c>
      <c r="B870" t="s">
        <v>746</v>
      </c>
      <c r="C870" s="1">
        <v>45550</v>
      </c>
      <c r="D870" s="1">
        <v>45597</v>
      </c>
      <c r="E870" s="1">
        <v>45599</v>
      </c>
      <c r="F870" t="s">
        <v>21</v>
      </c>
      <c r="G870" t="s">
        <v>39</v>
      </c>
      <c r="H870" t="s">
        <v>23</v>
      </c>
      <c r="I870">
        <v>47</v>
      </c>
      <c r="J870">
        <v>2</v>
      </c>
      <c r="K870">
        <v>6479</v>
      </c>
      <c r="L870">
        <v>12958</v>
      </c>
      <c r="M870" t="s">
        <v>24</v>
      </c>
      <c r="N870">
        <v>0</v>
      </c>
      <c r="O870" t="s">
        <v>25</v>
      </c>
    </row>
    <row r="871" spans="1:15" x14ac:dyDescent="0.35">
      <c r="A871">
        <v>1870</v>
      </c>
      <c r="B871" t="s">
        <v>747</v>
      </c>
      <c r="C871" s="1">
        <v>45398</v>
      </c>
      <c r="D871" s="1">
        <v>45431</v>
      </c>
      <c r="E871" s="1">
        <v>45433</v>
      </c>
      <c r="F871" t="s">
        <v>21</v>
      </c>
      <c r="G871" t="s">
        <v>22</v>
      </c>
      <c r="H871" t="s">
        <v>23</v>
      </c>
      <c r="I871">
        <v>33</v>
      </c>
      <c r="J871">
        <v>2</v>
      </c>
      <c r="K871">
        <v>3420</v>
      </c>
      <c r="L871">
        <v>6840</v>
      </c>
      <c r="M871" t="s">
        <v>51</v>
      </c>
      <c r="N871">
        <v>1</v>
      </c>
      <c r="O871" t="s">
        <v>25</v>
      </c>
    </row>
    <row r="872" spans="1:15" x14ac:dyDescent="0.35">
      <c r="A872">
        <v>1871</v>
      </c>
      <c r="B872" t="s">
        <v>550</v>
      </c>
      <c r="C872" s="1">
        <v>45404</v>
      </c>
      <c r="D872" s="1">
        <v>45437</v>
      </c>
      <c r="E872" s="1">
        <v>45442</v>
      </c>
      <c r="F872" t="s">
        <v>21</v>
      </c>
      <c r="G872" t="s">
        <v>22</v>
      </c>
      <c r="H872" t="s">
        <v>23</v>
      </c>
      <c r="I872">
        <v>33</v>
      </c>
      <c r="J872">
        <v>5</v>
      </c>
      <c r="K872">
        <v>7420</v>
      </c>
      <c r="L872">
        <v>37100</v>
      </c>
      <c r="M872" t="s">
        <v>51</v>
      </c>
      <c r="N872">
        <v>0</v>
      </c>
      <c r="O872" t="s">
        <v>25</v>
      </c>
    </row>
    <row r="873" spans="1:15" x14ac:dyDescent="0.35">
      <c r="A873">
        <v>1872</v>
      </c>
      <c r="B873" t="s">
        <v>748</v>
      </c>
      <c r="C873" s="1">
        <v>45641</v>
      </c>
      <c r="D873" s="1">
        <v>45660</v>
      </c>
      <c r="E873" s="1">
        <v>45665</v>
      </c>
      <c r="F873" t="s">
        <v>21</v>
      </c>
      <c r="G873" t="s">
        <v>39</v>
      </c>
      <c r="H873" t="s">
        <v>23</v>
      </c>
      <c r="I873">
        <v>19</v>
      </c>
      <c r="J873">
        <v>5</v>
      </c>
      <c r="K873">
        <v>4918</v>
      </c>
      <c r="L873">
        <v>24590</v>
      </c>
      <c r="M873" t="s">
        <v>24</v>
      </c>
      <c r="N873">
        <v>1</v>
      </c>
      <c r="O873" t="s">
        <v>25</v>
      </c>
    </row>
    <row r="874" spans="1:15" x14ac:dyDescent="0.35">
      <c r="A874">
        <v>1873</v>
      </c>
      <c r="B874" t="s">
        <v>749</v>
      </c>
      <c r="C874" s="1">
        <v>45545</v>
      </c>
      <c r="D874" s="1">
        <v>45548</v>
      </c>
      <c r="E874" s="1">
        <v>45552</v>
      </c>
      <c r="F874" t="s">
        <v>38</v>
      </c>
      <c r="G874" t="s">
        <v>22</v>
      </c>
      <c r="H874" t="s">
        <v>46</v>
      </c>
      <c r="I874">
        <v>3</v>
      </c>
      <c r="J874">
        <v>4</v>
      </c>
      <c r="K874">
        <v>3814</v>
      </c>
      <c r="L874">
        <v>15256</v>
      </c>
      <c r="M874" t="s">
        <v>51</v>
      </c>
      <c r="N874">
        <v>0</v>
      </c>
      <c r="O874" t="s">
        <v>31</v>
      </c>
    </row>
    <row r="875" spans="1:15" x14ac:dyDescent="0.35">
      <c r="A875">
        <v>1874</v>
      </c>
      <c r="B875" t="s">
        <v>707</v>
      </c>
      <c r="C875" s="1">
        <v>45409</v>
      </c>
      <c r="D875" s="1">
        <v>45419</v>
      </c>
      <c r="E875" s="1">
        <v>45421</v>
      </c>
      <c r="F875" t="s">
        <v>35</v>
      </c>
      <c r="G875" t="s">
        <v>22</v>
      </c>
      <c r="H875" t="s">
        <v>46</v>
      </c>
      <c r="I875">
        <v>10</v>
      </c>
      <c r="J875">
        <v>2</v>
      </c>
      <c r="K875">
        <v>8975</v>
      </c>
      <c r="L875">
        <v>17950</v>
      </c>
      <c r="M875" t="s">
        <v>24</v>
      </c>
      <c r="N875">
        <v>1</v>
      </c>
      <c r="O875" t="s">
        <v>25</v>
      </c>
    </row>
    <row r="876" spans="1:15" x14ac:dyDescent="0.35">
      <c r="A876">
        <v>1875</v>
      </c>
      <c r="B876" t="s">
        <v>276</v>
      </c>
      <c r="C876" s="1">
        <v>45489</v>
      </c>
      <c r="D876" s="1">
        <v>45529</v>
      </c>
      <c r="E876" s="1">
        <v>45534</v>
      </c>
      <c r="F876" t="s">
        <v>21</v>
      </c>
      <c r="G876" t="s">
        <v>22</v>
      </c>
      <c r="H876" t="s">
        <v>23</v>
      </c>
      <c r="I876">
        <v>40</v>
      </c>
      <c r="J876">
        <v>5</v>
      </c>
      <c r="K876">
        <v>6177</v>
      </c>
      <c r="L876">
        <v>30885</v>
      </c>
      <c r="M876" t="s">
        <v>51</v>
      </c>
      <c r="N876">
        <v>1</v>
      </c>
      <c r="O876" t="s">
        <v>31</v>
      </c>
    </row>
    <row r="877" spans="1:15" x14ac:dyDescent="0.35">
      <c r="A877">
        <v>1876</v>
      </c>
      <c r="B877" t="s">
        <v>736</v>
      </c>
      <c r="C877" s="1">
        <v>45628</v>
      </c>
      <c r="D877" s="1">
        <v>45675</v>
      </c>
      <c r="E877" s="1">
        <v>45677</v>
      </c>
      <c r="F877" t="s">
        <v>35</v>
      </c>
      <c r="G877" t="s">
        <v>39</v>
      </c>
      <c r="H877" t="s">
        <v>30</v>
      </c>
      <c r="I877">
        <v>47</v>
      </c>
      <c r="J877">
        <v>2</v>
      </c>
      <c r="K877">
        <v>8904</v>
      </c>
      <c r="L877">
        <v>17808</v>
      </c>
      <c r="M877" t="s">
        <v>24</v>
      </c>
      <c r="N877">
        <v>0</v>
      </c>
      <c r="O877" t="s">
        <v>31</v>
      </c>
    </row>
    <row r="878" spans="1:15" x14ac:dyDescent="0.35">
      <c r="A878">
        <v>1877</v>
      </c>
      <c r="B878" t="s">
        <v>750</v>
      </c>
      <c r="C878" s="1">
        <v>45656</v>
      </c>
      <c r="D878" s="1">
        <v>45698</v>
      </c>
      <c r="E878" s="1">
        <v>45703</v>
      </c>
      <c r="F878" t="s">
        <v>21</v>
      </c>
      <c r="G878" t="s">
        <v>22</v>
      </c>
      <c r="H878" t="s">
        <v>23</v>
      </c>
      <c r="I878">
        <v>42</v>
      </c>
      <c r="J878">
        <v>5</v>
      </c>
      <c r="K878">
        <v>4517</v>
      </c>
      <c r="L878">
        <v>22585</v>
      </c>
      <c r="M878" t="s">
        <v>51</v>
      </c>
      <c r="N878">
        <v>0</v>
      </c>
      <c r="O878" t="s">
        <v>31</v>
      </c>
    </row>
    <row r="879" spans="1:15" x14ac:dyDescent="0.35">
      <c r="A879">
        <v>1878</v>
      </c>
      <c r="B879" t="s">
        <v>736</v>
      </c>
      <c r="C879" s="1">
        <v>45342</v>
      </c>
      <c r="D879" s="1">
        <v>45343</v>
      </c>
      <c r="E879" s="1">
        <v>45344</v>
      </c>
      <c r="F879" t="s">
        <v>60</v>
      </c>
      <c r="G879" t="s">
        <v>39</v>
      </c>
      <c r="H879" t="s">
        <v>30</v>
      </c>
      <c r="I879">
        <v>1</v>
      </c>
      <c r="J879">
        <v>1</v>
      </c>
      <c r="K879">
        <v>3728</v>
      </c>
      <c r="L879">
        <v>3728</v>
      </c>
      <c r="M879" t="s">
        <v>24</v>
      </c>
      <c r="N879">
        <v>1</v>
      </c>
      <c r="O879" t="s">
        <v>25</v>
      </c>
    </row>
    <row r="880" spans="1:15" x14ac:dyDescent="0.35">
      <c r="A880">
        <v>1879</v>
      </c>
      <c r="B880" t="s">
        <v>751</v>
      </c>
      <c r="C880" s="1">
        <v>45536</v>
      </c>
      <c r="D880" s="1">
        <v>45565</v>
      </c>
      <c r="E880" s="1">
        <v>45568</v>
      </c>
      <c r="F880" t="s">
        <v>60</v>
      </c>
      <c r="G880" t="s">
        <v>39</v>
      </c>
      <c r="H880" t="s">
        <v>46</v>
      </c>
      <c r="I880">
        <v>29</v>
      </c>
      <c r="J880">
        <v>3</v>
      </c>
      <c r="K880">
        <v>7292</v>
      </c>
      <c r="L880">
        <v>21876</v>
      </c>
      <c r="M880" t="s">
        <v>24</v>
      </c>
      <c r="N880">
        <v>1</v>
      </c>
      <c r="O880" t="s">
        <v>25</v>
      </c>
    </row>
    <row r="881" spans="1:15" x14ac:dyDescent="0.35">
      <c r="A881">
        <v>1880</v>
      </c>
      <c r="B881" t="s">
        <v>364</v>
      </c>
      <c r="C881" s="1">
        <v>45326</v>
      </c>
      <c r="D881" s="1">
        <v>45376</v>
      </c>
      <c r="E881" s="1">
        <v>45377</v>
      </c>
      <c r="F881" t="s">
        <v>60</v>
      </c>
      <c r="G881" t="s">
        <v>39</v>
      </c>
      <c r="H881" t="s">
        <v>30</v>
      </c>
      <c r="I881">
        <v>50</v>
      </c>
      <c r="J881">
        <v>1</v>
      </c>
      <c r="K881">
        <v>7545</v>
      </c>
      <c r="L881">
        <v>7545</v>
      </c>
      <c r="M881" t="s">
        <v>24</v>
      </c>
      <c r="N881">
        <v>1</v>
      </c>
      <c r="O881" t="s">
        <v>25</v>
      </c>
    </row>
    <row r="882" spans="1:15" x14ac:dyDescent="0.35">
      <c r="A882">
        <v>1881</v>
      </c>
      <c r="B882" t="s">
        <v>364</v>
      </c>
      <c r="C882" s="1">
        <v>45593</v>
      </c>
      <c r="D882" s="1">
        <v>45627</v>
      </c>
      <c r="E882" s="1">
        <v>45632</v>
      </c>
      <c r="F882" t="s">
        <v>21</v>
      </c>
      <c r="G882" t="s">
        <v>22</v>
      </c>
      <c r="H882" t="s">
        <v>46</v>
      </c>
      <c r="I882">
        <v>34</v>
      </c>
      <c r="J882">
        <v>5</v>
      </c>
      <c r="K882">
        <v>4934</v>
      </c>
      <c r="L882">
        <v>24670</v>
      </c>
      <c r="M882" t="s">
        <v>24</v>
      </c>
      <c r="N882">
        <v>0</v>
      </c>
      <c r="O882" t="s">
        <v>31</v>
      </c>
    </row>
    <row r="883" spans="1:15" x14ac:dyDescent="0.35">
      <c r="A883">
        <v>1882</v>
      </c>
      <c r="B883" t="s">
        <v>752</v>
      </c>
      <c r="C883" s="1">
        <v>45360</v>
      </c>
      <c r="D883" s="1">
        <v>45411</v>
      </c>
      <c r="E883" s="1">
        <v>45414</v>
      </c>
      <c r="F883" t="s">
        <v>35</v>
      </c>
      <c r="G883" t="s">
        <v>22</v>
      </c>
      <c r="H883" t="s">
        <v>30</v>
      </c>
      <c r="I883">
        <v>51</v>
      </c>
      <c r="J883">
        <v>3</v>
      </c>
      <c r="K883">
        <v>5368</v>
      </c>
      <c r="L883">
        <v>16104</v>
      </c>
      <c r="M883" t="s">
        <v>51</v>
      </c>
      <c r="N883">
        <v>0</v>
      </c>
      <c r="O883" t="s">
        <v>31</v>
      </c>
    </row>
    <row r="884" spans="1:15" x14ac:dyDescent="0.35">
      <c r="A884">
        <v>1883</v>
      </c>
      <c r="B884" t="s">
        <v>753</v>
      </c>
      <c r="C884" s="1">
        <v>45640</v>
      </c>
      <c r="D884" s="1">
        <v>45653</v>
      </c>
      <c r="E884" s="1">
        <v>45656</v>
      </c>
      <c r="F884" t="s">
        <v>38</v>
      </c>
      <c r="G884" t="s">
        <v>22</v>
      </c>
      <c r="H884" t="s">
        <v>46</v>
      </c>
      <c r="I884">
        <v>13</v>
      </c>
      <c r="J884">
        <v>3</v>
      </c>
      <c r="K884">
        <v>5015</v>
      </c>
      <c r="L884">
        <v>15045</v>
      </c>
      <c r="M884" t="s">
        <v>24</v>
      </c>
      <c r="N884">
        <v>0</v>
      </c>
      <c r="O884" t="s">
        <v>31</v>
      </c>
    </row>
    <row r="885" spans="1:15" x14ac:dyDescent="0.35">
      <c r="A885">
        <v>1884</v>
      </c>
      <c r="B885" t="s">
        <v>637</v>
      </c>
      <c r="C885" s="1">
        <v>45611</v>
      </c>
      <c r="D885" s="1">
        <v>45665</v>
      </c>
      <c r="E885" s="1">
        <v>45670</v>
      </c>
      <c r="F885" t="s">
        <v>29</v>
      </c>
      <c r="G885" t="s">
        <v>22</v>
      </c>
      <c r="H885" t="s">
        <v>46</v>
      </c>
      <c r="I885">
        <v>54</v>
      </c>
      <c r="J885">
        <v>5</v>
      </c>
      <c r="K885">
        <v>3938</v>
      </c>
      <c r="L885">
        <v>19690</v>
      </c>
      <c r="M885" t="s">
        <v>51</v>
      </c>
      <c r="N885">
        <v>1</v>
      </c>
      <c r="O885" t="s">
        <v>31</v>
      </c>
    </row>
    <row r="886" spans="1:15" x14ac:dyDescent="0.35">
      <c r="A886">
        <v>1885</v>
      </c>
      <c r="B886" t="s">
        <v>754</v>
      </c>
      <c r="C886" s="1">
        <v>45340</v>
      </c>
      <c r="D886" s="1">
        <v>45341</v>
      </c>
      <c r="E886" s="1">
        <v>45346</v>
      </c>
      <c r="F886" t="s">
        <v>38</v>
      </c>
      <c r="G886" t="s">
        <v>39</v>
      </c>
      <c r="H886" t="s">
        <v>23</v>
      </c>
      <c r="I886">
        <v>1</v>
      </c>
      <c r="J886">
        <v>5</v>
      </c>
      <c r="K886">
        <v>6664</v>
      </c>
      <c r="L886">
        <v>33320</v>
      </c>
      <c r="M886" t="s">
        <v>51</v>
      </c>
      <c r="N886">
        <v>0</v>
      </c>
      <c r="O886" t="s">
        <v>25</v>
      </c>
    </row>
    <row r="887" spans="1:15" x14ac:dyDescent="0.35">
      <c r="A887">
        <v>1886</v>
      </c>
      <c r="B887" t="s">
        <v>475</v>
      </c>
      <c r="C887" s="1">
        <v>45365</v>
      </c>
      <c r="D887" s="1">
        <v>45399</v>
      </c>
      <c r="E887" s="1">
        <v>45401</v>
      </c>
      <c r="F887" t="s">
        <v>21</v>
      </c>
      <c r="G887" t="s">
        <v>39</v>
      </c>
      <c r="H887" t="s">
        <v>46</v>
      </c>
      <c r="I887">
        <v>34</v>
      </c>
      <c r="J887">
        <v>2</v>
      </c>
      <c r="K887">
        <v>6043</v>
      </c>
      <c r="L887">
        <v>12086</v>
      </c>
      <c r="M887" t="s">
        <v>24</v>
      </c>
      <c r="N887">
        <v>1</v>
      </c>
      <c r="O887" t="s">
        <v>25</v>
      </c>
    </row>
    <row r="888" spans="1:15" x14ac:dyDescent="0.35">
      <c r="A888">
        <v>1887</v>
      </c>
      <c r="B888" t="s">
        <v>755</v>
      </c>
      <c r="C888" s="1">
        <v>45483</v>
      </c>
      <c r="D888" s="1">
        <v>45512</v>
      </c>
      <c r="E888" s="1">
        <v>45517</v>
      </c>
      <c r="F888" t="s">
        <v>60</v>
      </c>
      <c r="G888" t="s">
        <v>22</v>
      </c>
      <c r="H888" t="s">
        <v>23</v>
      </c>
      <c r="I888">
        <v>29</v>
      </c>
      <c r="J888">
        <v>5</v>
      </c>
      <c r="K888">
        <v>5675</v>
      </c>
      <c r="L888">
        <v>28375</v>
      </c>
      <c r="M888" t="s">
        <v>24</v>
      </c>
      <c r="N888">
        <v>1</v>
      </c>
      <c r="O888" t="s">
        <v>25</v>
      </c>
    </row>
    <row r="889" spans="1:15" x14ac:dyDescent="0.35">
      <c r="A889">
        <v>1888</v>
      </c>
      <c r="B889" t="s">
        <v>292</v>
      </c>
      <c r="C889" s="1">
        <v>45552</v>
      </c>
      <c r="D889" s="1">
        <v>45600</v>
      </c>
      <c r="E889" s="1">
        <v>45604</v>
      </c>
      <c r="F889" t="s">
        <v>60</v>
      </c>
      <c r="G889" t="s">
        <v>22</v>
      </c>
      <c r="H889" t="s">
        <v>23</v>
      </c>
      <c r="I889">
        <v>48</v>
      </c>
      <c r="J889">
        <v>4</v>
      </c>
      <c r="K889">
        <v>4281</v>
      </c>
      <c r="L889">
        <v>17124</v>
      </c>
      <c r="M889" t="s">
        <v>51</v>
      </c>
      <c r="N889">
        <v>0</v>
      </c>
      <c r="O889" t="s">
        <v>31</v>
      </c>
    </row>
    <row r="890" spans="1:15" x14ac:dyDescent="0.35">
      <c r="A890">
        <v>1889</v>
      </c>
      <c r="B890" t="s">
        <v>221</v>
      </c>
      <c r="C890" s="1">
        <v>45647</v>
      </c>
      <c r="D890" s="1">
        <v>45694</v>
      </c>
      <c r="E890" s="1">
        <v>45699</v>
      </c>
      <c r="F890" t="s">
        <v>35</v>
      </c>
      <c r="G890" t="s">
        <v>39</v>
      </c>
      <c r="H890" t="s">
        <v>23</v>
      </c>
      <c r="I890">
        <v>47</v>
      </c>
      <c r="J890">
        <v>5</v>
      </c>
      <c r="K890">
        <v>8843</v>
      </c>
      <c r="L890">
        <v>44215</v>
      </c>
      <c r="M890" t="s">
        <v>51</v>
      </c>
      <c r="N890">
        <v>0</v>
      </c>
      <c r="O890" t="s">
        <v>31</v>
      </c>
    </row>
    <row r="891" spans="1:15" x14ac:dyDescent="0.35">
      <c r="A891">
        <v>1890</v>
      </c>
      <c r="B891" t="s">
        <v>756</v>
      </c>
      <c r="C891" s="1">
        <v>45361</v>
      </c>
      <c r="D891" s="1">
        <v>45374</v>
      </c>
      <c r="E891" s="1">
        <v>45378</v>
      </c>
      <c r="F891" t="s">
        <v>21</v>
      </c>
      <c r="G891" t="s">
        <v>22</v>
      </c>
      <c r="H891" t="s">
        <v>30</v>
      </c>
      <c r="I891">
        <v>13</v>
      </c>
      <c r="J891">
        <v>4</v>
      </c>
      <c r="K891">
        <v>4763</v>
      </c>
      <c r="L891">
        <v>19052</v>
      </c>
      <c r="M891" t="s">
        <v>51</v>
      </c>
      <c r="N891">
        <v>0</v>
      </c>
      <c r="O891" t="s">
        <v>25</v>
      </c>
    </row>
    <row r="892" spans="1:15" x14ac:dyDescent="0.35">
      <c r="A892">
        <v>1891</v>
      </c>
      <c r="B892" t="s">
        <v>757</v>
      </c>
      <c r="C892" s="1">
        <v>45381</v>
      </c>
      <c r="D892" s="1">
        <v>45429</v>
      </c>
      <c r="E892" s="1">
        <v>45434</v>
      </c>
      <c r="F892" t="s">
        <v>38</v>
      </c>
      <c r="G892" t="s">
        <v>22</v>
      </c>
      <c r="H892" t="s">
        <v>30</v>
      </c>
      <c r="I892">
        <v>48</v>
      </c>
      <c r="J892">
        <v>5</v>
      </c>
      <c r="K892">
        <v>4469</v>
      </c>
      <c r="L892">
        <v>22345</v>
      </c>
      <c r="M892" t="s">
        <v>24</v>
      </c>
      <c r="N892">
        <v>1</v>
      </c>
      <c r="O892" t="s">
        <v>25</v>
      </c>
    </row>
    <row r="893" spans="1:15" x14ac:dyDescent="0.35">
      <c r="A893">
        <v>1892</v>
      </c>
      <c r="B893" t="s">
        <v>251</v>
      </c>
      <c r="C893" s="1">
        <v>45551</v>
      </c>
      <c r="D893" s="1">
        <v>45600</v>
      </c>
      <c r="E893" s="1">
        <v>45602</v>
      </c>
      <c r="F893" t="s">
        <v>21</v>
      </c>
      <c r="G893" t="s">
        <v>22</v>
      </c>
      <c r="H893" t="s">
        <v>46</v>
      </c>
      <c r="I893">
        <v>49</v>
      </c>
      <c r="J893">
        <v>2</v>
      </c>
      <c r="K893">
        <v>2711</v>
      </c>
      <c r="L893">
        <v>5422</v>
      </c>
      <c r="M893" t="s">
        <v>24</v>
      </c>
      <c r="N893">
        <v>1</v>
      </c>
      <c r="O893" t="s">
        <v>31</v>
      </c>
    </row>
    <row r="894" spans="1:15" x14ac:dyDescent="0.35">
      <c r="A894">
        <v>1893</v>
      </c>
      <c r="B894" t="s">
        <v>758</v>
      </c>
      <c r="C894" s="1">
        <v>45417</v>
      </c>
      <c r="D894" s="1">
        <v>45470</v>
      </c>
      <c r="E894" s="1">
        <v>45474</v>
      </c>
      <c r="F894" t="s">
        <v>21</v>
      </c>
      <c r="G894" t="s">
        <v>22</v>
      </c>
      <c r="H894" t="s">
        <v>23</v>
      </c>
      <c r="I894">
        <v>53</v>
      </c>
      <c r="J894">
        <v>4</v>
      </c>
      <c r="K894">
        <v>3007</v>
      </c>
      <c r="L894">
        <v>12028</v>
      </c>
      <c r="M894" t="s">
        <v>51</v>
      </c>
      <c r="N894">
        <v>1</v>
      </c>
      <c r="O894" t="s">
        <v>25</v>
      </c>
    </row>
    <row r="895" spans="1:15" x14ac:dyDescent="0.35">
      <c r="A895">
        <v>1894</v>
      </c>
      <c r="B895" t="s">
        <v>759</v>
      </c>
      <c r="C895" s="1">
        <v>45522</v>
      </c>
      <c r="D895" s="1">
        <v>45551</v>
      </c>
      <c r="E895" s="1">
        <v>45552</v>
      </c>
      <c r="F895" t="s">
        <v>60</v>
      </c>
      <c r="G895" t="s">
        <v>22</v>
      </c>
      <c r="H895" t="s">
        <v>23</v>
      </c>
      <c r="I895">
        <v>29</v>
      </c>
      <c r="J895">
        <v>1</v>
      </c>
      <c r="K895">
        <v>8659</v>
      </c>
      <c r="L895">
        <v>8659</v>
      </c>
      <c r="M895" t="s">
        <v>51</v>
      </c>
      <c r="N895">
        <v>0</v>
      </c>
      <c r="O895" t="s">
        <v>25</v>
      </c>
    </row>
    <row r="896" spans="1:15" x14ac:dyDescent="0.35">
      <c r="A896">
        <v>1895</v>
      </c>
      <c r="B896" t="s">
        <v>446</v>
      </c>
      <c r="C896" s="1">
        <v>45586</v>
      </c>
      <c r="D896" s="1">
        <v>45625</v>
      </c>
      <c r="E896" s="1">
        <v>45629</v>
      </c>
      <c r="F896" t="s">
        <v>38</v>
      </c>
      <c r="G896" t="s">
        <v>22</v>
      </c>
      <c r="H896" t="s">
        <v>46</v>
      </c>
      <c r="I896">
        <v>39</v>
      </c>
      <c r="J896">
        <v>4</v>
      </c>
      <c r="K896">
        <v>8117</v>
      </c>
      <c r="L896">
        <v>32468</v>
      </c>
      <c r="M896" t="s">
        <v>51</v>
      </c>
      <c r="N896">
        <v>1</v>
      </c>
      <c r="O896" t="s">
        <v>31</v>
      </c>
    </row>
    <row r="897" spans="1:15" x14ac:dyDescent="0.35">
      <c r="A897">
        <v>1896</v>
      </c>
      <c r="B897" t="s">
        <v>760</v>
      </c>
      <c r="C897" s="1">
        <v>45420</v>
      </c>
      <c r="D897" s="1">
        <v>45444</v>
      </c>
      <c r="E897" s="1">
        <v>45446</v>
      </c>
      <c r="F897" t="s">
        <v>29</v>
      </c>
      <c r="G897" t="s">
        <v>39</v>
      </c>
      <c r="H897" t="s">
        <v>23</v>
      </c>
      <c r="I897">
        <v>24</v>
      </c>
      <c r="J897">
        <v>2</v>
      </c>
      <c r="K897">
        <v>2831</v>
      </c>
      <c r="L897">
        <v>5662</v>
      </c>
      <c r="M897" t="s">
        <v>24</v>
      </c>
      <c r="N897">
        <v>0</v>
      </c>
      <c r="O897" t="s">
        <v>31</v>
      </c>
    </row>
    <row r="898" spans="1:15" x14ac:dyDescent="0.35">
      <c r="A898">
        <v>1897</v>
      </c>
      <c r="B898" t="s">
        <v>761</v>
      </c>
      <c r="C898" s="1">
        <v>45571</v>
      </c>
      <c r="D898" s="1">
        <v>45597</v>
      </c>
      <c r="E898" s="1">
        <v>45601</v>
      </c>
      <c r="F898" t="s">
        <v>60</v>
      </c>
      <c r="G898" t="s">
        <v>39</v>
      </c>
      <c r="H898" t="s">
        <v>46</v>
      </c>
      <c r="I898">
        <v>26</v>
      </c>
      <c r="J898">
        <v>4</v>
      </c>
      <c r="K898">
        <v>3050</v>
      </c>
      <c r="L898">
        <v>12200</v>
      </c>
      <c r="M898" t="s">
        <v>51</v>
      </c>
      <c r="N898">
        <v>0</v>
      </c>
      <c r="O898" t="s">
        <v>31</v>
      </c>
    </row>
    <row r="899" spans="1:15" x14ac:dyDescent="0.35">
      <c r="A899">
        <v>1898</v>
      </c>
      <c r="B899" t="s">
        <v>762</v>
      </c>
      <c r="C899" s="1">
        <v>45604</v>
      </c>
      <c r="D899" s="1">
        <v>45621</v>
      </c>
      <c r="E899" s="1">
        <v>45626</v>
      </c>
      <c r="F899" t="s">
        <v>38</v>
      </c>
      <c r="G899" t="s">
        <v>39</v>
      </c>
      <c r="H899" t="s">
        <v>23</v>
      </c>
      <c r="I899">
        <v>17</v>
      </c>
      <c r="J899">
        <v>5</v>
      </c>
      <c r="K899">
        <v>8220</v>
      </c>
      <c r="L899">
        <v>41100</v>
      </c>
      <c r="M899" t="s">
        <v>51</v>
      </c>
      <c r="N899">
        <v>1</v>
      </c>
      <c r="O899" t="s">
        <v>25</v>
      </c>
    </row>
    <row r="900" spans="1:15" x14ac:dyDescent="0.35">
      <c r="A900">
        <v>1899</v>
      </c>
      <c r="B900" t="s">
        <v>330</v>
      </c>
      <c r="C900" s="1">
        <v>45391</v>
      </c>
      <c r="D900" s="1">
        <v>45398</v>
      </c>
      <c r="E900" s="1">
        <v>45403</v>
      </c>
      <c r="F900" t="s">
        <v>35</v>
      </c>
      <c r="G900" t="s">
        <v>39</v>
      </c>
      <c r="H900" t="s">
        <v>30</v>
      </c>
      <c r="I900">
        <v>7</v>
      </c>
      <c r="J900">
        <v>5</v>
      </c>
      <c r="K900">
        <v>3441</v>
      </c>
      <c r="L900">
        <v>17205</v>
      </c>
      <c r="M900" t="s">
        <v>51</v>
      </c>
      <c r="N900">
        <v>0</v>
      </c>
      <c r="O900" t="s">
        <v>31</v>
      </c>
    </row>
    <row r="901" spans="1:15" x14ac:dyDescent="0.35">
      <c r="A901">
        <v>1900</v>
      </c>
      <c r="B901" t="s">
        <v>389</v>
      </c>
      <c r="C901" s="1">
        <v>45617</v>
      </c>
      <c r="D901" s="1">
        <v>45630</v>
      </c>
      <c r="E901" s="1">
        <v>45632</v>
      </c>
      <c r="F901" t="s">
        <v>60</v>
      </c>
      <c r="G901" t="s">
        <v>22</v>
      </c>
      <c r="H901" t="s">
        <v>46</v>
      </c>
      <c r="I901">
        <v>13</v>
      </c>
      <c r="J901">
        <v>2</v>
      </c>
      <c r="K901">
        <v>8899</v>
      </c>
      <c r="L901">
        <v>17798</v>
      </c>
      <c r="M901" t="s">
        <v>51</v>
      </c>
      <c r="N901">
        <v>0</v>
      </c>
      <c r="O901" t="s">
        <v>25</v>
      </c>
    </row>
    <row r="902" spans="1:15" x14ac:dyDescent="0.35">
      <c r="A902">
        <v>1901</v>
      </c>
      <c r="B902" t="s">
        <v>741</v>
      </c>
      <c r="C902" s="1">
        <v>45588</v>
      </c>
      <c r="D902" s="1">
        <v>45593</v>
      </c>
      <c r="E902" s="1">
        <v>45596</v>
      </c>
      <c r="F902" t="s">
        <v>35</v>
      </c>
      <c r="G902" t="s">
        <v>22</v>
      </c>
      <c r="H902" t="s">
        <v>46</v>
      </c>
      <c r="I902">
        <v>5</v>
      </c>
      <c r="J902">
        <v>3</v>
      </c>
      <c r="K902">
        <v>3227</v>
      </c>
      <c r="L902">
        <v>9681</v>
      </c>
      <c r="M902" t="s">
        <v>24</v>
      </c>
      <c r="N902">
        <v>0</v>
      </c>
      <c r="O902" t="s">
        <v>25</v>
      </c>
    </row>
    <row r="903" spans="1:15" x14ac:dyDescent="0.35">
      <c r="A903">
        <v>1902</v>
      </c>
      <c r="B903" t="s">
        <v>701</v>
      </c>
      <c r="C903" s="1">
        <v>45473</v>
      </c>
      <c r="D903" s="1">
        <v>45499</v>
      </c>
      <c r="E903" s="1">
        <v>45504</v>
      </c>
      <c r="F903" t="s">
        <v>60</v>
      </c>
      <c r="G903" t="s">
        <v>39</v>
      </c>
      <c r="H903" t="s">
        <v>30</v>
      </c>
      <c r="I903">
        <v>26</v>
      </c>
      <c r="J903">
        <v>5</v>
      </c>
      <c r="K903">
        <v>7475</v>
      </c>
      <c r="L903">
        <v>37375</v>
      </c>
      <c r="M903" t="s">
        <v>51</v>
      </c>
      <c r="N903">
        <v>1</v>
      </c>
      <c r="O903" t="s">
        <v>31</v>
      </c>
    </row>
    <row r="904" spans="1:15" x14ac:dyDescent="0.35">
      <c r="A904">
        <v>1903</v>
      </c>
      <c r="B904" t="s">
        <v>763</v>
      </c>
      <c r="C904" s="1">
        <v>45465</v>
      </c>
      <c r="D904" s="1">
        <v>45514</v>
      </c>
      <c r="E904" s="1">
        <v>45515</v>
      </c>
      <c r="F904" t="s">
        <v>21</v>
      </c>
      <c r="G904" t="s">
        <v>39</v>
      </c>
      <c r="H904" t="s">
        <v>46</v>
      </c>
      <c r="I904">
        <v>49</v>
      </c>
      <c r="J904">
        <v>1</v>
      </c>
      <c r="K904">
        <v>5362</v>
      </c>
      <c r="L904">
        <v>5362</v>
      </c>
      <c r="M904" t="s">
        <v>24</v>
      </c>
      <c r="N904">
        <v>1</v>
      </c>
      <c r="O904" t="s">
        <v>25</v>
      </c>
    </row>
    <row r="905" spans="1:15" x14ac:dyDescent="0.35">
      <c r="A905">
        <v>1904</v>
      </c>
      <c r="B905" t="s">
        <v>764</v>
      </c>
      <c r="C905" s="1">
        <v>45607</v>
      </c>
      <c r="D905" s="1">
        <v>45610</v>
      </c>
      <c r="E905" s="1">
        <v>45612</v>
      </c>
      <c r="F905" t="s">
        <v>38</v>
      </c>
      <c r="G905" t="s">
        <v>39</v>
      </c>
      <c r="H905" t="s">
        <v>30</v>
      </c>
      <c r="I905">
        <v>3</v>
      </c>
      <c r="J905">
        <v>2</v>
      </c>
      <c r="K905">
        <v>5743</v>
      </c>
      <c r="L905">
        <v>11486</v>
      </c>
      <c r="M905" t="s">
        <v>24</v>
      </c>
      <c r="N905">
        <v>0</v>
      </c>
      <c r="O905" t="s">
        <v>31</v>
      </c>
    </row>
    <row r="906" spans="1:15" x14ac:dyDescent="0.35">
      <c r="A906">
        <v>1905</v>
      </c>
      <c r="B906" t="s">
        <v>729</v>
      </c>
      <c r="C906" s="1">
        <v>45655</v>
      </c>
      <c r="D906" s="1">
        <v>45662</v>
      </c>
      <c r="E906" s="1">
        <v>45666</v>
      </c>
      <c r="F906" t="s">
        <v>35</v>
      </c>
      <c r="G906" t="s">
        <v>39</v>
      </c>
      <c r="H906" t="s">
        <v>23</v>
      </c>
      <c r="I906">
        <v>7</v>
      </c>
      <c r="J906">
        <v>4</v>
      </c>
      <c r="K906">
        <v>3148</v>
      </c>
      <c r="L906">
        <v>12592</v>
      </c>
      <c r="M906" t="s">
        <v>51</v>
      </c>
      <c r="N906">
        <v>0</v>
      </c>
      <c r="O906" t="s">
        <v>31</v>
      </c>
    </row>
    <row r="907" spans="1:15" x14ac:dyDescent="0.35">
      <c r="A907">
        <v>1906</v>
      </c>
      <c r="B907" t="s">
        <v>458</v>
      </c>
      <c r="C907" s="1">
        <v>45479</v>
      </c>
      <c r="D907" s="1">
        <v>45537</v>
      </c>
      <c r="E907" s="1">
        <v>45541</v>
      </c>
      <c r="F907" t="s">
        <v>60</v>
      </c>
      <c r="G907" t="s">
        <v>39</v>
      </c>
      <c r="H907" t="s">
        <v>30</v>
      </c>
      <c r="I907">
        <v>58</v>
      </c>
      <c r="J907">
        <v>4</v>
      </c>
      <c r="K907">
        <v>7595</v>
      </c>
      <c r="L907">
        <v>30380</v>
      </c>
      <c r="M907" t="s">
        <v>24</v>
      </c>
      <c r="N907">
        <v>0</v>
      </c>
      <c r="O907" t="s">
        <v>25</v>
      </c>
    </row>
    <row r="908" spans="1:15" x14ac:dyDescent="0.35">
      <c r="A908">
        <v>1907</v>
      </c>
      <c r="B908" t="s">
        <v>765</v>
      </c>
      <c r="C908" s="1">
        <v>45348</v>
      </c>
      <c r="D908" s="1">
        <v>45397</v>
      </c>
      <c r="E908" s="1">
        <v>45398</v>
      </c>
      <c r="F908" t="s">
        <v>35</v>
      </c>
      <c r="G908" t="s">
        <v>22</v>
      </c>
      <c r="H908" t="s">
        <v>30</v>
      </c>
      <c r="I908">
        <v>49</v>
      </c>
      <c r="J908">
        <v>1</v>
      </c>
      <c r="K908">
        <v>8117</v>
      </c>
      <c r="L908">
        <v>8117</v>
      </c>
      <c r="M908" t="s">
        <v>51</v>
      </c>
      <c r="N908">
        <v>0</v>
      </c>
      <c r="O908" t="s">
        <v>25</v>
      </c>
    </row>
    <row r="909" spans="1:15" x14ac:dyDescent="0.35">
      <c r="A909">
        <v>1908</v>
      </c>
      <c r="B909" t="s">
        <v>766</v>
      </c>
      <c r="C909" s="1">
        <v>45322</v>
      </c>
      <c r="D909" s="1">
        <v>45361</v>
      </c>
      <c r="E909" s="1">
        <v>45366</v>
      </c>
      <c r="F909" t="s">
        <v>60</v>
      </c>
      <c r="G909" t="s">
        <v>22</v>
      </c>
      <c r="H909" t="s">
        <v>46</v>
      </c>
      <c r="I909">
        <v>39</v>
      </c>
      <c r="J909">
        <v>5</v>
      </c>
      <c r="K909">
        <v>5237</v>
      </c>
      <c r="L909">
        <v>26185</v>
      </c>
      <c r="M909" t="s">
        <v>51</v>
      </c>
      <c r="N909">
        <v>1</v>
      </c>
      <c r="O909" t="s">
        <v>31</v>
      </c>
    </row>
    <row r="910" spans="1:15" x14ac:dyDescent="0.35">
      <c r="A910">
        <v>1909</v>
      </c>
      <c r="B910" t="s">
        <v>767</v>
      </c>
      <c r="C910" s="1">
        <v>45375</v>
      </c>
      <c r="D910" s="1">
        <v>45428</v>
      </c>
      <c r="E910" s="1">
        <v>45430</v>
      </c>
      <c r="F910" t="s">
        <v>60</v>
      </c>
      <c r="G910" t="s">
        <v>39</v>
      </c>
      <c r="H910" t="s">
        <v>23</v>
      </c>
      <c r="I910">
        <v>53</v>
      </c>
      <c r="J910">
        <v>2</v>
      </c>
      <c r="K910">
        <v>8208</v>
      </c>
      <c r="L910">
        <v>16416</v>
      </c>
      <c r="M910" t="s">
        <v>51</v>
      </c>
      <c r="N910">
        <v>1</v>
      </c>
      <c r="O910" t="s">
        <v>31</v>
      </c>
    </row>
    <row r="911" spans="1:15" x14ac:dyDescent="0.35">
      <c r="A911">
        <v>1910</v>
      </c>
      <c r="B911" t="s">
        <v>768</v>
      </c>
      <c r="C911" s="1">
        <v>45443</v>
      </c>
      <c r="D911" s="1">
        <v>45444</v>
      </c>
      <c r="E911" s="1">
        <v>45445</v>
      </c>
      <c r="F911" t="s">
        <v>29</v>
      </c>
      <c r="G911" t="s">
        <v>39</v>
      </c>
      <c r="H911" t="s">
        <v>30</v>
      </c>
      <c r="I911">
        <v>1</v>
      </c>
      <c r="J911">
        <v>1</v>
      </c>
      <c r="K911">
        <v>5247</v>
      </c>
      <c r="L911">
        <v>5247</v>
      </c>
      <c r="M911" t="s">
        <v>51</v>
      </c>
      <c r="N911">
        <v>0</v>
      </c>
      <c r="O911" t="s">
        <v>31</v>
      </c>
    </row>
    <row r="912" spans="1:15" x14ac:dyDescent="0.35">
      <c r="A912">
        <v>1911</v>
      </c>
      <c r="B912" t="s">
        <v>769</v>
      </c>
      <c r="C912" s="1">
        <v>45327</v>
      </c>
      <c r="D912" s="1">
        <v>45376</v>
      </c>
      <c r="E912" s="1">
        <v>45381</v>
      </c>
      <c r="F912" t="s">
        <v>29</v>
      </c>
      <c r="G912" t="s">
        <v>22</v>
      </c>
      <c r="H912" t="s">
        <v>23</v>
      </c>
      <c r="I912">
        <v>49</v>
      </c>
      <c r="J912">
        <v>5</v>
      </c>
      <c r="K912">
        <v>3509</v>
      </c>
      <c r="L912">
        <v>17545</v>
      </c>
      <c r="M912" t="s">
        <v>51</v>
      </c>
      <c r="N912">
        <v>0</v>
      </c>
      <c r="O912" t="s">
        <v>31</v>
      </c>
    </row>
    <row r="913" spans="1:15" x14ac:dyDescent="0.35">
      <c r="A913">
        <v>1912</v>
      </c>
      <c r="B913" t="s">
        <v>770</v>
      </c>
      <c r="C913" s="1">
        <v>45504</v>
      </c>
      <c r="D913" s="1">
        <v>45521</v>
      </c>
      <c r="E913" s="1">
        <v>45523</v>
      </c>
      <c r="F913" t="s">
        <v>29</v>
      </c>
      <c r="G913" t="s">
        <v>22</v>
      </c>
      <c r="H913" t="s">
        <v>30</v>
      </c>
      <c r="I913">
        <v>17</v>
      </c>
      <c r="J913">
        <v>2</v>
      </c>
      <c r="K913">
        <v>4050</v>
      </c>
      <c r="L913">
        <v>8100</v>
      </c>
      <c r="M913" t="s">
        <v>24</v>
      </c>
      <c r="N913">
        <v>1</v>
      </c>
      <c r="O913" t="s">
        <v>31</v>
      </c>
    </row>
    <row r="914" spans="1:15" x14ac:dyDescent="0.35">
      <c r="A914">
        <v>1913</v>
      </c>
      <c r="B914" t="s">
        <v>468</v>
      </c>
      <c r="C914" s="1">
        <v>45655</v>
      </c>
      <c r="D914" s="1">
        <v>45698</v>
      </c>
      <c r="E914" s="1">
        <v>45702</v>
      </c>
      <c r="F914" t="s">
        <v>35</v>
      </c>
      <c r="G914" t="s">
        <v>22</v>
      </c>
      <c r="H914" t="s">
        <v>46</v>
      </c>
      <c r="I914">
        <v>43</v>
      </c>
      <c r="J914">
        <v>4</v>
      </c>
      <c r="K914">
        <v>3303</v>
      </c>
      <c r="L914">
        <v>13212</v>
      </c>
      <c r="M914" t="s">
        <v>24</v>
      </c>
      <c r="N914">
        <v>1</v>
      </c>
      <c r="O914" t="s">
        <v>31</v>
      </c>
    </row>
    <row r="915" spans="1:15" x14ac:dyDescent="0.35">
      <c r="A915">
        <v>1914</v>
      </c>
      <c r="B915" t="s">
        <v>771</v>
      </c>
      <c r="C915" s="1">
        <v>45397</v>
      </c>
      <c r="D915" s="1">
        <v>45422</v>
      </c>
      <c r="E915" s="1">
        <v>45424</v>
      </c>
      <c r="F915" t="s">
        <v>21</v>
      </c>
      <c r="G915" t="s">
        <v>39</v>
      </c>
      <c r="H915" t="s">
        <v>30</v>
      </c>
      <c r="I915">
        <v>25</v>
      </c>
      <c r="J915">
        <v>2</v>
      </c>
      <c r="K915">
        <v>6580</v>
      </c>
      <c r="L915">
        <v>13160</v>
      </c>
      <c r="M915" t="s">
        <v>51</v>
      </c>
      <c r="N915">
        <v>1</v>
      </c>
      <c r="O915" t="s">
        <v>25</v>
      </c>
    </row>
    <row r="916" spans="1:15" x14ac:dyDescent="0.35">
      <c r="A916">
        <v>1915</v>
      </c>
      <c r="B916" t="s">
        <v>772</v>
      </c>
      <c r="C916" s="1">
        <v>45633</v>
      </c>
      <c r="D916" s="1">
        <v>45692</v>
      </c>
      <c r="E916" s="1">
        <v>45695</v>
      </c>
      <c r="F916" t="s">
        <v>60</v>
      </c>
      <c r="G916" t="s">
        <v>22</v>
      </c>
      <c r="H916" t="s">
        <v>30</v>
      </c>
      <c r="I916">
        <v>59</v>
      </c>
      <c r="J916">
        <v>3</v>
      </c>
      <c r="K916">
        <v>6809</v>
      </c>
      <c r="L916">
        <v>20427</v>
      </c>
      <c r="M916" t="s">
        <v>24</v>
      </c>
      <c r="N916">
        <v>0</v>
      </c>
      <c r="O916" t="s">
        <v>25</v>
      </c>
    </row>
    <row r="917" spans="1:15" x14ac:dyDescent="0.35">
      <c r="A917">
        <v>1916</v>
      </c>
      <c r="B917" t="s">
        <v>773</v>
      </c>
      <c r="C917" s="1">
        <v>45511</v>
      </c>
      <c r="D917" s="1">
        <v>45514</v>
      </c>
      <c r="E917" s="1">
        <v>45516</v>
      </c>
      <c r="F917" t="s">
        <v>38</v>
      </c>
      <c r="G917" t="s">
        <v>39</v>
      </c>
      <c r="H917" t="s">
        <v>23</v>
      </c>
      <c r="I917">
        <v>3</v>
      </c>
      <c r="J917">
        <v>2</v>
      </c>
      <c r="K917">
        <v>6764</v>
      </c>
      <c r="L917">
        <v>13528</v>
      </c>
      <c r="M917" t="s">
        <v>51</v>
      </c>
      <c r="N917">
        <v>1</v>
      </c>
      <c r="O917" t="s">
        <v>25</v>
      </c>
    </row>
    <row r="918" spans="1:15" x14ac:dyDescent="0.35">
      <c r="A918">
        <v>1917</v>
      </c>
      <c r="B918" t="s">
        <v>774</v>
      </c>
      <c r="C918" s="1">
        <v>45454</v>
      </c>
      <c r="D918" s="1">
        <v>45469</v>
      </c>
      <c r="E918" s="1">
        <v>45472</v>
      </c>
      <c r="F918" t="s">
        <v>29</v>
      </c>
      <c r="G918" t="s">
        <v>39</v>
      </c>
      <c r="H918" t="s">
        <v>30</v>
      </c>
      <c r="I918">
        <v>15</v>
      </c>
      <c r="J918">
        <v>3</v>
      </c>
      <c r="K918">
        <v>5901</v>
      </c>
      <c r="L918">
        <v>17703</v>
      </c>
      <c r="M918" t="s">
        <v>24</v>
      </c>
      <c r="N918">
        <v>0</v>
      </c>
      <c r="O918" t="s">
        <v>25</v>
      </c>
    </row>
    <row r="919" spans="1:15" x14ac:dyDescent="0.35">
      <c r="A919">
        <v>1918</v>
      </c>
      <c r="B919" t="s">
        <v>775</v>
      </c>
      <c r="C919" s="1">
        <v>45511</v>
      </c>
      <c r="D919" s="1">
        <v>45540</v>
      </c>
      <c r="E919" s="1">
        <v>45542</v>
      </c>
      <c r="F919" t="s">
        <v>35</v>
      </c>
      <c r="G919" t="s">
        <v>22</v>
      </c>
      <c r="H919" t="s">
        <v>46</v>
      </c>
      <c r="I919">
        <v>29</v>
      </c>
      <c r="J919">
        <v>2</v>
      </c>
      <c r="K919">
        <v>7573</v>
      </c>
      <c r="L919">
        <v>15146</v>
      </c>
      <c r="M919" t="s">
        <v>24</v>
      </c>
      <c r="N919">
        <v>0</v>
      </c>
      <c r="O919" t="s">
        <v>31</v>
      </c>
    </row>
    <row r="920" spans="1:15" x14ac:dyDescent="0.35">
      <c r="A920">
        <v>1919</v>
      </c>
      <c r="B920" t="s">
        <v>776</v>
      </c>
      <c r="C920" s="1">
        <v>45561</v>
      </c>
      <c r="D920" s="1">
        <v>45614</v>
      </c>
      <c r="E920" s="1">
        <v>45617</v>
      </c>
      <c r="F920" t="s">
        <v>35</v>
      </c>
      <c r="G920" t="s">
        <v>22</v>
      </c>
      <c r="H920" t="s">
        <v>46</v>
      </c>
      <c r="I920">
        <v>53</v>
      </c>
      <c r="J920">
        <v>3</v>
      </c>
      <c r="K920">
        <v>7924</v>
      </c>
      <c r="L920">
        <v>23772</v>
      </c>
      <c r="M920" t="s">
        <v>51</v>
      </c>
      <c r="N920">
        <v>1</v>
      </c>
      <c r="O920" t="s">
        <v>25</v>
      </c>
    </row>
    <row r="921" spans="1:15" x14ac:dyDescent="0.35">
      <c r="A921">
        <v>1920</v>
      </c>
      <c r="B921" t="s">
        <v>777</v>
      </c>
      <c r="C921" s="1">
        <v>45411</v>
      </c>
      <c r="D921" s="1">
        <v>45454</v>
      </c>
      <c r="E921" s="1">
        <v>45458</v>
      </c>
      <c r="F921" t="s">
        <v>35</v>
      </c>
      <c r="G921" t="s">
        <v>22</v>
      </c>
      <c r="H921" t="s">
        <v>30</v>
      </c>
      <c r="I921">
        <v>43</v>
      </c>
      <c r="J921">
        <v>4</v>
      </c>
      <c r="K921">
        <v>6741</v>
      </c>
      <c r="L921">
        <v>26964</v>
      </c>
      <c r="M921" t="s">
        <v>24</v>
      </c>
      <c r="N921">
        <v>1</v>
      </c>
      <c r="O921" t="s">
        <v>25</v>
      </c>
    </row>
    <row r="922" spans="1:15" x14ac:dyDescent="0.35">
      <c r="A922">
        <v>1921</v>
      </c>
      <c r="B922" t="s">
        <v>535</v>
      </c>
      <c r="C922" s="1">
        <v>45627</v>
      </c>
      <c r="D922" s="1">
        <v>45659</v>
      </c>
      <c r="E922" s="1">
        <v>45664</v>
      </c>
      <c r="F922" t="s">
        <v>38</v>
      </c>
      <c r="G922" t="s">
        <v>39</v>
      </c>
      <c r="H922" t="s">
        <v>30</v>
      </c>
      <c r="I922">
        <v>32</v>
      </c>
      <c r="J922">
        <v>5</v>
      </c>
      <c r="K922">
        <v>8394</v>
      </c>
      <c r="L922">
        <v>41970</v>
      </c>
      <c r="M922" t="s">
        <v>24</v>
      </c>
      <c r="N922">
        <v>1</v>
      </c>
      <c r="O922" t="s">
        <v>31</v>
      </c>
    </row>
    <row r="923" spans="1:15" x14ac:dyDescent="0.35">
      <c r="A923">
        <v>1922</v>
      </c>
      <c r="B923" t="s">
        <v>778</v>
      </c>
      <c r="C923" s="1">
        <v>45473</v>
      </c>
      <c r="D923" s="1">
        <v>45499</v>
      </c>
      <c r="E923" s="1">
        <v>45502</v>
      </c>
      <c r="F923" t="s">
        <v>38</v>
      </c>
      <c r="G923" t="s">
        <v>22</v>
      </c>
      <c r="H923" t="s">
        <v>23</v>
      </c>
      <c r="I923">
        <v>26</v>
      </c>
      <c r="J923">
        <v>3</v>
      </c>
      <c r="K923">
        <v>7111</v>
      </c>
      <c r="L923">
        <v>21333</v>
      </c>
      <c r="M923" t="s">
        <v>24</v>
      </c>
      <c r="N923">
        <v>0</v>
      </c>
      <c r="O923" t="s">
        <v>25</v>
      </c>
    </row>
    <row r="924" spans="1:15" x14ac:dyDescent="0.35">
      <c r="A924">
        <v>1923</v>
      </c>
      <c r="B924" t="s">
        <v>779</v>
      </c>
      <c r="C924" s="1">
        <v>45397</v>
      </c>
      <c r="D924" s="1">
        <v>45413</v>
      </c>
      <c r="E924" s="1">
        <v>45416</v>
      </c>
      <c r="F924" t="s">
        <v>29</v>
      </c>
      <c r="G924" t="s">
        <v>22</v>
      </c>
      <c r="H924" t="s">
        <v>23</v>
      </c>
      <c r="I924">
        <v>16</v>
      </c>
      <c r="J924">
        <v>3</v>
      </c>
      <c r="K924">
        <v>5661</v>
      </c>
      <c r="L924">
        <v>16983</v>
      </c>
      <c r="M924" t="s">
        <v>51</v>
      </c>
      <c r="N924">
        <v>1</v>
      </c>
      <c r="O924" t="s">
        <v>31</v>
      </c>
    </row>
    <row r="925" spans="1:15" x14ac:dyDescent="0.35">
      <c r="A925">
        <v>1924</v>
      </c>
      <c r="B925" t="s">
        <v>780</v>
      </c>
      <c r="C925" s="1">
        <v>45508</v>
      </c>
      <c r="D925" s="1">
        <v>45533</v>
      </c>
      <c r="E925" s="1">
        <v>45537</v>
      </c>
      <c r="F925" t="s">
        <v>38</v>
      </c>
      <c r="G925" t="s">
        <v>39</v>
      </c>
      <c r="H925" t="s">
        <v>46</v>
      </c>
      <c r="I925">
        <v>25</v>
      </c>
      <c r="J925">
        <v>4</v>
      </c>
      <c r="K925">
        <v>7048</v>
      </c>
      <c r="L925">
        <v>28192</v>
      </c>
      <c r="M925" t="s">
        <v>24</v>
      </c>
      <c r="N925">
        <v>0</v>
      </c>
      <c r="O925" t="s">
        <v>31</v>
      </c>
    </row>
    <row r="926" spans="1:15" x14ac:dyDescent="0.35">
      <c r="A926">
        <v>1925</v>
      </c>
      <c r="B926" t="s">
        <v>781</v>
      </c>
      <c r="C926" s="1">
        <v>45496</v>
      </c>
      <c r="D926" s="1">
        <v>45550</v>
      </c>
      <c r="E926" s="1">
        <v>45553</v>
      </c>
      <c r="F926" t="s">
        <v>29</v>
      </c>
      <c r="G926" t="s">
        <v>22</v>
      </c>
      <c r="H926" t="s">
        <v>23</v>
      </c>
      <c r="I926">
        <v>54</v>
      </c>
      <c r="J926">
        <v>3</v>
      </c>
      <c r="K926">
        <v>6655</v>
      </c>
      <c r="L926">
        <v>19965</v>
      </c>
      <c r="M926" t="s">
        <v>24</v>
      </c>
      <c r="N926">
        <v>1</v>
      </c>
      <c r="O926" t="s">
        <v>31</v>
      </c>
    </row>
    <row r="927" spans="1:15" x14ac:dyDescent="0.35">
      <c r="A927">
        <v>1926</v>
      </c>
      <c r="B927" t="s">
        <v>217</v>
      </c>
      <c r="C927" s="1">
        <v>45361</v>
      </c>
      <c r="D927" s="1">
        <v>45389</v>
      </c>
      <c r="E927" s="1">
        <v>45390</v>
      </c>
      <c r="F927" t="s">
        <v>38</v>
      </c>
      <c r="G927" t="s">
        <v>22</v>
      </c>
      <c r="H927" t="s">
        <v>30</v>
      </c>
      <c r="I927">
        <v>28</v>
      </c>
      <c r="J927">
        <v>1</v>
      </c>
      <c r="K927">
        <v>3027</v>
      </c>
      <c r="L927">
        <v>3027</v>
      </c>
      <c r="M927" t="s">
        <v>24</v>
      </c>
      <c r="N927">
        <v>1</v>
      </c>
      <c r="O927" t="s">
        <v>31</v>
      </c>
    </row>
    <row r="928" spans="1:15" x14ac:dyDescent="0.35">
      <c r="A928">
        <v>1927</v>
      </c>
      <c r="B928" t="s">
        <v>782</v>
      </c>
      <c r="C928" s="1">
        <v>45335</v>
      </c>
      <c r="D928" s="1">
        <v>45344</v>
      </c>
      <c r="E928" s="1">
        <v>45348</v>
      </c>
      <c r="F928" t="s">
        <v>38</v>
      </c>
      <c r="G928" t="s">
        <v>39</v>
      </c>
      <c r="H928" t="s">
        <v>46</v>
      </c>
      <c r="I928">
        <v>9</v>
      </c>
      <c r="J928">
        <v>4</v>
      </c>
      <c r="K928">
        <v>5798</v>
      </c>
      <c r="L928">
        <v>23192</v>
      </c>
      <c r="M928" t="s">
        <v>24</v>
      </c>
      <c r="N928">
        <v>1</v>
      </c>
      <c r="O928" t="s">
        <v>31</v>
      </c>
    </row>
    <row r="929" spans="1:15" x14ac:dyDescent="0.35">
      <c r="A929">
        <v>1928</v>
      </c>
      <c r="B929" t="s">
        <v>503</v>
      </c>
      <c r="C929" s="1">
        <v>45620</v>
      </c>
      <c r="D929" s="1">
        <v>45676</v>
      </c>
      <c r="E929" s="1">
        <v>45677</v>
      </c>
      <c r="F929" t="s">
        <v>38</v>
      </c>
      <c r="G929" t="s">
        <v>39</v>
      </c>
      <c r="H929" t="s">
        <v>23</v>
      </c>
      <c r="I929">
        <v>56</v>
      </c>
      <c r="J929">
        <v>1</v>
      </c>
      <c r="K929">
        <v>3523</v>
      </c>
      <c r="L929">
        <v>3523</v>
      </c>
      <c r="M929" t="s">
        <v>24</v>
      </c>
      <c r="N929">
        <v>1</v>
      </c>
      <c r="O929" t="s">
        <v>25</v>
      </c>
    </row>
    <row r="930" spans="1:15" x14ac:dyDescent="0.35">
      <c r="A930">
        <v>1929</v>
      </c>
      <c r="B930" t="s">
        <v>783</v>
      </c>
      <c r="C930" s="1">
        <v>45592</v>
      </c>
      <c r="D930" s="1">
        <v>45648</v>
      </c>
      <c r="E930" s="1">
        <v>45652</v>
      </c>
      <c r="F930" t="s">
        <v>29</v>
      </c>
      <c r="G930" t="s">
        <v>39</v>
      </c>
      <c r="H930" t="s">
        <v>46</v>
      </c>
      <c r="I930">
        <v>56</v>
      </c>
      <c r="J930">
        <v>4</v>
      </c>
      <c r="K930">
        <v>8160</v>
      </c>
      <c r="L930">
        <v>32640</v>
      </c>
      <c r="M930" t="s">
        <v>24</v>
      </c>
      <c r="N930">
        <v>1</v>
      </c>
      <c r="O930" t="s">
        <v>25</v>
      </c>
    </row>
    <row r="931" spans="1:15" x14ac:dyDescent="0.35">
      <c r="A931">
        <v>1930</v>
      </c>
      <c r="B931" t="s">
        <v>784</v>
      </c>
      <c r="C931" s="1">
        <v>45519</v>
      </c>
      <c r="D931" s="1">
        <v>45520</v>
      </c>
      <c r="E931" s="1">
        <v>45523</v>
      </c>
      <c r="F931" t="s">
        <v>60</v>
      </c>
      <c r="G931" t="s">
        <v>39</v>
      </c>
      <c r="H931" t="s">
        <v>30</v>
      </c>
      <c r="I931">
        <v>1</v>
      </c>
      <c r="J931">
        <v>3</v>
      </c>
      <c r="K931">
        <v>6234</v>
      </c>
      <c r="L931">
        <v>18702</v>
      </c>
      <c r="M931" t="s">
        <v>24</v>
      </c>
      <c r="N931">
        <v>0</v>
      </c>
      <c r="O931" t="s">
        <v>25</v>
      </c>
    </row>
    <row r="932" spans="1:15" x14ac:dyDescent="0.35">
      <c r="A932">
        <v>1931</v>
      </c>
      <c r="B932" t="s">
        <v>785</v>
      </c>
      <c r="C932" s="1">
        <v>45475</v>
      </c>
      <c r="D932" s="1">
        <v>45504</v>
      </c>
      <c r="E932" s="1">
        <v>45505</v>
      </c>
      <c r="F932" t="s">
        <v>29</v>
      </c>
      <c r="G932" t="s">
        <v>39</v>
      </c>
      <c r="H932" t="s">
        <v>23</v>
      </c>
      <c r="I932">
        <v>29</v>
      </c>
      <c r="J932">
        <v>1</v>
      </c>
      <c r="K932">
        <v>7698</v>
      </c>
      <c r="L932">
        <v>7698</v>
      </c>
      <c r="M932" t="s">
        <v>24</v>
      </c>
      <c r="N932">
        <v>0</v>
      </c>
      <c r="O932" t="s">
        <v>31</v>
      </c>
    </row>
    <row r="933" spans="1:15" x14ac:dyDescent="0.35">
      <c r="A933">
        <v>1932</v>
      </c>
      <c r="B933" t="s">
        <v>282</v>
      </c>
      <c r="C933" s="1">
        <v>45398</v>
      </c>
      <c r="D933" s="1">
        <v>45455</v>
      </c>
      <c r="E933" s="1">
        <v>45458</v>
      </c>
      <c r="F933" t="s">
        <v>60</v>
      </c>
      <c r="G933" t="s">
        <v>22</v>
      </c>
      <c r="H933" t="s">
        <v>30</v>
      </c>
      <c r="I933">
        <v>57</v>
      </c>
      <c r="J933">
        <v>3</v>
      </c>
      <c r="K933">
        <v>2932</v>
      </c>
      <c r="L933">
        <v>8796</v>
      </c>
      <c r="M933" t="s">
        <v>24</v>
      </c>
      <c r="N933">
        <v>1</v>
      </c>
      <c r="O933" t="s">
        <v>25</v>
      </c>
    </row>
    <row r="934" spans="1:15" x14ac:dyDescent="0.35">
      <c r="A934">
        <v>1933</v>
      </c>
      <c r="B934" t="s">
        <v>786</v>
      </c>
      <c r="C934" s="1">
        <v>45375</v>
      </c>
      <c r="D934" s="1">
        <v>45397</v>
      </c>
      <c r="E934" s="1">
        <v>45401</v>
      </c>
      <c r="F934" t="s">
        <v>35</v>
      </c>
      <c r="G934" t="s">
        <v>22</v>
      </c>
      <c r="H934" t="s">
        <v>30</v>
      </c>
      <c r="I934">
        <v>22</v>
      </c>
      <c r="J934">
        <v>4</v>
      </c>
      <c r="K934">
        <v>3676</v>
      </c>
      <c r="L934">
        <v>14704</v>
      </c>
      <c r="M934" t="s">
        <v>51</v>
      </c>
      <c r="N934">
        <v>0</v>
      </c>
      <c r="O934" t="s">
        <v>25</v>
      </c>
    </row>
    <row r="935" spans="1:15" x14ac:dyDescent="0.35">
      <c r="A935">
        <v>1934</v>
      </c>
      <c r="B935" t="s">
        <v>787</v>
      </c>
      <c r="C935" s="1">
        <v>45629</v>
      </c>
      <c r="D935" s="1">
        <v>45645</v>
      </c>
      <c r="E935" s="1">
        <v>45648</v>
      </c>
      <c r="F935" t="s">
        <v>35</v>
      </c>
      <c r="G935" t="s">
        <v>39</v>
      </c>
      <c r="H935" t="s">
        <v>46</v>
      </c>
      <c r="I935">
        <v>16</v>
      </c>
      <c r="J935">
        <v>3</v>
      </c>
      <c r="K935">
        <v>2900</v>
      </c>
      <c r="L935">
        <v>8700</v>
      </c>
      <c r="M935" t="s">
        <v>24</v>
      </c>
      <c r="N935">
        <v>0</v>
      </c>
      <c r="O935" t="s">
        <v>25</v>
      </c>
    </row>
    <row r="936" spans="1:15" x14ac:dyDescent="0.35">
      <c r="A936">
        <v>1935</v>
      </c>
      <c r="B936" t="s">
        <v>782</v>
      </c>
      <c r="C936" s="1">
        <v>45541</v>
      </c>
      <c r="D936" s="1">
        <v>45582</v>
      </c>
      <c r="E936" s="1">
        <v>45583</v>
      </c>
      <c r="F936" t="s">
        <v>29</v>
      </c>
      <c r="G936" t="s">
        <v>22</v>
      </c>
      <c r="H936" t="s">
        <v>46</v>
      </c>
      <c r="I936">
        <v>41</v>
      </c>
      <c r="J936">
        <v>1</v>
      </c>
      <c r="K936">
        <v>4604</v>
      </c>
      <c r="L936">
        <v>4604</v>
      </c>
      <c r="M936" t="s">
        <v>24</v>
      </c>
      <c r="N936">
        <v>0</v>
      </c>
      <c r="O936" t="s">
        <v>25</v>
      </c>
    </row>
    <row r="937" spans="1:15" x14ac:dyDescent="0.35">
      <c r="A937">
        <v>1936</v>
      </c>
      <c r="B937" t="s">
        <v>285</v>
      </c>
      <c r="C937" s="1">
        <v>45654</v>
      </c>
      <c r="D937" s="1">
        <v>45705</v>
      </c>
      <c r="E937" s="1">
        <v>45706</v>
      </c>
      <c r="F937" t="s">
        <v>60</v>
      </c>
      <c r="G937" t="s">
        <v>22</v>
      </c>
      <c r="H937" t="s">
        <v>46</v>
      </c>
      <c r="I937">
        <v>51</v>
      </c>
      <c r="J937">
        <v>1</v>
      </c>
      <c r="K937">
        <v>5550</v>
      </c>
      <c r="L937">
        <v>5550</v>
      </c>
      <c r="M937" t="s">
        <v>24</v>
      </c>
      <c r="N937">
        <v>1</v>
      </c>
      <c r="O937" t="s">
        <v>31</v>
      </c>
    </row>
    <row r="938" spans="1:15" x14ac:dyDescent="0.35">
      <c r="A938">
        <v>1937</v>
      </c>
      <c r="B938" t="s">
        <v>788</v>
      </c>
      <c r="C938" s="1">
        <v>45312</v>
      </c>
      <c r="D938" s="1">
        <v>45356</v>
      </c>
      <c r="E938" s="1">
        <v>45359</v>
      </c>
      <c r="F938" t="s">
        <v>60</v>
      </c>
      <c r="G938" t="s">
        <v>39</v>
      </c>
      <c r="H938" t="s">
        <v>23</v>
      </c>
      <c r="I938">
        <v>44</v>
      </c>
      <c r="J938">
        <v>3</v>
      </c>
      <c r="K938">
        <v>4733</v>
      </c>
      <c r="L938">
        <v>14199</v>
      </c>
      <c r="M938" t="s">
        <v>24</v>
      </c>
      <c r="N938">
        <v>1</v>
      </c>
      <c r="O938" t="s">
        <v>25</v>
      </c>
    </row>
    <row r="939" spans="1:15" x14ac:dyDescent="0.35">
      <c r="A939">
        <v>1938</v>
      </c>
      <c r="B939" t="s">
        <v>673</v>
      </c>
      <c r="C939" s="1">
        <v>45487</v>
      </c>
      <c r="D939" s="1">
        <v>45538</v>
      </c>
      <c r="E939" s="1">
        <v>45540</v>
      </c>
      <c r="F939" t="s">
        <v>60</v>
      </c>
      <c r="G939" t="s">
        <v>39</v>
      </c>
      <c r="H939" t="s">
        <v>23</v>
      </c>
      <c r="I939">
        <v>51</v>
      </c>
      <c r="J939">
        <v>2</v>
      </c>
      <c r="K939">
        <v>4945</v>
      </c>
      <c r="L939">
        <v>9890</v>
      </c>
      <c r="M939" t="s">
        <v>24</v>
      </c>
      <c r="N939">
        <v>1</v>
      </c>
      <c r="O939" t="s">
        <v>31</v>
      </c>
    </row>
    <row r="940" spans="1:15" x14ac:dyDescent="0.35">
      <c r="A940">
        <v>1939</v>
      </c>
      <c r="B940" t="s">
        <v>789</v>
      </c>
      <c r="C940" s="1">
        <v>45469</v>
      </c>
      <c r="D940" s="1">
        <v>45523</v>
      </c>
      <c r="E940" s="1">
        <v>45527</v>
      </c>
      <c r="F940" t="s">
        <v>35</v>
      </c>
      <c r="G940" t="s">
        <v>39</v>
      </c>
      <c r="H940" t="s">
        <v>46</v>
      </c>
      <c r="I940">
        <v>54</v>
      </c>
      <c r="J940">
        <v>4</v>
      </c>
      <c r="K940">
        <v>7200</v>
      </c>
      <c r="L940">
        <v>28800</v>
      </c>
      <c r="M940" t="s">
        <v>51</v>
      </c>
      <c r="N940">
        <v>1</v>
      </c>
      <c r="O940" t="s">
        <v>31</v>
      </c>
    </row>
    <row r="941" spans="1:15" x14ac:dyDescent="0.35">
      <c r="A941">
        <v>1940</v>
      </c>
      <c r="B941" t="s">
        <v>790</v>
      </c>
      <c r="C941" s="1">
        <v>45298</v>
      </c>
      <c r="D941" s="1">
        <v>45339</v>
      </c>
      <c r="E941" s="1">
        <v>45343</v>
      </c>
      <c r="F941" t="s">
        <v>29</v>
      </c>
      <c r="G941" t="s">
        <v>22</v>
      </c>
      <c r="H941" t="s">
        <v>23</v>
      </c>
      <c r="I941">
        <v>41</v>
      </c>
      <c r="J941">
        <v>4</v>
      </c>
      <c r="K941">
        <v>5335</v>
      </c>
      <c r="L941">
        <v>21340</v>
      </c>
      <c r="M941" t="s">
        <v>51</v>
      </c>
      <c r="N941">
        <v>1</v>
      </c>
      <c r="O941" t="s">
        <v>25</v>
      </c>
    </row>
    <row r="942" spans="1:15" x14ac:dyDescent="0.35">
      <c r="A942">
        <v>1941</v>
      </c>
      <c r="B942" t="s">
        <v>718</v>
      </c>
      <c r="C942" s="1">
        <v>45361</v>
      </c>
      <c r="D942" s="1">
        <v>45368</v>
      </c>
      <c r="E942" s="1">
        <v>45371</v>
      </c>
      <c r="F942" t="s">
        <v>21</v>
      </c>
      <c r="G942" t="s">
        <v>39</v>
      </c>
      <c r="H942" t="s">
        <v>23</v>
      </c>
      <c r="I942">
        <v>7</v>
      </c>
      <c r="J942">
        <v>3</v>
      </c>
      <c r="K942">
        <v>8801</v>
      </c>
      <c r="L942">
        <v>26403</v>
      </c>
      <c r="M942" t="s">
        <v>51</v>
      </c>
      <c r="N942">
        <v>0</v>
      </c>
      <c r="O942" t="s">
        <v>31</v>
      </c>
    </row>
    <row r="943" spans="1:15" x14ac:dyDescent="0.35">
      <c r="A943">
        <v>1942</v>
      </c>
      <c r="B943" t="s">
        <v>370</v>
      </c>
      <c r="C943" s="1">
        <v>45418</v>
      </c>
      <c r="D943" s="1">
        <v>45432</v>
      </c>
      <c r="E943" s="1">
        <v>45434</v>
      </c>
      <c r="F943" t="s">
        <v>60</v>
      </c>
      <c r="G943" t="s">
        <v>22</v>
      </c>
      <c r="H943" t="s">
        <v>46</v>
      </c>
      <c r="I943">
        <v>14</v>
      </c>
      <c r="J943">
        <v>2</v>
      </c>
      <c r="K943">
        <v>8406</v>
      </c>
      <c r="L943">
        <v>16812</v>
      </c>
      <c r="M943" t="s">
        <v>51</v>
      </c>
      <c r="N943">
        <v>1</v>
      </c>
      <c r="O943" t="s">
        <v>31</v>
      </c>
    </row>
    <row r="944" spans="1:15" x14ac:dyDescent="0.35">
      <c r="A944">
        <v>1943</v>
      </c>
      <c r="B944" t="s">
        <v>791</v>
      </c>
      <c r="C944" s="1">
        <v>45451</v>
      </c>
      <c r="D944" s="1">
        <v>45480</v>
      </c>
      <c r="E944" s="1">
        <v>45481</v>
      </c>
      <c r="F944" t="s">
        <v>60</v>
      </c>
      <c r="G944" t="s">
        <v>22</v>
      </c>
      <c r="H944" t="s">
        <v>30</v>
      </c>
      <c r="I944">
        <v>29</v>
      </c>
      <c r="J944">
        <v>1</v>
      </c>
      <c r="K944">
        <v>8059</v>
      </c>
      <c r="L944">
        <v>8059</v>
      </c>
      <c r="M944" t="s">
        <v>24</v>
      </c>
      <c r="N944">
        <v>0</v>
      </c>
      <c r="O944" t="s">
        <v>31</v>
      </c>
    </row>
    <row r="945" spans="1:15" x14ac:dyDescent="0.35">
      <c r="A945">
        <v>1944</v>
      </c>
      <c r="B945" t="s">
        <v>121</v>
      </c>
      <c r="C945" s="1">
        <v>45539</v>
      </c>
      <c r="D945" s="1">
        <v>45558</v>
      </c>
      <c r="E945" s="1">
        <v>45563</v>
      </c>
      <c r="F945" t="s">
        <v>21</v>
      </c>
      <c r="G945" t="s">
        <v>22</v>
      </c>
      <c r="H945" t="s">
        <v>23</v>
      </c>
      <c r="I945">
        <v>19</v>
      </c>
      <c r="J945">
        <v>5</v>
      </c>
      <c r="K945">
        <v>5013</v>
      </c>
      <c r="L945">
        <v>25065</v>
      </c>
      <c r="M945" t="s">
        <v>24</v>
      </c>
      <c r="N945">
        <v>1</v>
      </c>
      <c r="O945" t="s">
        <v>31</v>
      </c>
    </row>
    <row r="946" spans="1:15" x14ac:dyDescent="0.35">
      <c r="A946">
        <v>1945</v>
      </c>
      <c r="B946" t="s">
        <v>76</v>
      </c>
      <c r="C946" s="1">
        <v>45494</v>
      </c>
      <c r="D946" s="1">
        <v>45513</v>
      </c>
      <c r="E946" s="1">
        <v>45518</v>
      </c>
      <c r="F946" t="s">
        <v>29</v>
      </c>
      <c r="G946" t="s">
        <v>22</v>
      </c>
      <c r="H946" t="s">
        <v>23</v>
      </c>
      <c r="I946">
        <v>19</v>
      </c>
      <c r="J946">
        <v>5</v>
      </c>
      <c r="K946">
        <v>4273</v>
      </c>
      <c r="L946">
        <v>21365</v>
      </c>
      <c r="M946" t="s">
        <v>24</v>
      </c>
      <c r="N946">
        <v>1</v>
      </c>
      <c r="O946" t="s">
        <v>31</v>
      </c>
    </row>
    <row r="947" spans="1:15" x14ac:dyDescent="0.35">
      <c r="A947">
        <v>1946</v>
      </c>
      <c r="B947" t="s">
        <v>556</v>
      </c>
      <c r="C947" s="1">
        <v>45439</v>
      </c>
      <c r="D947" s="1">
        <v>45441</v>
      </c>
      <c r="E947" s="1">
        <v>45444</v>
      </c>
      <c r="F947" t="s">
        <v>60</v>
      </c>
      <c r="G947" t="s">
        <v>39</v>
      </c>
      <c r="H947" t="s">
        <v>30</v>
      </c>
      <c r="I947">
        <v>2</v>
      </c>
      <c r="J947">
        <v>3</v>
      </c>
      <c r="K947">
        <v>8149</v>
      </c>
      <c r="L947">
        <v>24447</v>
      </c>
      <c r="M947" t="s">
        <v>51</v>
      </c>
      <c r="N947">
        <v>0</v>
      </c>
      <c r="O947" t="s">
        <v>31</v>
      </c>
    </row>
    <row r="948" spans="1:15" x14ac:dyDescent="0.35">
      <c r="A948">
        <v>1947</v>
      </c>
      <c r="B948" t="s">
        <v>230</v>
      </c>
      <c r="C948" s="1">
        <v>45434</v>
      </c>
      <c r="D948" s="1">
        <v>45475</v>
      </c>
      <c r="E948" s="1">
        <v>45477</v>
      </c>
      <c r="F948" t="s">
        <v>29</v>
      </c>
      <c r="G948" t="s">
        <v>22</v>
      </c>
      <c r="H948" t="s">
        <v>30</v>
      </c>
      <c r="I948">
        <v>41</v>
      </c>
      <c r="J948">
        <v>2</v>
      </c>
      <c r="K948">
        <v>3596</v>
      </c>
      <c r="L948">
        <v>7192</v>
      </c>
      <c r="M948" t="s">
        <v>51</v>
      </c>
      <c r="N948">
        <v>1</v>
      </c>
      <c r="O948" t="s">
        <v>31</v>
      </c>
    </row>
    <row r="949" spans="1:15" x14ac:dyDescent="0.35">
      <c r="A949">
        <v>1948</v>
      </c>
      <c r="B949" t="s">
        <v>79</v>
      </c>
      <c r="C949" s="1">
        <v>45490</v>
      </c>
      <c r="D949" s="1">
        <v>45535</v>
      </c>
      <c r="E949" s="1">
        <v>45537</v>
      </c>
      <c r="F949" t="s">
        <v>60</v>
      </c>
      <c r="G949" t="s">
        <v>39</v>
      </c>
      <c r="H949" t="s">
        <v>30</v>
      </c>
      <c r="I949">
        <v>45</v>
      </c>
      <c r="J949">
        <v>2</v>
      </c>
      <c r="K949">
        <v>3428</v>
      </c>
      <c r="L949">
        <v>6856</v>
      </c>
      <c r="M949" t="s">
        <v>51</v>
      </c>
      <c r="N949">
        <v>1</v>
      </c>
      <c r="O949" t="s">
        <v>25</v>
      </c>
    </row>
    <row r="950" spans="1:15" x14ac:dyDescent="0.35">
      <c r="A950">
        <v>1949</v>
      </c>
      <c r="B950" t="s">
        <v>240</v>
      </c>
      <c r="C950" s="1">
        <v>45445</v>
      </c>
      <c r="D950" s="1">
        <v>45460</v>
      </c>
      <c r="E950" s="1">
        <v>45464</v>
      </c>
      <c r="F950" t="s">
        <v>38</v>
      </c>
      <c r="G950" t="s">
        <v>22</v>
      </c>
      <c r="H950" t="s">
        <v>46</v>
      </c>
      <c r="I950">
        <v>15</v>
      </c>
      <c r="J950">
        <v>4</v>
      </c>
      <c r="K950">
        <v>4451</v>
      </c>
      <c r="L950">
        <v>17804</v>
      </c>
      <c r="M950" t="s">
        <v>51</v>
      </c>
      <c r="N950">
        <v>1</v>
      </c>
      <c r="O950" t="s">
        <v>25</v>
      </c>
    </row>
    <row r="951" spans="1:15" x14ac:dyDescent="0.35">
      <c r="A951">
        <v>1950</v>
      </c>
      <c r="B951" t="s">
        <v>783</v>
      </c>
      <c r="C951" s="1">
        <v>45433</v>
      </c>
      <c r="D951" s="1">
        <v>45436</v>
      </c>
      <c r="E951" s="1">
        <v>45437</v>
      </c>
      <c r="F951" t="s">
        <v>60</v>
      </c>
      <c r="G951" t="s">
        <v>39</v>
      </c>
      <c r="H951" t="s">
        <v>30</v>
      </c>
      <c r="I951">
        <v>3</v>
      </c>
      <c r="J951">
        <v>1</v>
      </c>
      <c r="K951">
        <v>4473</v>
      </c>
      <c r="L951">
        <v>4473</v>
      </c>
      <c r="M951" t="s">
        <v>24</v>
      </c>
      <c r="N951">
        <v>0</v>
      </c>
      <c r="O951" t="s">
        <v>31</v>
      </c>
    </row>
    <row r="952" spans="1:15" x14ac:dyDescent="0.35">
      <c r="A952">
        <v>1951</v>
      </c>
      <c r="B952" t="s">
        <v>616</v>
      </c>
      <c r="C952" s="1">
        <v>45604</v>
      </c>
      <c r="D952" s="1">
        <v>45615</v>
      </c>
      <c r="E952" s="1">
        <v>45617</v>
      </c>
      <c r="F952" t="s">
        <v>38</v>
      </c>
      <c r="G952" t="s">
        <v>39</v>
      </c>
      <c r="H952" t="s">
        <v>46</v>
      </c>
      <c r="I952">
        <v>11</v>
      </c>
      <c r="J952">
        <v>2</v>
      </c>
      <c r="K952">
        <v>8660</v>
      </c>
      <c r="L952">
        <v>17320</v>
      </c>
      <c r="M952" t="s">
        <v>24</v>
      </c>
      <c r="N952">
        <v>0</v>
      </c>
      <c r="O952" t="s">
        <v>31</v>
      </c>
    </row>
    <row r="953" spans="1:15" x14ac:dyDescent="0.35">
      <c r="A953">
        <v>1952</v>
      </c>
      <c r="B953" t="s">
        <v>417</v>
      </c>
      <c r="C953" s="1">
        <v>45456</v>
      </c>
      <c r="D953" s="1">
        <v>45509</v>
      </c>
      <c r="E953" s="1">
        <v>45514</v>
      </c>
      <c r="F953" t="s">
        <v>29</v>
      </c>
      <c r="G953" t="s">
        <v>39</v>
      </c>
      <c r="H953" t="s">
        <v>30</v>
      </c>
      <c r="I953">
        <v>53</v>
      </c>
      <c r="J953">
        <v>5</v>
      </c>
      <c r="K953">
        <v>4054</v>
      </c>
      <c r="L953">
        <v>20270</v>
      </c>
      <c r="M953" t="s">
        <v>51</v>
      </c>
      <c r="N953">
        <v>1</v>
      </c>
      <c r="O953" t="s">
        <v>25</v>
      </c>
    </row>
    <row r="954" spans="1:15" x14ac:dyDescent="0.35">
      <c r="A954">
        <v>1953</v>
      </c>
      <c r="B954" t="s">
        <v>563</v>
      </c>
      <c r="C954" s="1">
        <v>45605</v>
      </c>
      <c r="D954" s="1">
        <v>45651</v>
      </c>
      <c r="E954" s="1">
        <v>45652</v>
      </c>
      <c r="F954" t="s">
        <v>60</v>
      </c>
      <c r="G954" t="s">
        <v>22</v>
      </c>
      <c r="H954" t="s">
        <v>30</v>
      </c>
      <c r="I954">
        <v>46</v>
      </c>
      <c r="J954">
        <v>1</v>
      </c>
      <c r="K954">
        <v>5278</v>
      </c>
      <c r="L954">
        <v>5278</v>
      </c>
      <c r="M954" t="s">
        <v>24</v>
      </c>
      <c r="N954">
        <v>1</v>
      </c>
      <c r="O954" t="s">
        <v>25</v>
      </c>
    </row>
    <row r="955" spans="1:15" x14ac:dyDescent="0.35">
      <c r="A955">
        <v>1954</v>
      </c>
      <c r="B955" t="s">
        <v>259</v>
      </c>
      <c r="C955" s="1">
        <v>45312</v>
      </c>
      <c r="D955" s="1">
        <v>45342</v>
      </c>
      <c r="E955" s="1">
        <v>45343</v>
      </c>
      <c r="F955" t="s">
        <v>35</v>
      </c>
      <c r="G955" t="s">
        <v>22</v>
      </c>
      <c r="H955" t="s">
        <v>46</v>
      </c>
      <c r="I955">
        <v>30</v>
      </c>
      <c r="J955">
        <v>1</v>
      </c>
      <c r="K955">
        <v>6921</v>
      </c>
      <c r="L955">
        <v>6921</v>
      </c>
      <c r="M955" t="s">
        <v>51</v>
      </c>
      <c r="N955">
        <v>0</v>
      </c>
      <c r="O955" t="s">
        <v>25</v>
      </c>
    </row>
    <row r="956" spans="1:15" x14ac:dyDescent="0.35">
      <c r="A956">
        <v>1955</v>
      </c>
      <c r="B956" t="s">
        <v>792</v>
      </c>
      <c r="C956" s="1">
        <v>45373</v>
      </c>
      <c r="D956" s="1">
        <v>45430</v>
      </c>
      <c r="E956" s="1">
        <v>45433</v>
      </c>
      <c r="F956" t="s">
        <v>35</v>
      </c>
      <c r="G956" t="s">
        <v>22</v>
      </c>
      <c r="H956" t="s">
        <v>46</v>
      </c>
      <c r="I956">
        <v>57</v>
      </c>
      <c r="J956">
        <v>3</v>
      </c>
      <c r="K956">
        <v>3494</v>
      </c>
      <c r="L956">
        <v>10482</v>
      </c>
      <c r="M956" t="s">
        <v>51</v>
      </c>
      <c r="N956">
        <v>1</v>
      </c>
      <c r="O956" t="s">
        <v>25</v>
      </c>
    </row>
    <row r="957" spans="1:15" x14ac:dyDescent="0.35">
      <c r="A957">
        <v>1956</v>
      </c>
      <c r="B957" t="s">
        <v>471</v>
      </c>
      <c r="C957" s="1">
        <v>45360</v>
      </c>
      <c r="D957" s="1">
        <v>45400</v>
      </c>
      <c r="E957" s="1">
        <v>45402</v>
      </c>
      <c r="F957" t="s">
        <v>21</v>
      </c>
      <c r="G957" t="s">
        <v>39</v>
      </c>
      <c r="H957" t="s">
        <v>30</v>
      </c>
      <c r="I957">
        <v>40</v>
      </c>
      <c r="J957">
        <v>2</v>
      </c>
      <c r="K957">
        <v>3112</v>
      </c>
      <c r="L957">
        <v>6224</v>
      </c>
      <c r="M957" t="s">
        <v>51</v>
      </c>
      <c r="N957">
        <v>1</v>
      </c>
      <c r="O957" t="s">
        <v>31</v>
      </c>
    </row>
    <row r="958" spans="1:15" x14ac:dyDescent="0.35">
      <c r="A958">
        <v>1957</v>
      </c>
      <c r="B958" t="s">
        <v>745</v>
      </c>
      <c r="C958" s="1">
        <v>45422</v>
      </c>
      <c r="D958" s="1">
        <v>45440</v>
      </c>
      <c r="E958" s="1">
        <v>45443</v>
      </c>
      <c r="F958" t="s">
        <v>35</v>
      </c>
      <c r="G958" t="s">
        <v>22</v>
      </c>
      <c r="H958" t="s">
        <v>30</v>
      </c>
      <c r="I958">
        <v>18</v>
      </c>
      <c r="J958">
        <v>3</v>
      </c>
      <c r="K958">
        <v>5093</v>
      </c>
      <c r="L958">
        <v>15279</v>
      </c>
      <c r="M958" t="s">
        <v>51</v>
      </c>
      <c r="N958">
        <v>1</v>
      </c>
      <c r="O958" t="s">
        <v>31</v>
      </c>
    </row>
    <row r="959" spans="1:15" x14ac:dyDescent="0.35">
      <c r="A959">
        <v>1958</v>
      </c>
      <c r="B959" t="s">
        <v>793</v>
      </c>
      <c r="C959" s="1">
        <v>45378</v>
      </c>
      <c r="D959" s="1">
        <v>45429</v>
      </c>
      <c r="E959" s="1">
        <v>45431</v>
      </c>
      <c r="F959" t="s">
        <v>38</v>
      </c>
      <c r="G959" t="s">
        <v>22</v>
      </c>
      <c r="H959" t="s">
        <v>30</v>
      </c>
      <c r="I959">
        <v>51</v>
      </c>
      <c r="J959">
        <v>2</v>
      </c>
      <c r="K959">
        <v>3095</v>
      </c>
      <c r="L959">
        <v>6190</v>
      </c>
      <c r="M959" t="s">
        <v>24</v>
      </c>
      <c r="N959">
        <v>1</v>
      </c>
      <c r="O959" t="s">
        <v>25</v>
      </c>
    </row>
    <row r="960" spans="1:15" x14ac:dyDescent="0.35">
      <c r="A960">
        <v>1959</v>
      </c>
      <c r="B960" t="s">
        <v>794</v>
      </c>
      <c r="C960" s="1">
        <v>45509</v>
      </c>
      <c r="D960" s="1">
        <v>45557</v>
      </c>
      <c r="E960" s="1">
        <v>45561</v>
      </c>
      <c r="F960" t="s">
        <v>35</v>
      </c>
      <c r="G960" t="s">
        <v>22</v>
      </c>
      <c r="H960" t="s">
        <v>23</v>
      </c>
      <c r="I960">
        <v>48</v>
      </c>
      <c r="J960">
        <v>4</v>
      </c>
      <c r="K960">
        <v>7516</v>
      </c>
      <c r="L960">
        <v>30064</v>
      </c>
      <c r="M960" t="s">
        <v>24</v>
      </c>
      <c r="N960">
        <v>1</v>
      </c>
      <c r="O960" t="s">
        <v>25</v>
      </c>
    </row>
    <row r="961" spans="1:15" x14ac:dyDescent="0.35">
      <c r="A961">
        <v>1960</v>
      </c>
      <c r="B961" t="s">
        <v>795</v>
      </c>
      <c r="C961" s="1">
        <v>45596</v>
      </c>
      <c r="D961" s="1">
        <v>45598</v>
      </c>
      <c r="E961" s="1">
        <v>45601</v>
      </c>
      <c r="F961" t="s">
        <v>35</v>
      </c>
      <c r="G961" t="s">
        <v>39</v>
      </c>
      <c r="H961" t="s">
        <v>30</v>
      </c>
      <c r="I961">
        <v>2</v>
      </c>
      <c r="J961">
        <v>3</v>
      </c>
      <c r="K961">
        <v>3341</v>
      </c>
      <c r="L961">
        <v>10023</v>
      </c>
      <c r="M961" t="s">
        <v>51</v>
      </c>
      <c r="N961">
        <v>0</v>
      </c>
      <c r="O961" t="s">
        <v>25</v>
      </c>
    </row>
    <row r="962" spans="1:15" x14ac:dyDescent="0.35">
      <c r="A962">
        <v>1961</v>
      </c>
      <c r="B962" t="s">
        <v>796</v>
      </c>
      <c r="C962" s="1">
        <v>45636</v>
      </c>
      <c r="D962" s="1">
        <v>45668</v>
      </c>
      <c r="E962" s="1">
        <v>45671</v>
      </c>
      <c r="F962" t="s">
        <v>35</v>
      </c>
      <c r="G962" t="s">
        <v>22</v>
      </c>
      <c r="H962" t="s">
        <v>46</v>
      </c>
      <c r="I962">
        <v>32</v>
      </c>
      <c r="J962">
        <v>3</v>
      </c>
      <c r="K962">
        <v>7821</v>
      </c>
      <c r="L962">
        <v>23463</v>
      </c>
      <c r="M962" t="s">
        <v>51</v>
      </c>
      <c r="N962">
        <v>0</v>
      </c>
      <c r="O962" t="s">
        <v>25</v>
      </c>
    </row>
    <row r="963" spans="1:15" x14ac:dyDescent="0.35">
      <c r="A963">
        <v>1962</v>
      </c>
      <c r="B963" t="s">
        <v>797</v>
      </c>
      <c r="C963" s="1">
        <v>45632</v>
      </c>
      <c r="D963" s="1">
        <v>45640</v>
      </c>
      <c r="E963" s="1">
        <v>45645</v>
      </c>
      <c r="F963" t="s">
        <v>60</v>
      </c>
      <c r="G963" t="s">
        <v>22</v>
      </c>
      <c r="H963" t="s">
        <v>23</v>
      </c>
      <c r="I963">
        <v>8</v>
      </c>
      <c r="J963">
        <v>5</v>
      </c>
      <c r="K963">
        <v>6939</v>
      </c>
      <c r="L963">
        <v>34695</v>
      </c>
      <c r="M963" t="s">
        <v>24</v>
      </c>
      <c r="N963">
        <v>1</v>
      </c>
      <c r="O963" t="s">
        <v>31</v>
      </c>
    </row>
    <row r="964" spans="1:15" x14ac:dyDescent="0.35">
      <c r="A964">
        <v>1963</v>
      </c>
      <c r="B964" t="s">
        <v>552</v>
      </c>
      <c r="C964" s="1">
        <v>45452</v>
      </c>
      <c r="D964" s="1">
        <v>45474</v>
      </c>
      <c r="E964" s="1">
        <v>45477</v>
      </c>
      <c r="F964" t="s">
        <v>21</v>
      </c>
      <c r="G964" t="s">
        <v>39</v>
      </c>
      <c r="H964" t="s">
        <v>46</v>
      </c>
      <c r="I964">
        <v>22</v>
      </c>
      <c r="J964">
        <v>3</v>
      </c>
      <c r="K964">
        <v>8472</v>
      </c>
      <c r="L964">
        <v>25416</v>
      </c>
      <c r="M964" t="s">
        <v>24</v>
      </c>
      <c r="N964">
        <v>1</v>
      </c>
      <c r="O964" t="s">
        <v>25</v>
      </c>
    </row>
    <row r="965" spans="1:15" x14ac:dyDescent="0.35">
      <c r="A965">
        <v>1964</v>
      </c>
      <c r="B965" t="s">
        <v>798</v>
      </c>
      <c r="C965" s="1">
        <v>45469</v>
      </c>
      <c r="D965" s="1">
        <v>45475</v>
      </c>
      <c r="E965" s="1">
        <v>45477</v>
      </c>
      <c r="F965" t="s">
        <v>29</v>
      </c>
      <c r="G965" t="s">
        <v>39</v>
      </c>
      <c r="H965" t="s">
        <v>23</v>
      </c>
      <c r="I965">
        <v>6</v>
      </c>
      <c r="J965">
        <v>2</v>
      </c>
      <c r="K965">
        <v>3358</v>
      </c>
      <c r="L965">
        <v>6716</v>
      </c>
      <c r="M965" t="s">
        <v>51</v>
      </c>
      <c r="N965">
        <v>0</v>
      </c>
      <c r="O965" t="s">
        <v>25</v>
      </c>
    </row>
    <row r="966" spans="1:15" x14ac:dyDescent="0.35">
      <c r="A966">
        <v>1965</v>
      </c>
      <c r="B966" t="s">
        <v>761</v>
      </c>
      <c r="C966" s="1">
        <v>45408</v>
      </c>
      <c r="D966" s="1">
        <v>45420</v>
      </c>
      <c r="E966" s="1">
        <v>45425</v>
      </c>
      <c r="F966" t="s">
        <v>21</v>
      </c>
      <c r="G966" t="s">
        <v>39</v>
      </c>
      <c r="H966" t="s">
        <v>23</v>
      </c>
      <c r="I966">
        <v>12</v>
      </c>
      <c r="J966">
        <v>5</v>
      </c>
      <c r="K966">
        <v>8019</v>
      </c>
      <c r="L966">
        <v>40095</v>
      </c>
      <c r="M966" t="s">
        <v>51</v>
      </c>
      <c r="N966">
        <v>0</v>
      </c>
      <c r="O966" t="s">
        <v>25</v>
      </c>
    </row>
    <row r="967" spans="1:15" x14ac:dyDescent="0.35">
      <c r="A967">
        <v>1966</v>
      </c>
      <c r="B967" t="s">
        <v>585</v>
      </c>
      <c r="C967" s="1">
        <v>45487</v>
      </c>
      <c r="D967" s="1">
        <v>45534</v>
      </c>
      <c r="E967" s="1">
        <v>45537</v>
      </c>
      <c r="F967" t="s">
        <v>38</v>
      </c>
      <c r="G967" t="s">
        <v>39</v>
      </c>
      <c r="H967" t="s">
        <v>46</v>
      </c>
      <c r="I967">
        <v>47</v>
      </c>
      <c r="J967">
        <v>3</v>
      </c>
      <c r="K967">
        <v>2944</v>
      </c>
      <c r="L967">
        <v>8832</v>
      </c>
      <c r="M967" t="s">
        <v>51</v>
      </c>
      <c r="N967">
        <v>1</v>
      </c>
      <c r="O967" t="s">
        <v>31</v>
      </c>
    </row>
    <row r="968" spans="1:15" x14ac:dyDescent="0.35">
      <c r="A968">
        <v>1967</v>
      </c>
      <c r="B968" t="s">
        <v>799</v>
      </c>
      <c r="C968" s="1">
        <v>45618</v>
      </c>
      <c r="D968" s="1">
        <v>45675</v>
      </c>
      <c r="E968" s="1">
        <v>45678</v>
      </c>
      <c r="F968" t="s">
        <v>60</v>
      </c>
      <c r="G968" t="s">
        <v>39</v>
      </c>
      <c r="H968" t="s">
        <v>23</v>
      </c>
      <c r="I968">
        <v>57</v>
      </c>
      <c r="J968">
        <v>3</v>
      </c>
      <c r="K968">
        <v>4288</v>
      </c>
      <c r="L968">
        <v>12864</v>
      </c>
      <c r="M968" t="s">
        <v>51</v>
      </c>
      <c r="N968">
        <v>1</v>
      </c>
      <c r="O968" t="s">
        <v>31</v>
      </c>
    </row>
    <row r="969" spans="1:15" x14ac:dyDescent="0.35">
      <c r="A969">
        <v>1968</v>
      </c>
      <c r="B969" t="s">
        <v>747</v>
      </c>
      <c r="C969" s="1">
        <v>45377</v>
      </c>
      <c r="D969" s="1">
        <v>45417</v>
      </c>
      <c r="E969" s="1">
        <v>45421</v>
      </c>
      <c r="F969" t="s">
        <v>60</v>
      </c>
      <c r="G969" t="s">
        <v>39</v>
      </c>
      <c r="H969" t="s">
        <v>46</v>
      </c>
      <c r="I969">
        <v>40</v>
      </c>
      <c r="J969">
        <v>4</v>
      </c>
      <c r="K969">
        <v>6817</v>
      </c>
      <c r="L969">
        <v>27268</v>
      </c>
      <c r="M969" t="s">
        <v>51</v>
      </c>
      <c r="N969">
        <v>1</v>
      </c>
      <c r="O969" t="s">
        <v>31</v>
      </c>
    </row>
    <row r="970" spans="1:15" x14ac:dyDescent="0.35">
      <c r="A970">
        <v>1969</v>
      </c>
      <c r="B970" t="s">
        <v>800</v>
      </c>
      <c r="C970" s="1">
        <v>45580</v>
      </c>
      <c r="D970" s="1">
        <v>45616</v>
      </c>
      <c r="E970" s="1">
        <v>45619</v>
      </c>
      <c r="F970" t="s">
        <v>35</v>
      </c>
      <c r="G970" t="s">
        <v>22</v>
      </c>
      <c r="H970" t="s">
        <v>30</v>
      </c>
      <c r="I970">
        <v>36</v>
      </c>
      <c r="J970">
        <v>3</v>
      </c>
      <c r="K970">
        <v>5954</v>
      </c>
      <c r="L970">
        <v>17862</v>
      </c>
      <c r="M970" t="s">
        <v>24</v>
      </c>
      <c r="N970">
        <v>1</v>
      </c>
      <c r="O970" t="s">
        <v>25</v>
      </c>
    </row>
    <row r="971" spans="1:15" x14ac:dyDescent="0.35">
      <c r="A971">
        <v>1970</v>
      </c>
      <c r="B971" t="s">
        <v>747</v>
      </c>
      <c r="C971" s="1">
        <v>45372</v>
      </c>
      <c r="D971" s="1">
        <v>45387</v>
      </c>
      <c r="E971" s="1">
        <v>45388</v>
      </c>
      <c r="F971" t="s">
        <v>35</v>
      </c>
      <c r="G971" t="s">
        <v>22</v>
      </c>
      <c r="H971" t="s">
        <v>23</v>
      </c>
      <c r="I971">
        <v>15</v>
      </c>
      <c r="J971">
        <v>1</v>
      </c>
      <c r="K971">
        <v>6452</v>
      </c>
      <c r="L971">
        <v>6452</v>
      </c>
      <c r="M971" t="s">
        <v>24</v>
      </c>
      <c r="N971">
        <v>1</v>
      </c>
      <c r="O971" t="s">
        <v>25</v>
      </c>
    </row>
    <row r="972" spans="1:15" x14ac:dyDescent="0.35">
      <c r="A972">
        <v>1971</v>
      </c>
      <c r="B972" t="s">
        <v>801</v>
      </c>
      <c r="C972" s="1">
        <v>45443</v>
      </c>
      <c r="D972" s="1">
        <v>45471</v>
      </c>
      <c r="E972" s="1">
        <v>45476</v>
      </c>
      <c r="F972" t="s">
        <v>38</v>
      </c>
      <c r="G972" t="s">
        <v>39</v>
      </c>
      <c r="H972" t="s">
        <v>46</v>
      </c>
      <c r="I972">
        <v>28</v>
      </c>
      <c r="J972">
        <v>5</v>
      </c>
      <c r="K972">
        <v>7187</v>
      </c>
      <c r="L972">
        <v>35935</v>
      </c>
      <c r="M972" t="s">
        <v>51</v>
      </c>
      <c r="N972">
        <v>1</v>
      </c>
      <c r="O972" t="s">
        <v>25</v>
      </c>
    </row>
    <row r="973" spans="1:15" x14ac:dyDescent="0.35">
      <c r="A973">
        <v>1972</v>
      </c>
      <c r="B973" t="s">
        <v>706</v>
      </c>
      <c r="C973" s="1">
        <v>45352</v>
      </c>
      <c r="D973" s="1">
        <v>45404</v>
      </c>
      <c r="E973" s="1">
        <v>45405</v>
      </c>
      <c r="F973" t="s">
        <v>60</v>
      </c>
      <c r="G973" t="s">
        <v>22</v>
      </c>
      <c r="H973" t="s">
        <v>23</v>
      </c>
      <c r="I973">
        <v>52</v>
      </c>
      <c r="J973">
        <v>1</v>
      </c>
      <c r="K973">
        <v>3530</v>
      </c>
      <c r="L973">
        <v>3530</v>
      </c>
      <c r="M973" t="s">
        <v>51</v>
      </c>
      <c r="N973">
        <v>1</v>
      </c>
      <c r="O973" t="s">
        <v>31</v>
      </c>
    </row>
    <row r="974" spans="1:15" x14ac:dyDescent="0.35">
      <c r="A974">
        <v>1973</v>
      </c>
      <c r="B974" t="s">
        <v>802</v>
      </c>
      <c r="C974" s="1">
        <v>45352</v>
      </c>
      <c r="D974" s="1">
        <v>45409</v>
      </c>
      <c r="E974" s="1">
        <v>45414</v>
      </c>
      <c r="F974" t="s">
        <v>29</v>
      </c>
      <c r="G974" t="s">
        <v>39</v>
      </c>
      <c r="H974" t="s">
        <v>46</v>
      </c>
      <c r="I974">
        <v>57</v>
      </c>
      <c r="J974">
        <v>5</v>
      </c>
      <c r="K974">
        <v>3795</v>
      </c>
      <c r="L974">
        <v>18975</v>
      </c>
      <c r="M974" t="s">
        <v>51</v>
      </c>
      <c r="N974">
        <v>1</v>
      </c>
      <c r="O974" t="s">
        <v>31</v>
      </c>
    </row>
    <row r="975" spans="1:15" x14ac:dyDescent="0.35">
      <c r="A975">
        <v>1974</v>
      </c>
      <c r="B975" t="s">
        <v>560</v>
      </c>
      <c r="C975" s="1">
        <v>45645</v>
      </c>
      <c r="D975" s="1">
        <v>45694</v>
      </c>
      <c r="E975" s="1">
        <v>45698</v>
      </c>
      <c r="F975" t="s">
        <v>21</v>
      </c>
      <c r="G975" t="s">
        <v>22</v>
      </c>
      <c r="H975" t="s">
        <v>30</v>
      </c>
      <c r="I975">
        <v>49</v>
      </c>
      <c r="J975">
        <v>4</v>
      </c>
      <c r="K975">
        <v>7613</v>
      </c>
      <c r="L975">
        <v>30452</v>
      </c>
      <c r="M975" t="s">
        <v>51</v>
      </c>
      <c r="N975">
        <v>1</v>
      </c>
      <c r="O975" t="s">
        <v>25</v>
      </c>
    </row>
    <row r="976" spans="1:15" x14ac:dyDescent="0.35">
      <c r="A976">
        <v>1975</v>
      </c>
      <c r="B976" t="s">
        <v>90</v>
      </c>
      <c r="C976" s="1">
        <v>45319</v>
      </c>
      <c r="D976" s="1">
        <v>45364</v>
      </c>
      <c r="E976" s="1">
        <v>45367</v>
      </c>
      <c r="F976" t="s">
        <v>60</v>
      </c>
      <c r="G976" t="s">
        <v>39</v>
      </c>
      <c r="H976" t="s">
        <v>30</v>
      </c>
      <c r="I976">
        <v>45</v>
      </c>
      <c r="J976">
        <v>3</v>
      </c>
      <c r="K976">
        <v>4563</v>
      </c>
      <c r="L976">
        <v>13689</v>
      </c>
      <c r="M976" t="s">
        <v>24</v>
      </c>
      <c r="N976">
        <v>1</v>
      </c>
      <c r="O976" t="s">
        <v>25</v>
      </c>
    </row>
    <row r="977" spans="1:15" x14ac:dyDescent="0.35">
      <c r="A977">
        <v>1976</v>
      </c>
      <c r="B977" t="s">
        <v>803</v>
      </c>
      <c r="C977" s="1">
        <v>45334</v>
      </c>
      <c r="D977" s="1">
        <v>45352</v>
      </c>
      <c r="E977" s="1">
        <v>45355</v>
      </c>
      <c r="F977" t="s">
        <v>29</v>
      </c>
      <c r="G977" t="s">
        <v>39</v>
      </c>
      <c r="H977" t="s">
        <v>23</v>
      </c>
      <c r="I977">
        <v>18</v>
      </c>
      <c r="J977">
        <v>3</v>
      </c>
      <c r="K977">
        <v>3947</v>
      </c>
      <c r="L977">
        <v>11841</v>
      </c>
      <c r="M977" t="s">
        <v>24</v>
      </c>
      <c r="N977">
        <v>0</v>
      </c>
      <c r="O977" t="s">
        <v>31</v>
      </c>
    </row>
    <row r="978" spans="1:15" x14ac:dyDescent="0.35">
      <c r="A978">
        <v>1977</v>
      </c>
      <c r="B978" t="s">
        <v>804</v>
      </c>
      <c r="C978" s="1">
        <v>45460</v>
      </c>
      <c r="D978" s="1">
        <v>45462</v>
      </c>
      <c r="E978" s="1">
        <v>45465</v>
      </c>
      <c r="F978" t="s">
        <v>29</v>
      </c>
      <c r="G978" t="s">
        <v>22</v>
      </c>
      <c r="H978" t="s">
        <v>23</v>
      </c>
      <c r="I978">
        <v>2</v>
      </c>
      <c r="J978">
        <v>3</v>
      </c>
      <c r="K978">
        <v>4545</v>
      </c>
      <c r="L978">
        <v>13635</v>
      </c>
      <c r="M978" t="s">
        <v>51</v>
      </c>
      <c r="N978">
        <v>1</v>
      </c>
      <c r="O978" t="s">
        <v>25</v>
      </c>
    </row>
    <row r="979" spans="1:15" x14ac:dyDescent="0.35">
      <c r="A979">
        <v>1978</v>
      </c>
      <c r="B979" t="s">
        <v>219</v>
      </c>
      <c r="C979" s="1">
        <v>45377</v>
      </c>
      <c r="D979" s="1">
        <v>45390</v>
      </c>
      <c r="E979" s="1">
        <v>45395</v>
      </c>
      <c r="F979" t="s">
        <v>21</v>
      </c>
      <c r="G979" t="s">
        <v>22</v>
      </c>
      <c r="H979" t="s">
        <v>46</v>
      </c>
      <c r="I979">
        <v>13</v>
      </c>
      <c r="J979">
        <v>5</v>
      </c>
      <c r="K979">
        <v>7119</v>
      </c>
      <c r="L979">
        <v>35595</v>
      </c>
      <c r="M979" t="s">
        <v>24</v>
      </c>
      <c r="N979">
        <v>0</v>
      </c>
      <c r="O979" t="s">
        <v>25</v>
      </c>
    </row>
    <row r="980" spans="1:15" x14ac:dyDescent="0.35">
      <c r="A980">
        <v>1979</v>
      </c>
      <c r="B980" t="s">
        <v>805</v>
      </c>
      <c r="C980" s="1">
        <v>45468</v>
      </c>
      <c r="D980" s="1">
        <v>45513</v>
      </c>
      <c r="E980" s="1">
        <v>45516</v>
      </c>
      <c r="F980" t="s">
        <v>29</v>
      </c>
      <c r="G980" t="s">
        <v>22</v>
      </c>
      <c r="H980" t="s">
        <v>46</v>
      </c>
      <c r="I980">
        <v>45</v>
      </c>
      <c r="J980">
        <v>3</v>
      </c>
      <c r="K980">
        <v>5350</v>
      </c>
      <c r="L980">
        <v>16050</v>
      </c>
      <c r="M980" t="s">
        <v>51</v>
      </c>
      <c r="N980">
        <v>1</v>
      </c>
      <c r="O980" t="s">
        <v>25</v>
      </c>
    </row>
    <row r="981" spans="1:15" x14ac:dyDescent="0.35">
      <c r="A981">
        <v>1980</v>
      </c>
      <c r="B981" t="s">
        <v>687</v>
      </c>
      <c r="C981" s="1">
        <v>45308</v>
      </c>
      <c r="D981" s="1">
        <v>45362</v>
      </c>
      <c r="E981" s="1">
        <v>45363</v>
      </c>
      <c r="F981" t="s">
        <v>38</v>
      </c>
      <c r="G981" t="s">
        <v>22</v>
      </c>
      <c r="H981" t="s">
        <v>23</v>
      </c>
      <c r="I981">
        <v>54</v>
      </c>
      <c r="J981">
        <v>1</v>
      </c>
      <c r="K981">
        <v>6324</v>
      </c>
      <c r="L981">
        <v>6324</v>
      </c>
      <c r="M981" t="s">
        <v>51</v>
      </c>
      <c r="N981">
        <v>1</v>
      </c>
      <c r="O981" t="s">
        <v>31</v>
      </c>
    </row>
    <row r="982" spans="1:15" x14ac:dyDescent="0.35">
      <c r="A982">
        <v>1981</v>
      </c>
      <c r="B982" t="s">
        <v>806</v>
      </c>
      <c r="C982" s="1">
        <v>45389</v>
      </c>
      <c r="D982" s="1">
        <v>45404</v>
      </c>
      <c r="E982" s="1">
        <v>45407</v>
      </c>
      <c r="F982" t="s">
        <v>29</v>
      </c>
      <c r="G982" t="s">
        <v>22</v>
      </c>
      <c r="H982" t="s">
        <v>46</v>
      </c>
      <c r="I982">
        <v>15</v>
      </c>
      <c r="J982">
        <v>3</v>
      </c>
      <c r="K982">
        <v>4568</v>
      </c>
      <c r="L982">
        <v>13704</v>
      </c>
      <c r="M982" t="s">
        <v>24</v>
      </c>
      <c r="N982">
        <v>1</v>
      </c>
      <c r="O982" t="s">
        <v>25</v>
      </c>
    </row>
    <row r="983" spans="1:15" x14ac:dyDescent="0.35">
      <c r="A983">
        <v>1982</v>
      </c>
      <c r="B983" t="s">
        <v>807</v>
      </c>
      <c r="C983" s="1">
        <v>45489</v>
      </c>
      <c r="D983" s="1">
        <v>45509</v>
      </c>
      <c r="E983" s="1">
        <v>45513</v>
      </c>
      <c r="F983" t="s">
        <v>38</v>
      </c>
      <c r="G983" t="s">
        <v>22</v>
      </c>
      <c r="H983" t="s">
        <v>46</v>
      </c>
      <c r="I983">
        <v>20</v>
      </c>
      <c r="J983">
        <v>4</v>
      </c>
      <c r="K983">
        <v>6261</v>
      </c>
      <c r="L983">
        <v>25044</v>
      </c>
      <c r="M983" t="s">
        <v>51</v>
      </c>
      <c r="N983">
        <v>1</v>
      </c>
      <c r="O983" t="s">
        <v>25</v>
      </c>
    </row>
    <row r="984" spans="1:15" x14ac:dyDescent="0.35">
      <c r="A984">
        <v>1983</v>
      </c>
      <c r="B984" t="s">
        <v>808</v>
      </c>
      <c r="C984" s="1">
        <v>45389</v>
      </c>
      <c r="D984" s="1">
        <v>45418</v>
      </c>
      <c r="E984" s="1">
        <v>45419</v>
      </c>
      <c r="F984" t="s">
        <v>29</v>
      </c>
      <c r="G984" t="s">
        <v>22</v>
      </c>
      <c r="H984" t="s">
        <v>46</v>
      </c>
      <c r="I984">
        <v>29</v>
      </c>
      <c r="J984">
        <v>1</v>
      </c>
      <c r="K984">
        <v>4775</v>
      </c>
      <c r="L984">
        <v>4775</v>
      </c>
      <c r="M984" t="s">
        <v>24</v>
      </c>
      <c r="N984">
        <v>1</v>
      </c>
      <c r="O984" t="s">
        <v>25</v>
      </c>
    </row>
    <row r="985" spans="1:15" x14ac:dyDescent="0.35">
      <c r="A985">
        <v>1984</v>
      </c>
      <c r="B985" t="s">
        <v>455</v>
      </c>
      <c r="C985" s="1">
        <v>45356</v>
      </c>
      <c r="D985" s="1">
        <v>45415</v>
      </c>
      <c r="E985" s="1">
        <v>45418</v>
      </c>
      <c r="F985" t="s">
        <v>35</v>
      </c>
      <c r="G985" t="s">
        <v>22</v>
      </c>
      <c r="H985" t="s">
        <v>23</v>
      </c>
      <c r="I985">
        <v>59</v>
      </c>
      <c r="J985">
        <v>3</v>
      </c>
      <c r="K985">
        <v>4308</v>
      </c>
      <c r="L985">
        <v>12924</v>
      </c>
      <c r="M985" t="s">
        <v>51</v>
      </c>
      <c r="N985">
        <v>1</v>
      </c>
      <c r="O985" t="s">
        <v>25</v>
      </c>
    </row>
    <row r="986" spans="1:15" x14ac:dyDescent="0.35">
      <c r="A986">
        <v>1985</v>
      </c>
      <c r="B986" t="s">
        <v>262</v>
      </c>
      <c r="C986" s="1">
        <v>45621</v>
      </c>
      <c r="D986" s="1">
        <v>45663</v>
      </c>
      <c r="E986" s="1">
        <v>45666</v>
      </c>
      <c r="F986" t="s">
        <v>29</v>
      </c>
      <c r="G986" t="s">
        <v>39</v>
      </c>
      <c r="H986" t="s">
        <v>30</v>
      </c>
      <c r="I986">
        <v>42</v>
      </c>
      <c r="J986">
        <v>3</v>
      </c>
      <c r="K986">
        <v>3811</v>
      </c>
      <c r="L986">
        <v>11433</v>
      </c>
      <c r="M986" t="s">
        <v>51</v>
      </c>
      <c r="N986">
        <v>1</v>
      </c>
      <c r="O986" t="s">
        <v>31</v>
      </c>
    </row>
    <row r="987" spans="1:15" x14ac:dyDescent="0.35">
      <c r="A987">
        <v>1986</v>
      </c>
      <c r="B987" t="s">
        <v>506</v>
      </c>
      <c r="C987" s="1">
        <v>45632</v>
      </c>
      <c r="D987" s="1">
        <v>45661</v>
      </c>
      <c r="E987" s="1">
        <v>45663</v>
      </c>
      <c r="F987" t="s">
        <v>38</v>
      </c>
      <c r="G987" t="s">
        <v>22</v>
      </c>
      <c r="H987" t="s">
        <v>30</v>
      </c>
      <c r="I987">
        <v>29</v>
      </c>
      <c r="J987">
        <v>2</v>
      </c>
      <c r="K987">
        <v>6555</v>
      </c>
      <c r="L987">
        <v>13110</v>
      </c>
      <c r="M987" t="s">
        <v>51</v>
      </c>
      <c r="N987">
        <v>0</v>
      </c>
      <c r="O987" t="s">
        <v>31</v>
      </c>
    </row>
    <row r="988" spans="1:15" x14ac:dyDescent="0.35">
      <c r="A988">
        <v>1987</v>
      </c>
      <c r="B988" t="s">
        <v>695</v>
      </c>
      <c r="C988" s="1">
        <v>45296</v>
      </c>
      <c r="D988" s="1">
        <v>45299</v>
      </c>
      <c r="E988" s="1">
        <v>45304</v>
      </c>
      <c r="F988" t="s">
        <v>29</v>
      </c>
      <c r="G988" t="s">
        <v>22</v>
      </c>
      <c r="H988" t="s">
        <v>46</v>
      </c>
      <c r="I988">
        <v>3</v>
      </c>
      <c r="J988">
        <v>5</v>
      </c>
      <c r="K988">
        <v>7902</v>
      </c>
      <c r="L988">
        <v>39510</v>
      </c>
      <c r="M988" t="s">
        <v>51</v>
      </c>
      <c r="N988">
        <v>0</v>
      </c>
      <c r="O988" t="s">
        <v>31</v>
      </c>
    </row>
    <row r="989" spans="1:15" x14ac:dyDescent="0.35">
      <c r="A989">
        <v>1988</v>
      </c>
      <c r="B989" t="s">
        <v>809</v>
      </c>
      <c r="C989" s="1">
        <v>45293</v>
      </c>
      <c r="D989" s="1">
        <v>45312</v>
      </c>
      <c r="E989" s="1">
        <v>45313</v>
      </c>
      <c r="F989" t="s">
        <v>29</v>
      </c>
      <c r="G989" t="s">
        <v>39</v>
      </c>
      <c r="H989" t="s">
        <v>23</v>
      </c>
      <c r="I989">
        <v>19</v>
      </c>
      <c r="J989">
        <v>1</v>
      </c>
      <c r="K989">
        <v>4951</v>
      </c>
      <c r="L989">
        <v>4951</v>
      </c>
      <c r="M989" t="s">
        <v>24</v>
      </c>
      <c r="N989">
        <v>1</v>
      </c>
      <c r="O989" t="s">
        <v>25</v>
      </c>
    </row>
    <row r="990" spans="1:15" x14ac:dyDescent="0.35">
      <c r="A990">
        <v>1989</v>
      </c>
      <c r="B990" t="s">
        <v>81</v>
      </c>
      <c r="C990" s="1">
        <v>45313</v>
      </c>
      <c r="D990" s="1">
        <v>45316</v>
      </c>
      <c r="E990" s="1">
        <v>45318</v>
      </c>
      <c r="F990" t="s">
        <v>29</v>
      </c>
      <c r="G990" t="s">
        <v>39</v>
      </c>
      <c r="H990" t="s">
        <v>46</v>
      </c>
      <c r="I990">
        <v>3</v>
      </c>
      <c r="J990">
        <v>2</v>
      </c>
      <c r="K990">
        <v>3589</v>
      </c>
      <c r="L990">
        <v>7178</v>
      </c>
      <c r="M990" t="s">
        <v>51</v>
      </c>
      <c r="N990">
        <v>0</v>
      </c>
      <c r="O990" t="s">
        <v>31</v>
      </c>
    </row>
    <row r="991" spans="1:15" x14ac:dyDescent="0.35">
      <c r="A991">
        <v>1990</v>
      </c>
      <c r="B991" t="s">
        <v>331</v>
      </c>
      <c r="C991" s="1">
        <v>45403</v>
      </c>
      <c r="D991" s="1">
        <v>45457</v>
      </c>
      <c r="E991" s="1">
        <v>45461</v>
      </c>
      <c r="F991" t="s">
        <v>38</v>
      </c>
      <c r="G991" t="s">
        <v>39</v>
      </c>
      <c r="H991" t="s">
        <v>30</v>
      </c>
      <c r="I991">
        <v>54</v>
      </c>
      <c r="J991">
        <v>4</v>
      </c>
      <c r="K991">
        <v>4172</v>
      </c>
      <c r="L991">
        <v>16688</v>
      </c>
      <c r="M991" t="s">
        <v>24</v>
      </c>
      <c r="N991">
        <v>1</v>
      </c>
      <c r="O991" t="s">
        <v>25</v>
      </c>
    </row>
    <row r="992" spans="1:15" x14ac:dyDescent="0.35">
      <c r="A992">
        <v>1991</v>
      </c>
      <c r="B992" t="s">
        <v>517</v>
      </c>
      <c r="C992" s="1">
        <v>45348</v>
      </c>
      <c r="D992" s="1">
        <v>45362</v>
      </c>
      <c r="E992" s="1">
        <v>45367</v>
      </c>
      <c r="F992" t="s">
        <v>29</v>
      </c>
      <c r="G992" t="s">
        <v>39</v>
      </c>
      <c r="H992" t="s">
        <v>46</v>
      </c>
      <c r="I992">
        <v>14</v>
      </c>
      <c r="J992">
        <v>5</v>
      </c>
      <c r="K992">
        <v>6175</v>
      </c>
      <c r="L992">
        <v>30875</v>
      </c>
      <c r="M992" t="s">
        <v>24</v>
      </c>
      <c r="N992">
        <v>0</v>
      </c>
      <c r="O992" t="s">
        <v>31</v>
      </c>
    </row>
    <row r="993" spans="1:15" x14ac:dyDescent="0.35">
      <c r="A993">
        <v>1992</v>
      </c>
      <c r="B993" t="s">
        <v>457</v>
      </c>
      <c r="C993" s="1">
        <v>45357</v>
      </c>
      <c r="D993" s="1">
        <v>45397</v>
      </c>
      <c r="E993" s="1">
        <v>45398</v>
      </c>
      <c r="F993" t="s">
        <v>21</v>
      </c>
      <c r="G993" t="s">
        <v>22</v>
      </c>
      <c r="H993" t="s">
        <v>30</v>
      </c>
      <c r="I993">
        <v>40</v>
      </c>
      <c r="J993">
        <v>1</v>
      </c>
      <c r="K993">
        <v>7032</v>
      </c>
      <c r="L993">
        <v>7032</v>
      </c>
      <c r="M993" t="s">
        <v>51</v>
      </c>
      <c r="N993">
        <v>1</v>
      </c>
      <c r="O993" t="s">
        <v>25</v>
      </c>
    </row>
    <row r="994" spans="1:15" x14ac:dyDescent="0.35">
      <c r="A994">
        <v>1993</v>
      </c>
      <c r="B994" t="s">
        <v>810</v>
      </c>
      <c r="C994" s="1">
        <v>45621</v>
      </c>
      <c r="D994" s="1">
        <v>45680</v>
      </c>
      <c r="E994" s="1">
        <v>45683</v>
      </c>
      <c r="F994" t="s">
        <v>21</v>
      </c>
      <c r="G994" t="s">
        <v>22</v>
      </c>
      <c r="H994" t="s">
        <v>23</v>
      </c>
      <c r="I994">
        <v>59</v>
      </c>
      <c r="J994">
        <v>3</v>
      </c>
      <c r="K994">
        <v>7424</v>
      </c>
      <c r="L994">
        <v>22272</v>
      </c>
      <c r="M994" t="s">
        <v>24</v>
      </c>
      <c r="N994">
        <v>1</v>
      </c>
      <c r="O994" t="s">
        <v>31</v>
      </c>
    </row>
    <row r="995" spans="1:15" x14ac:dyDescent="0.35">
      <c r="A995">
        <v>1994</v>
      </c>
      <c r="B995" t="s">
        <v>704</v>
      </c>
      <c r="C995" s="1">
        <v>45389</v>
      </c>
      <c r="D995" s="1">
        <v>45444</v>
      </c>
      <c r="E995" s="1">
        <v>45445</v>
      </c>
      <c r="F995" t="s">
        <v>38</v>
      </c>
      <c r="G995" t="s">
        <v>39</v>
      </c>
      <c r="H995" t="s">
        <v>46</v>
      </c>
      <c r="I995">
        <v>55</v>
      </c>
      <c r="J995">
        <v>1</v>
      </c>
      <c r="K995">
        <v>6854</v>
      </c>
      <c r="L995">
        <v>6854</v>
      </c>
      <c r="M995" t="s">
        <v>51</v>
      </c>
      <c r="N995">
        <v>1</v>
      </c>
      <c r="O995" t="s">
        <v>31</v>
      </c>
    </row>
    <row r="996" spans="1:15" x14ac:dyDescent="0.35">
      <c r="A996">
        <v>1995</v>
      </c>
      <c r="B996" t="s">
        <v>769</v>
      </c>
      <c r="C996" s="1">
        <v>45435</v>
      </c>
      <c r="D996" s="1">
        <v>45439</v>
      </c>
      <c r="E996" s="1">
        <v>45442</v>
      </c>
      <c r="F996" t="s">
        <v>35</v>
      </c>
      <c r="G996" t="s">
        <v>39</v>
      </c>
      <c r="H996" t="s">
        <v>23</v>
      </c>
      <c r="I996">
        <v>4</v>
      </c>
      <c r="J996">
        <v>3</v>
      </c>
      <c r="K996">
        <v>4503</v>
      </c>
      <c r="L996">
        <v>13509</v>
      </c>
      <c r="M996" t="s">
        <v>24</v>
      </c>
      <c r="N996">
        <v>0</v>
      </c>
      <c r="O996" t="s">
        <v>31</v>
      </c>
    </row>
    <row r="997" spans="1:15" x14ac:dyDescent="0.35">
      <c r="A997">
        <v>1996</v>
      </c>
      <c r="B997" t="s">
        <v>460</v>
      </c>
      <c r="C997" s="1">
        <v>45416</v>
      </c>
      <c r="D997" s="1">
        <v>45475</v>
      </c>
      <c r="E997" s="1">
        <v>45480</v>
      </c>
      <c r="F997" t="s">
        <v>21</v>
      </c>
      <c r="G997" t="s">
        <v>22</v>
      </c>
      <c r="H997" t="s">
        <v>46</v>
      </c>
      <c r="I997">
        <v>59</v>
      </c>
      <c r="J997">
        <v>5</v>
      </c>
      <c r="K997">
        <v>8585</v>
      </c>
      <c r="L997">
        <v>42925</v>
      </c>
      <c r="M997" t="s">
        <v>24</v>
      </c>
      <c r="N997">
        <v>1</v>
      </c>
      <c r="O997" t="s">
        <v>25</v>
      </c>
    </row>
    <row r="998" spans="1:15" x14ac:dyDescent="0.35">
      <c r="A998">
        <v>1997</v>
      </c>
      <c r="B998" t="s">
        <v>811</v>
      </c>
      <c r="C998" s="1">
        <v>45458</v>
      </c>
      <c r="D998" s="1">
        <v>45510</v>
      </c>
      <c r="E998" s="1">
        <v>45513</v>
      </c>
      <c r="F998" t="s">
        <v>60</v>
      </c>
      <c r="G998" t="s">
        <v>22</v>
      </c>
      <c r="H998" t="s">
        <v>46</v>
      </c>
      <c r="I998">
        <v>52</v>
      </c>
      <c r="J998">
        <v>3</v>
      </c>
      <c r="K998">
        <v>6698</v>
      </c>
      <c r="L998">
        <v>20094</v>
      </c>
      <c r="M998" t="s">
        <v>51</v>
      </c>
      <c r="N998">
        <v>1</v>
      </c>
      <c r="O998" t="s">
        <v>25</v>
      </c>
    </row>
    <row r="999" spans="1:15" x14ac:dyDescent="0.35">
      <c r="A999">
        <v>1998</v>
      </c>
      <c r="B999" t="s">
        <v>418</v>
      </c>
      <c r="C999" s="1">
        <v>45377</v>
      </c>
      <c r="D999" s="1">
        <v>45388</v>
      </c>
      <c r="E999" s="1">
        <v>45392</v>
      </c>
      <c r="F999" t="s">
        <v>21</v>
      </c>
      <c r="G999" t="s">
        <v>22</v>
      </c>
      <c r="H999" t="s">
        <v>46</v>
      </c>
      <c r="I999">
        <v>11</v>
      </c>
      <c r="J999">
        <v>4</v>
      </c>
      <c r="K999">
        <v>7588</v>
      </c>
      <c r="L999">
        <v>30352</v>
      </c>
      <c r="M999" t="s">
        <v>51</v>
      </c>
      <c r="N999">
        <v>1</v>
      </c>
      <c r="O999" t="s">
        <v>25</v>
      </c>
    </row>
    <row r="1000" spans="1:15" x14ac:dyDescent="0.35">
      <c r="A1000">
        <v>1999</v>
      </c>
      <c r="B1000" t="s">
        <v>812</v>
      </c>
      <c r="C1000" s="1">
        <v>45367</v>
      </c>
      <c r="D1000" s="1">
        <v>45425</v>
      </c>
      <c r="E1000" s="1">
        <v>45428</v>
      </c>
      <c r="F1000" t="s">
        <v>60</v>
      </c>
      <c r="G1000" t="s">
        <v>22</v>
      </c>
      <c r="H1000" t="s">
        <v>46</v>
      </c>
      <c r="I1000">
        <v>58</v>
      </c>
      <c r="J1000">
        <v>3</v>
      </c>
      <c r="K1000">
        <v>7364</v>
      </c>
      <c r="L1000">
        <v>22092</v>
      </c>
      <c r="M1000" t="s">
        <v>24</v>
      </c>
      <c r="N1000">
        <v>1</v>
      </c>
      <c r="O1000" t="s">
        <v>31</v>
      </c>
    </row>
    <row r="1001" spans="1:15" x14ac:dyDescent="0.35">
      <c r="A1001">
        <v>2000</v>
      </c>
      <c r="B1001" t="s">
        <v>813</v>
      </c>
      <c r="C1001" s="1">
        <v>45635</v>
      </c>
      <c r="D1001" s="1">
        <v>45666</v>
      </c>
      <c r="E1001" s="1">
        <v>45670</v>
      </c>
      <c r="F1001" t="s">
        <v>38</v>
      </c>
      <c r="G1001" t="s">
        <v>39</v>
      </c>
      <c r="H1001" t="s">
        <v>46</v>
      </c>
      <c r="I1001">
        <v>31</v>
      </c>
      <c r="J1001">
        <v>4</v>
      </c>
      <c r="K1001">
        <v>3624</v>
      </c>
      <c r="L1001">
        <v>14496</v>
      </c>
      <c r="M1001" t="s">
        <v>51</v>
      </c>
      <c r="N1001">
        <v>1</v>
      </c>
      <c r="O1001" t="s">
        <v>25</v>
      </c>
    </row>
    <row r="1002" spans="1:15" x14ac:dyDescent="0.35">
      <c r="A1002">
        <v>2001</v>
      </c>
      <c r="B1002" t="s">
        <v>814</v>
      </c>
      <c r="C1002" s="1">
        <v>45585</v>
      </c>
      <c r="D1002" s="1">
        <v>45628</v>
      </c>
      <c r="E1002" s="1">
        <v>45633</v>
      </c>
      <c r="F1002" t="s">
        <v>35</v>
      </c>
      <c r="G1002" t="s">
        <v>22</v>
      </c>
      <c r="H1002" t="s">
        <v>23</v>
      </c>
      <c r="I1002">
        <v>43</v>
      </c>
      <c r="J1002">
        <v>5</v>
      </c>
      <c r="K1002">
        <v>3721</v>
      </c>
      <c r="L1002">
        <v>18605</v>
      </c>
      <c r="M1002" t="s">
        <v>51</v>
      </c>
      <c r="N1002">
        <v>0</v>
      </c>
      <c r="O1002" t="s">
        <v>25</v>
      </c>
    </row>
    <row r="1003" spans="1:15" x14ac:dyDescent="0.35">
      <c r="A1003">
        <v>2002</v>
      </c>
      <c r="B1003" t="s">
        <v>815</v>
      </c>
      <c r="C1003" s="1">
        <v>45350</v>
      </c>
      <c r="D1003" s="1">
        <v>45382</v>
      </c>
      <c r="E1003" s="1">
        <v>45387</v>
      </c>
      <c r="F1003" t="s">
        <v>60</v>
      </c>
      <c r="G1003" t="s">
        <v>39</v>
      </c>
      <c r="H1003" t="s">
        <v>23</v>
      </c>
      <c r="I1003">
        <v>32</v>
      </c>
      <c r="J1003">
        <v>5</v>
      </c>
      <c r="K1003">
        <v>5360</v>
      </c>
      <c r="L1003">
        <v>26800</v>
      </c>
      <c r="M1003" t="s">
        <v>24</v>
      </c>
      <c r="N1003">
        <v>1</v>
      </c>
      <c r="O1003" t="s">
        <v>25</v>
      </c>
    </row>
    <row r="1004" spans="1:15" x14ac:dyDescent="0.35">
      <c r="A1004">
        <v>2003</v>
      </c>
      <c r="B1004" t="s">
        <v>816</v>
      </c>
      <c r="C1004" s="1">
        <v>45429</v>
      </c>
      <c r="D1004" s="1">
        <v>45456</v>
      </c>
      <c r="E1004" s="1">
        <v>45457</v>
      </c>
      <c r="F1004" t="s">
        <v>60</v>
      </c>
      <c r="G1004" t="s">
        <v>39</v>
      </c>
      <c r="H1004" t="s">
        <v>30</v>
      </c>
      <c r="I1004">
        <v>27</v>
      </c>
      <c r="J1004">
        <v>1</v>
      </c>
      <c r="K1004">
        <v>4773</v>
      </c>
      <c r="L1004">
        <v>4773</v>
      </c>
      <c r="M1004" t="s">
        <v>24</v>
      </c>
      <c r="N1004">
        <v>1</v>
      </c>
      <c r="O1004" t="s">
        <v>25</v>
      </c>
    </row>
    <row r="1005" spans="1:15" x14ac:dyDescent="0.35">
      <c r="A1005">
        <v>2004</v>
      </c>
      <c r="B1005" t="s">
        <v>817</v>
      </c>
      <c r="C1005" s="1">
        <v>45390</v>
      </c>
      <c r="D1005" s="1">
        <v>45420</v>
      </c>
      <c r="E1005" s="1">
        <v>45424</v>
      </c>
      <c r="F1005" t="s">
        <v>21</v>
      </c>
      <c r="G1005" t="s">
        <v>39</v>
      </c>
      <c r="H1005" t="s">
        <v>46</v>
      </c>
      <c r="I1005">
        <v>30</v>
      </c>
      <c r="J1005">
        <v>4</v>
      </c>
      <c r="K1005">
        <v>5490</v>
      </c>
      <c r="L1005">
        <v>21960</v>
      </c>
      <c r="M1005" t="s">
        <v>51</v>
      </c>
      <c r="N1005">
        <v>0</v>
      </c>
      <c r="O1005" t="s">
        <v>25</v>
      </c>
    </row>
    <row r="1006" spans="1:15" x14ac:dyDescent="0.35">
      <c r="A1006">
        <v>2005</v>
      </c>
      <c r="B1006" t="s">
        <v>554</v>
      </c>
      <c r="C1006" s="1">
        <v>45483</v>
      </c>
      <c r="D1006" s="1">
        <v>45526</v>
      </c>
      <c r="E1006" s="1">
        <v>45530</v>
      </c>
      <c r="F1006" t="s">
        <v>60</v>
      </c>
      <c r="G1006" t="s">
        <v>22</v>
      </c>
      <c r="H1006" t="s">
        <v>30</v>
      </c>
      <c r="I1006">
        <v>43</v>
      </c>
      <c r="J1006">
        <v>4</v>
      </c>
      <c r="K1006">
        <v>5010</v>
      </c>
      <c r="L1006">
        <v>20040</v>
      </c>
      <c r="M1006" t="s">
        <v>24</v>
      </c>
      <c r="N1006">
        <v>0</v>
      </c>
      <c r="O1006" t="s">
        <v>25</v>
      </c>
    </row>
    <row r="1007" spans="1:15" x14ac:dyDescent="0.35">
      <c r="A1007">
        <v>2006</v>
      </c>
      <c r="B1007" t="s">
        <v>512</v>
      </c>
      <c r="C1007" s="1">
        <v>45534</v>
      </c>
      <c r="D1007" s="1">
        <v>45536</v>
      </c>
      <c r="E1007" s="1">
        <v>45538</v>
      </c>
      <c r="F1007" t="s">
        <v>38</v>
      </c>
      <c r="G1007" t="s">
        <v>39</v>
      </c>
      <c r="H1007" t="s">
        <v>23</v>
      </c>
      <c r="I1007">
        <v>2</v>
      </c>
      <c r="J1007">
        <v>2</v>
      </c>
      <c r="K1007">
        <v>2736</v>
      </c>
      <c r="L1007">
        <v>5472</v>
      </c>
      <c r="M1007" t="s">
        <v>51</v>
      </c>
      <c r="N1007">
        <v>0</v>
      </c>
      <c r="O1007" t="s">
        <v>31</v>
      </c>
    </row>
    <row r="1008" spans="1:15" x14ac:dyDescent="0.35">
      <c r="A1008">
        <v>2007</v>
      </c>
      <c r="B1008" t="s">
        <v>818</v>
      </c>
      <c r="C1008" s="1">
        <v>45610</v>
      </c>
      <c r="D1008" s="1">
        <v>45659</v>
      </c>
      <c r="E1008" s="1">
        <v>45661</v>
      </c>
      <c r="F1008" t="s">
        <v>38</v>
      </c>
      <c r="G1008" t="s">
        <v>22</v>
      </c>
      <c r="H1008" t="s">
        <v>30</v>
      </c>
      <c r="I1008">
        <v>49</v>
      </c>
      <c r="J1008">
        <v>2</v>
      </c>
      <c r="K1008">
        <v>3644</v>
      </c>
      <c r="L1008">
        <v>7288</v>
      </c>
      <c r="M1008" t="s">
        <v>51</v>
      </c>
      <c r="N1008">
        <v>1</v>
      </c>
      <c r="O1008" t="s">
        <v>31</v>
      </c>
    </row>
    <row r="1009" spans="1:15" x14ac:dyDescent="0.35">
      <c r="A1009">
        <v>2008</v>
      </c>
      <c r="B1009" t="s">
        <v>819</v>
      </c>
      <c r="C1009" s="1">
        <v>45340</v>
      </c>
      <c r="D1009" s="1">
        <v>45349</v>
      </c>
      <c r="E1009" s="1">
        <v>45351</v>
      </c>
      <c r="F1009" t="s">
        <v>38</v>
      </c>
      <c r="G1009" t="s">
        <v>39</v>
      </c>
      <c r="H1009" t="s">
        <v>23</v>
      </c>
      <c r="I1009">
        <v>9</v>
      </c>
      <c r="J1009">
        <v>2</v>
      </c>
      <c r="K1009">
        <v>5753</v>
      </c>
      <c r="L1009">
        <v>11506</v>
      </c>
      <c r="M1009" t="s">
        <v>24</v>
      </c>
      <c r="N1009">
        <v>0</v>
      </c>
      <c r="O1009" t="s">
        <v>25</v>
      </c>
    </row>
    <row r="1010" spans="1:15" x14ac:dyDescent="0.35">
      <c r="A1010">
        <v>2009</v>
      </c>
      <c r="B1010" t="s">
        <v>820</v>
      </c>
      <c r="C1010" s="1">
        <v>45323</v>
      </c>
      <c r="D1010" s="1">
        <v>45351</v>
      </c>
      <c r="E1010" s="1">
        <v>45354</v>
      </c>
      <c r="F1010" t="s">
        <v>21</v>
      </c>
      <c r="G1010" t="s">
        <v>22</v>
      </c>
      <c r="H1010" t="s">
        <v>46</v>
      </c>
      <c r="I1010">
        <v>28</v>
      </c>
      <c r="J1010">
        <v>3</v>
      </c>
      <c r="K1010">
        <v>6282</v>
      </c>
      <c r="L1010">
        <v>18846</v>
      </c>
      <c r="M1010" t="s">
        <v>51</v>
      </c>
      <c r="N1010">
        <v>0</v>
      </c>
      <c r="O1010" t="s">
        <v>31</v>
      </c>
    </row>
    <row r="1011" spans="1:15" x14ac:dyDescent="0.35">
      <c r="A1011">
        <v>2010</v>
      </c>
      <c r="B1011" t="s">
        <v>720</v>
      </c>
      <c r="C1011" s="1">
        <v>45568</v>
      </c>
      <c r="D1011" s="1">
        <v>45599</v>
      </c>
      <c r="E1011" s="1">
        <v>45601</v>
      </c>
      <c r="F1011" t="s">
        <v>35</v>
      </c>
      <c r="G1011" t="s">
        <v>39</v>
      </c>
      <c r="H1011" t="s">
        <v>30</v>
      </c>
      <c r="I1011">
        <v>31</v>
      </c>
      <c r="J1011">
        <v>2</v>
      </c>
      <c r="K1011">
        <v>3266</v>
      </c>
      <c r="L1011">
        <v>6532</v>
      </c>
      <c r="M1011" t="s">
        <v>24</v>
      </c>
      <c r="N1011">
        <v>0</v>
      </c>
      <c r="O1011" t="s">
        <v>31</v>
      </c>
    </row>
    <row r="1012" spans="1:15" x14ac:dyDescent="0.35">
      <c r="A1012">
        <v>2011</v>
      </c>
      <c r="B1012" t="s">
        <v>821</v>
      </c>
      <c r="C1012" s="1">
        <v>45311</v>
      </c>
      <c r="D1012" s="1">
        <v>45345</v>
      </c>
      <c r="E1012" s="1">
        <v>45349</v>
      </c>
      <c r="F1012" t="s">
        <v>21</v>
      </c>
      <c r="G1012" t="s">
        <v>39</v>
      </c>
      <c r="H1012" t="s">
        <v>30</v>
      </c>
      <c r="I1012">
        <v>34</v>
      </c>
      <c r="J1012">
        <v>4</v>
      </c>
      <c r="K1012">
        <v>5181</v>
      </c>
      <c r="L1012">
        <v>20724</v>
      </c>
      <c r="M1012" t="s">
        <v>51</v>
      </c>
      <c r="N1012">
        <v>1</v>
      </c>
      <c r="O1012" t="s">
        <v>25</v>
      </c>
    </row>
    <row r="1013" spans="1:15" x14ac:dyDescent="0.35">
      <c r="A1013">
        <v>2012</v>
      </c>
      <c r="B1013" t="s">
        <v>254</v>
      </c>
      <c r="C1013" s="1">
        <v>45445</v>
      </c>
      <c r="D1013" s="1">
        <v>45501</v>
      </c>
      <c r="E1013" s="1">
        <v>45504</v>
      </c>
      <c r="F1013" t="s">
        <v>38</v>
      </c>
      <c r="G1013" t="s">
        <v>22</v>
      </c>
      <c r="H1013" t="s">
        <v>30</v>
      </c>
      <c r="I1013">
        <v>56</v>
      </c>
      <c r="J1013">
        <v>3</v>
      </c>
      <c r="K1013">
        <v>7586</v>
      </c>
      <c r="L1013">
        <v>22758</v>
      </c>
      <c r="M1013" t="s">
        <v>51</v>
      </c>
      <c r="N1013">
        <v>1</v>
      </c>
      <c r="O1013" t="s">
        <v>25</v>
      </c>
    </row>
    <row r="1014" spans="1:15" x14ac:dyDescent="0.35">
      <c r="A1014">
        <v>2013</v>
      </c>
      <c r="B1014" t="s">
        <v>710</v>
      </c>
      <c r="C1014" s="1">
        <v>45359</v>
      </c>
      <c r="D1014" s="1">
        <v>45374</v>
      </c>
      <c r="E1014" s="1">
        <v>45379</v>
      </c>
      <c r="F1014" t="s">
        <v>21</v>
      </c>
      <c r="G1014" t="s">
        <v>22</v>
      </c>
      <c r="H1014" t="s">
        <v>30</v>
      </c>
      <c r="I1014">
        <v>15</v>
      </c>
      <c r="J1014">
        <v>5</v>
      </c>
      <c r="K1014">
        <v>5165</v>
      </c>
      <c r="L1014">
        <v>25825</v>
      </c>
      <c r="M1014" t="s">
        <v>51</v>
      </c>
      <c r="N1014">
        <v>0</v>
      </c>
      <c r="O1014" t="s">
        <v>31</v>
      </c>
    </row>
    <row r="1015" spans="1:15" x14ac:dyDescent="0.35">
      <c r="A1015">
        <v>2014</v>
      </c>
      <c r="B1015" t="s">
        <v>332</v>
      </c>
      <c r="C1015" s="1">
        <v>45505</v>
      </c>
      <c r="D1015" s="1">
        <v>45553</v>
      </c>
      <c r="E1015" s="1">
        <v>45554</v>
      </c>
      <c r="F1015" t="s">
        <v>38</v>
      </c>
      <c r="G1015" t="s">
        <v>39</v>
      </c>
      <c r="H1015" t="s">
        <v>46</v>
      </c>
      <c r="I1015">
        <v>48</v>
      </c>
      <c r="J1015">
        <v>1</v>
      </c>
      <c r="K1015">
        <v>4259</v>
      </c>
      <c r="L1015">
        <v>4259</v>
      </c>
      <c r="M1015" t="s">
        <v>24</v>
      </c>
      <c r="N1015">
        <v>1</v>
      </c>
      <c r="O1015" t="s">
        <v>25</v>
      </c>
    </row>
    <row r="1016" spans="1:15" x14ac:dyDescent="0.35">
      <c r="A1016">
        <v>2015</v>
      </c>
      <c r="B1016" t="s">
        <v>822</v>
      </c>
      <c r="C1016" s="1">
        <v>45434</v>
      </c>
      <c r="D1016" s="1">
        <v>45459</v>
      </c>
      <c r="E1016" s="1">
        <v>45461</v>
      </c>
      <c r="F1016" t="s">
        <v>29</v>
      </c>
      <c r="G1016" t="s">
        <v>39</v>
      </c>
      <c r="H1016" t="s">
        <v>23</v>
      </c>
      <c r="I1016">
        <v>25</v>
      </c>
      <c r="J1016">
        <v>2</v>
      </c>
      <c r="K1016">
        <v>8916</v>
      </c>
      <c r="L1016">
        <v>17832</v>
      </c>
      <c r="M1016" t="s">
        <v>24</v>
      </c>
      <c r="N1016">
        <v>1</v>
      </c>
      <c r="O1016" t="s">
        <v>31</v>
      </c>
    </row>
    <row r="1017" spans="1:15" x14ac:dyDescent="0.35">
      <c r="A1017">
        <v>2016</v>
      </c>
      <c r="B1017" t="s">
        <v>823</v>
      </c>
      <c r="C1017" s="1">
        <v>45523</v>
      </c>
      <c r="D1017" s="1">
        <v>45559</v>
      </c>
      <c r="E1017" s="1">
        <v>45564</v>
      </c>
      <c r="F1017" t="s">
        <v>29</v>
      </c>
      <c r="G1017" t="s">
        <v>22</v>
      </c>
      <c r="H1017" t="s">
        <v>23</v>
      </c>
      <c r="I1017">
        <v>36</v>
      </c>
      <c r="J1017">
        <v>5</v>
      </c>
      <c r="K1017">
        <v>8875</v>
      </c>
      <c r="L1017">
        <v>44375</v>
      </c>
      <c r="M1017" t="s">
        <v>51</v>
      </c>
      <c r="N1017">
        <v>0</v>
      </c>
      <c r="O1017" t="s">
        <v>31</v>
      </c>
    </row>
    <row r="1018" spans="1:15" x14ac:dyDescent="0.35">
      <c r="A1018">
        <v>2017</v>
      </c>
      <c r="B1018" t="s">
        <v>824</v>
      </c>
      <c r="C1018" s="1">
        <v>45504</v>
      </c>
      <c r="D1018" s="1">
        <v>45512</v>
      </c>
      <c r="E1018" s="1">
        <v>45516</v>
      </c>
      <c r="F1018" t="s">
        <v>60</v>
      </c>
      <c r="G1018" t="s">
        <v>39</v>
      </c>
      <c r="H1018" t="s">
        <v>46</v>
      </c>
      <c r="I1018">
        <v>8</v>
      </c>
      <c r="J1018">
        <v>4</v>
      </c>
      <c r="K1018">
        <v>5991</v>
      </c>
      <c r="L1018">
        <v>23964</v>
      </c>
      <c r="M1018" t="s">
        <v>24</v>
      </c>
      <c r="N1018">
        <v>1</v>
      </c>
      <c r="O1018" t="s">
        <v>31</v>
      </c>
    </row>
    <row r="1019" spans="1:15" x14ac:dyDescent="0.35">
      <c r="A1019">
        <v>2018</v>
      </c>
      <c r="B1019" t="s">
        <v>644</v>
      </c>
      <c r="C1019" s="1">
        <v>45370</v>
      </c>
      <c r="D1019" s="1">
        <v>45379</v>
      </c>
      <c r="E1019" s="1">
        <v>45380</v>
      </c>
      <c r="F1019" t="s">
        <v>35</v>
      </c>
      <c r="G1019" t="s">
        <v>22</v>
      </c>
      <c r="H1019" t="s">
        <v>23</v>
      </c>
      <c r="I1019">
        <v>9</v>
      </c>
      <c r="J1019">
        <v>1</v>
      </c>
      <c r="K1019">
        <v>5315</v>
      </c>
      <c r="L1019">
        <v>5315</v>
      </c>
      <c r="M1019" t="s">
        <v>24</v>
      </c>
      <c r="N1019">
        <v>0</v>
      </c>
      <c r="O1019" t="s">
        <v>25</v>
      </c>
    </row>
    <row r="1020" spans="1:15" x14ac:dyDescent="0.35">
      <c r="A1020">
        <v>2019</v>
      </c>
      <c r="B1020" t="s">
        <v>825</v>
      </c>
      <c r="C1020" s="1">
        <v>45505</v>
      </c>
      <c r="D1020" s="1">
        <v>45563</v>
      </c>
      <c r="E1020" s="1">
        <v>45568</v>
      </c>
      <c r="F1020" t="s">
        <v>29</v>
      </c>
      <c r="G1020" t="s">
        <v>22</v>
      </c>
      <c r="H1020" t="s">
        <v>30</v>
      </c>
      <c r="I1020">
        <v>58</v>
      </c>
      <c r="J1020">
        <v>5</v>
      </c>
      <c r="K1020">
        <v>6013</v>
      </c>
      <c r="L1020">
        <v>30065</v>
      </c>
      <c r="M1020" t="s">
        <v>51</v>
      </c>
      <c r="N1020">
        <v>0</v>
      </c>
      <c r="O1020" t="s">
        <v>31</v>
      </c>
    </row>
    <row r="1021" spans="1:15" x14ac:dyDescent="0.35">
      <c r="A1021">
        <v>2020</v>
      </c>
      <c r="B1021" t="s">
        <v>826</v>
      </c>
      <c r="C1021" s="1">
        <v>45407</v>
      </c>
      <c r="D1021" s="1">
        <v>45465</v>
      </c>
      <c r="E1021" s="1">
        <v>45466</v>
      </c>
      <c r="F1021" t="s">
        <v>38</v>
      </c>
      <c r="G1021" t="s">
        <v>39</v>
      </c>
      <c r="H1021" t="s">
        <v>46</v>
      </c>
      <c r="I1021">
        <v>58</v>
      </c>
      <c r="J1021">
        <v>1</v>
      </c>
      <c r="K1021">
        <v>2995</v>
      </c>
      <c r="L1021">
        <v>2995</v>
      </c>
      <c r="M1021" t="s">
        <v>24</v>
      </c>
      <c r="N1021">
        <v>1</v>
      </c>
      <c r="O1021" t="s">
        <v>25</v>
      </c>
    </row>
    <row r="1022" spans="1:15" x14ac:dyDescent="0.35">
      <c r="A1022">
        <v>2021</v>
      </c>
      <c r="B1022" t="s">
        <v>827</v>
      </c>
      <c r="C1022" s="1">
        <v>45383</v>
      </c>
      <c r="D1022" s="1">
        <v>45420</v>
      </c>
      <c r="E1022" s="1">
        <v>45422</v>
      </c>
      <c r="F1022" t="s">
        <v>21</v>
      </c>
      <c r="G1022" t="s">
        <v>22</v>
      </c>
      <c r="H1022" t="s">
        <v>23</v>
      </c>
      <c r="I1022">
        <v>37</v>
      </c>
      <c r="J1022">
        <v>2</v>
      </c>
      <c r="K1022">
        <v>7643</v>
      </c>
      <c r="L1022">
        <v>15286</v>
      </c>
      <c r="M1022" t="s">
        <v>24</v>
      </c>
      <c r="N1022">
        <v>1</v>
      </c>
      <c r="O1022" t="s">
        <v>25</v>
      </c>
    </row>
    <row r="1023" spans="1:15" x14ac:dyDescent="0.35">
      <c r="A1023">
        <v>2022</v>
      </c>
      <c r="B1023" t="s">
        <v>362</v>
      </c>
      <c r="C1023" s="1">
        <v>45561</v>
      </c>
      <c r="D1023" s="1">
        <v>45609</v>
      </c>
      <c r="E1023" s="1">
        <v>45613</v>
      </c>
      <c r="F1023" t="s">
        <v>21</v>
      </c>
      <c r="G1023" t="s">
        <v>39</v>
      </c>
      <c r="H1023" t="s">
        <v>46</v>
      </c>
      <c r="I1023">
        <v>48</v>
      </c>
      <c r="J1023">
        <v>4</v>
      </c>
      <c r="K1023">
        <v>5680</v>
      </c>
      <c r="L1023">
        <v>22720</v>
      </c>
      <c r="M1023" t="s">
        <v>24</v>
      </c>
      <c r="N1023">
        <v>1</v>
      </c>
      <c r="O1023" t="s">
        <v>25</v>
      </c>
    </row>
    <row r="1024" spans="1:15" x14ac:dyDescent="0.35">
      <c r="A1024">
        <v>2023</v>
      </c>
      <c r="B1024" t="s">
        <v>773</v>
      </c>
      <c r="C1024" s="1">
        <v>45459</v>
      </c>
      <c r="D1024" s="1">
        <v>45504</v>
      </c>
      <c r="E1024" s="1">
        <v>45505</v>
      </c>
      <c r="F1024" t="s">
        <v>60</v>
      </c>
      <c r="G1024" t="s">
        <v>22</v>
      </c>
      <c r="H1024" t="s">
        <v>46</v>
      </c>
      <c r="I1024">
        <v>45</v>
      </c>
      <c r="J1024">
        <v>1</v>
      </c>
      <c r="K1024">
        <v>8322</v>
      </c>
      <c r="L1024">
        <v>8322</v>
      </c>
      <c r="M1024" t="s">
        <v>51</v>
      </c>
      <c r="N1024">
        <v>1</v>
      </c>
      <c r="O1024" t="s">
        <v>25</v>
      </c>
    </row>
    <row r="1025" spans="1:15" x14ac:dyDescent="0.35">
      <c r="A1025">
        <v>2024</v>
      </c>
      <c r="B1025" t="s">
        <v>491</v>
      </c>
      <c r="C1025" s="1">
        <v>45349</v>
      </c>
      <c r="D1025" s="1">
        <v>45388</v>
      </c>
      <c r="E1025" s="1">
        <v>45393</v>
      </c>
      <c r="F1025" t="s">
        <v>21</v>
      </c>
      <c r="G1025" t="s">
        <v>22</v>
      </c>
      <c r="H1025" t="s">
        <v>23</v>
      </c>
      <c r="I1025">
        <v>39</v>
      </c>
      <c r="J1025">
        <v>5</v>
      </c>
      <c r="K1025">
        <v>6430</v>
      </c>
      <c r="L1025">
        <v>32150</v>
      </c>
      <c r="M1025" t="s">
        <v>51</v>
      </c>
      <c r="N1025">
        <v>1</v>
      </c>
      <c r="O1025" t="s">
        <v>25</v>
      </c>
    </row>
    <row r="1026" spans="1:15" x14ac:dyDescent="0.35">
      <c r="A1026">
        <v>2025</v>
      </c>
      <c r="B1026" t="s">
        <v>620</v>
      </c>
      <c r="C1026" s="1">
        <v>45575</v>
      </c>
      <c r="D1026" s="1">
        <v>45607</v>
      </c>
      <c r="E1026" s="1">
        <v>45609</v>
      </c>
      <c r="F1026" t="s">
        <v>29</v>
      </c>
      <c r="G1026" t="s">
        <v>39</v>
      </c>
      <c r="H1026" t="s">
        <v>23</v>
      </c>
      <c r="I1026">
        <v>32</v>
      </c>
      <c r="J1026">
        <v>2</v>
      </c>
      <c r="K1026">
        <v>4572</v>
      </c>
      <c r="L1026">
        <v>9144</v>
      </c>
      <c r="M1026" t="s">
        <v>24</v>
      </c>
      <c r="N1026">
        <v>1</v>
      </c>
      <c r="O1026" t="s">
        <v>31</v>
      </c>
    </row>
    <row r="1027" spans="1:15" x14ac:dyDescent="0.35">
      <c r="A1027">
        <v>2026</v>
      </c>
      <c r="B1027" t="s">
        <v>828</v>
      </c>
      <c r="C1027" s="1">
        <v>45317</v>
      </c>
      <c r="D1027" s="1">
        <v>45375</v>
      </c>
      <c r="E1027" s="1">
        <v>45377</v>
      </c>
      <c r="F1027" t="s">
        <v>21</v>
      </c>
      <c r="G1027" t="s">
        <v>22</v>
      </c>
      <c r="H1027" t="s">
        <v>46</v>
      </c>
      <c r="I1027">
        <v>58</v>
      </c>
      <c r="J1027">
        <v>2</v>
      </c>
      <c r="K1027">
        <v>8931</v>
      </c>
      <c r="L1027">
        <v>17862</v>
      </c>
      <c r="M1027" t="s">
        <v>51</v>
      </c>
      <c r="N1027">
        <v>1</v>
      </c>
      <c r="O1027" t="s">
        <v>25</v>
      </c>
    </row>
    <row r="1028" spans="1:15" x14ac:dyDescent="0.35">
      <c r="A1028">
        <v>2027</v>
      </c>
      <c r="B1028" t="s">
        <v>829</v>
      </c>
      <c r="C1028" s="1">
        <v>45357</v>
      </c>
      <c r="D1028" s="1">
        <v>45409</v>
      </c>
      <c r="E1028" s="1">
        <v>45414</v>
      </c>
      <c r="F1028" t="s">
        <v>29</v>
      </c>
      <c r="G1028" t="s">
        <v>39</v>
      </c>
      <c r="H1028" t="s">
        <v>46</v>
      </c>
      <c r="I1028">
        <v>52</v>
      </c>
      <c r="J1028">
        <v>5</v>
      </c>
      <c r="K1028">
        <v>2837</v>
      </c>
      <c r="L1028">
        <v>14185</v>
      </c>
      <c r="M1028" t="s">
        <v>24</v>
      </c>
      <c r="N1028">
        <v>1</v>
      </c>
      <c r="O1028" t="s">
        <v>25</v>
      </c>
    </row>
    <row r="1029" spans="1:15" x14ac:dyDescent="0.35">
      <c r="A1029">
        <v>2028</v>
      </c>
      <c r="B1029" t="s">
        <v>830</v>
      </c>
      <c r="C1029" s="1">
        <v>45539</v>
      </c>
      <c r="D1029" s="1">
        <v>45556</v>
      </c>
      <c r="E1029" s="1">
        <v>45561</v>
      </c>
      <c r="F1029" t="s">
        <v>29</v>
      </c>
      <c r="G1029" t="s">
        <v>22</v>
      </c>
      <c r="H1029" t="s">
        <v>23</v>
      </c>
      <c r="I1029">
        <v>17</v>
      </c>
      <c r="J1029">
        <v>5</v>
      </c>
      <c r="K1029">
        <v>6449</v>
      </c>
      <c r="L1029">
        <v>32245</v>
      </c>
      <c r="M1029" t="s">
        <v>51</v>
      </c>
      <c r="N1029">
        <v>0</v>
      </c>
      <c r="O1029" t="s">
        <v>25</v>
      </c>
    </row>
    <row r="1030" spans="1:15" x14ac:dyDescent="0.35">
      <c r="A1030">
        <v>2029</v>
      </c>
      <c r="B1030" t="s">
        <v>479</v>
      </c>
      <c r="C1030" s="1">
        <v>45545</v>
      </c>
      <c r="D1030" s="1">
        <v>45580</v>
      </c>
      <c r="E1030" s="1">
        <v>45581</v>
      </c>
      <c r="F1030" t="s">
        <v>35</v>
      </c>
      <c r="G1030" t="s">
        <v>22</v>
      </c>
      <c r="H1030" t="s">
        <v>46</v>
      </c>
      <c r="I1030">
        <v>35</v>
      </c>
      <c r="J1030">
        <v>1</v>
      </c>
      <c r="K1030">
        <v>8533</v>
      </c>
      <c r="L1030">
        <v>8533</v>
      </c>
      <c r="M1030" t="s">
        <v>24</v>
      </c>
      <c r="N1030">
        <v>1</v>
      </c>
      <c r="O1030" t="s">
        <v>25</v>
      </c>
    </row>
    <row r="1031" spans="1:15" x14ac:dyDescent="0.35">
      <c r="A1031">
        <v>2030</v>
      </c>
      <c r="B1031" t="s">
        <v>296</v>
      </c>
      <c r="C1031" s="1">
        <v>45335</v>
      </c>
      <c r="D1031" s="1">
        <v>45372</v>
      </c>
      <c r="E1031" s="1">
        <v>45375</v>
      </c>
      <c r="F1031" t="s">
        <v>60</v>
      </c>
      <c r="G1031" t="s">
        <v>22</v>
      </c>
      <c r="H1031" t="s">
        <v>23</v>
      </c>
      <c r="I1031">
        <v>37</v>
      </c>
      <c r="J1031">
        <v>3</v>
      </c>
      <c r="K1031">
        <v>5608</v>
      </c>
      <c r="L1031">
        <v>16824</v>
      </c>
      <c r="M1031" t="s">
        <v>51</v>
      </c>
      <c r="N1031">
        <v>0</v>
      </c>
      <c r="O1031" t="s">
        <v>25</v>
      </c>
    </row>
    <row r="1032" spans="1:15" x14ac:dyDescent="0.35">
      <c r="A1032">
        <v>2031</v>
      </c>
      <c r="B1032" t="s">
        <v>831</v>
      </c>
      <c r="C1032" s="1">
        <v>45388</v>
      </c>
      <c r="D1032" s="1">
        <v>45407</v>
      </c>
      <c r="E1032" s="1">
        <v>45409</v>
      </c>
      <c r="F1032" t="s">
        <v>38</v>
      </c>
      <c r="G1032" t="s">
        <v>22</v>
      </c>
      <c r="H1032" t="s">
        <v>46</v>
      </c>
      <c r="I1032">
        <v>19</v>
      </c>
      <c r="J1032">
        <v>2</v>
      </c>
      <c r="K1032">
        <v>4317</v>
      </c>
      <c r="L1032">
        <v>8634</v>
      </c>
      <c r="M1032" t="s">
        <v>24</v>
      </c>
      <c r="N1032">
        <v>0</v>
      </c>
      <c r="O1032" t="s">
        <v>31</v>
      </c>
    </row>
    <row r="1033" spans="1:15" x14ac:dyDescent="0.35">
      <c r="A1033">
        <v>2032</v>
      </c>
      <c r="B1033" t="s">
        <v>832</v>
      </c>
      <c r="C1033" s="1">
        <v>45333</v>
      </c>
      <c r="D1033" s="1">
        <v>45377</v>
      </c>
      <c r="E1033" s="1">
        <v>45378</v>
      </c>
      <c r="F1033" t="s">
        <v>29</v>
      </c>
      <c r="G1033" t="s">
        <v>39</v>
      </c>
      <c r="H1033" t="s">
        <v>46</v>
      </c>
      <c r="I1033">
        <v>44</v>
      </c>
      <c r="J1033">
        <v>1</v>
      </c>
      <c r="K1033">
        <v>2636</v>
      </c>
      <c r="L1033">
        <v>2636</v>
      </c>
      <c r="M1033" t="s">
        <v>51</v>
      </c>
      <c r="N1033">
        <v>1</v>
      </c>
      <c r="O1033" t="s">
        <v>25</v>
      </c>
    </row>
    <row r="1034" spans="1:15" x14ac:dyDescent="0.35">
      <c r="A1034">
        <v>2033</v>
      </c>
      <c r="B1034" t="s">
        <v>833</v>
      </c>
      <c r="C1034" s="1">
        <v>45518</v>
      </c>
      <c r="D1034" s="1">
        <v>45547</v>
      </c>
      <c r="E1034" s="1">
        <v>45552</v>
      </c>
      <c r="F1034" t="s">
        <v>60</v>
      </c>
      <c r="G1034" t="s">
        <v>22</v>
      </c>
      <c r="H1034" t="s">
        <v>46</v>
      </c>
      <c r="I1034">
        <v>29</v>
      </c>
      <c r="J1034">
        <v>5</v>
      </c>
      <c r="K1034">
        <v>5055</v>
      </c>
      <c r="L1034">
        <v>25275</v>
      </c>
      <c r="M1034" t="s">
        <v>24</v>
      </c>
      <c r="N1034">
        <v>1</v>
      </c>
      <c r="O1034" t="s">
        <v>25</v>
      </c>
    </row>
    <row r="1035" spans="1:15" x14ac:dyDescent="0.35">
      <c r="A1035">
        <v>2034</v>
      </c>
      <c r="B1035" t="s">
        <v>286</v>
      </c>
      <c r="C1035" s="1">
        <v>45553</v>
      </c>
      <c r="D1035" s="1">
        <v>45612</v>
      </c>
      <c r="E1035" s="1">
        <v>45613</v>
      </c>
      <c r="F1035" t="s">
        <v>38</v>
      </c>
      <c r="G1035" t="s">
        <v>22</v>
      </c>
      <c r="H1035" t="s">
        <v>23</v>
      </c>
      <c r="I1035">
        <v>59</v>
      </c>
      <c r="J1035">
        <v>1</v>
      </c>
      <c r="K1035">
        <v>8870</v>
      </c>
      <c r="L1035">
        <v>8870</v>
      </c>
      <c r="M1035" t="s">
        <v>51</v>
      </c>
      <c r="N1035">
        <v>1</v>
      </c>
      <c r="O1035" t="s">
        <v>31</v>
      </c>
    </row>
    <row r="1036" spans="1:15" x14ac:dyDescent="0.35">
      <c r="A1036">
        <v>2035</v>
      </c>
      <c r="B1036" t="s">
        <v>834</v>
      </c>
      <c r="C1036" s="1">
        <v>45458</v>
      </c>
      <c r="D1036" s="1">
        <v>45465</v>
      </c>
      <c r="E1036" s="1">
        <v>45470</v>
      </c>
      <c r="F1036" t="s">
        <v>21</v>
      </c>
      <c r="G1036" t="s">
        <v>22</v>
      </c>
      <c r="H1036" t="s">
        <v>30</v>
      </c>
      <c r="I1036">
        <v>7</v>
      </c>
      <c r="J1036">
        <v>5</v>
      </c>
      <c r="K1036">
        <v>6915</v>
      </c>
      <c r="L1036">
        <v>34575</v>
      </c>
      <c r="M1036" t="s">
        <v>51</v>
      </c>
      <c r="N1036">
        <v>0</v>
      </c>
      <c r="O1036" t="s">
        <v>25</v>
      </c>
    </row>
    <row r="1037" spans="1:15" x14ac:dyDescent="0.35">
      <c r="A1037">
        <v>2036</v>
      </c>
      <c r="B1037" t="s">
        <v>835</v>
      </c>
      <c r="C1037" s="1">
        <v>45570</v>
      </c>
      <c r="D1037" s="1">
        <v>45598</v>
      </c>
      <c r="E1037" s="1">
        <v>45602</v>
      </c>
      <c r="F1037" t="s">
        <v>60</v>
      </c>
      <c r="G1037" t="s">
        <v>39</v>
      </c>
      <c r="H1037" t="s">
        <v>23</v>
      </c>
      <c r="I1037">
        <v>28</v>
      </c>
      <c r="J1037">
        <v>4</v>
      </c>
      <c r="K1037">
        <v>8459</v>
      </c>
      <c r="L1037">
        <v>33836</v>
      </c>
      <c r="M1037" t="s">
        <v>51</v>
      </c>
      <c r="N1037">
        <v>1</v>
      </c>
      <c r="O1037" t="s">
        <v>31</v>
      </c>
    </row>
    <row r="1038" spans="1:15" x14ac:dyDescent="0.35">
      <c r="A1038">
        <v>2037</v>
      </c>
      <c r="B1038" t="s">
        <v>702</v>
      </c>
      <c r="C1038" s="1">
        <v>45380</v>
      </c>
      <c r="D1038" s="1">
        <v>45389</v>
      </c>
      <c r="E1038" s="1">
        <v>45394</v>
      </c>
      <c r="F1038" t="s">
        <v>60</v>
      </c>
      <c r="G1038" t="s">
        <v>39</v>
      </c>
      <c r="H1038" t="s">
        <v>46</v>
      </c>
      <c r="I1038">
        <v>9</v>
      </c>
      <c r="J1038">
        <v>5</v>
      </c>
      <c r="K1038">
        <v>3415</v>
      </c>
      <c r="L1038">
        <v>17075</v>
      </c>
      <c r="M1038" t="s">
        <v>24</v>
      </c>
      <c r="N1038">
        <v>0</v>
      </c>
      <c r="O1038" t="s">
        <v>31</v>
      </c>
    </row>
    <row r="1039" spans="1:15" x14ac:dyDescent="0.35">
      <c r="A1039">
        <v>2038</v>
      </c>
      <c r="B1039" t="s">
        <v>539</v>
      </c>
      <c r="C1039" s="1">
        <v>45469</v>
      </c>
      <c r="D1039" s="1">
        <v>45497</v>
      </c>
      <c r="E1039" s="1">
        <v>45502</v>
      </c>
      <c r="F1039" t="s">
        <v>60</v>
      </c>
      <c r="G1039" t="s">
        <v>39</v>
      </c>
      <c r="H1039" t="s">
        <v>30</v>
      </c>
      <c r="I1039">
        <v>28</v>
      </c>
      <c r="J1039">
        <v>5</v>
      </c>
      <c r="K1039">
        <v>7801</v>
      </c>
      <c r="L1039">
        <v>39005</v>
      </c>
      <c r="M1039" t="s">
        <v>24</v>
      </c>
      <c r="N1039">
        <v>1</v>
      </c>
      <c r="O1039" t="s">
        <v>31</v>
      </c>
    </row>
    <row r="1040" spans="1:15" x14ac:dyDescent="0.35">
      <c r="A1040">
        <v>2039</v>
      </c>
      <c r="B1040" t="s">
        <v>430</v>
      </c>
      <c r="C1040" s="1">
        <v>45488</v>
      </c>
      <c r="D1040" s="1">
        <v>45494</v>
      </c>
      <c r="E1040" s="1">
        <v>45499</v>
      </c>
      <c r="F1040" t="s">
        <v>21</v>
      </c>
      <c r="G1040" t="s">
        <v>39</v>
      </c>
      <c r="H1040" t="s">
        <v>30</v>
      </c>
      <c r="I1040">
        <v>6</v>
      </c>
      <c r="J1040">
        <v>5</v>
      </c>
      <c r="K1040">
        <v>8493</v>
      </c>
      <c r="L1040">
        <v>42465</v>
      </c>
      <c r="M1040" t="s">
        <v>24</v>
      </c>
      <c r="N1040">
        <v>0</v>
      </c>
      <c r="O1040" t="s">
        <v>31</v>
      </c>
    </row>
    <row r="1041" spans="1:15" x14ac:dyDescent="0.35">
      <c r="A1041">
        <v>2040</v>
      </c>
      <c r="B1041" t="s">
        <v>836</v>
      </c>
      <c r="C1041" s="1">
        <v>45598</v>
      </c>
      <c r="D1041" s="1">
        <v>45627</v>
      </c>
      <c r="E1041" s="1">
        <v>45630</v>
      </c>
      <c r="F1041" t="s">
        <v>21</v>
      </c>
      <c r="G1041" t="s">
        <v>22</v>
      </c>
      <c r="H1041" t="s">
        <v>46</v>
      </c>
      <c r="I1041">
        <v>29</v>
      </c>
      <c r="J1041">
        <v>3</v>
      </c>
      <c r="K1041">
        <v>8729</v>
      </c>
      <c r="L1041">
        <v>26187</v>
      </c>
      <c r="M1041" t="s">
        <v>51</v>
      </c>
      <c r="N1041">
        <v>1</v>
      </c>
      <c r="O1041" t="s">
        <v>25</v>
      </c>
    </row>
    <row r="1042" spans="1:15" x14ac:dyDescent="0.35">
      <c r="A1042">
        <v>2041</v>
      </c>
      <c r="B1042" t="s">
        <v>837</v>
      </c>
      <c r="C1042" s="1">
        <v>45558</v>
      </c>
      <c r="D1042" s="1">
        <v>45616</v>
      </c>
      <c r="E1042" s="1">
        <v>45621</v>
      </c>
      <c r="F1042" t="s">
        <v>60</v>
      </c>
      <c r="G1042" t="s">
        <v>22</v>
      </c>
      <c r="H1042" t="s">
        <v>23</v>
      </c>
      <c r="I1042">
        <v>58</v>
      </c>
      <c r="J1042">
        <v>5</v>
      </c>
      <c r="K1042">
        <v>6038</v>
      </c>
      <c r="L1042">
        <v>30190</v>
      </c>
      <c r="M1042" t="s">
        <v>24</v>
      </c>
      <c r="N1042">
        <v>1</v>
      </c>
      <c r="O1042" t="s">
        <v>25</v>
      </c>
    </row>
    <row r="1043" spans="1:15" x14ac:dyDescent="0.35">
      <c r="A1043">
        <v>2042</v>
      </c>
      <c r="B1043" t="s">
        <v>838</v>
      </c>
      <c r="C1043" s="1">
        <v>45559</v>
      </c>
      <c r="D1043" s="1">
        <v>45576</v>
      </c>
      <c r="E1043" s="1">
        <v>45578</v>
      </c>
      <c r="F1043" t="s">
        <v>35</v>
      </c>
      <c r="G1043" t="s">
        <v>22</v>
      </c>
      <c r="H1043" t="s">
        <v>30</v>
      </c>
      <c r="I1043">
        <v>17</v>
      </c>
      <c r="J1043">
        <v>2</v>
      </c>
      <c r="K1043">
        <v>7521</v>
      </c>
      <c r="L1043">
        <v>15042</v>
      </c>
      <c r="M1043" t="s">
        <v>51</v>
      </c>
      <c r="N1043">
        <v>1</v>
      </c>
      <c r="O1043" t="s">
        <v>31</v>
      </c>
    </row>
    <row r="1044" spans="1:15" x14ac:dyDescent="0.35">
      <c r="A1044">
        <v>2043</v>
      </c>
      <c r="B1044" t="s">
        <v>839</v>
      </c>
      <c r="C1044" s="1">
        <v>45365</v>
      </c>
      <c r="D1044" s="1">
        <v>45381</v>
      </c>
      <c r="E1044" s="1">
        <v>45383</v>
      </c>
      <c r="F1044" t="s">
        <v>29</v>
      </c>
      <c r="G1044" t="s">
        <v>39</v>
      </c>
      <c r="H1044" t="s">
        <v>30</v>
      </c>
      <c r="I1044">
        <v>16</v>
      </c>
      <c r="J1044">
        <v>2</v>
      </c>
      <c r="K1044">
        <v>4600</v>
      </c>
      <c r="L1044">
        <v>9200</v>
      </c>
      <c r="M1044" t="s">
        <v>51</v>
      </c>
      <c r="N1044">
        <v>1</v>
      </c>
      <c r="O1044" t="s">
        <v>31</v>
      </c>
    </row>
    <row r="1045" spans="1:15" x14ac:dyDescent="0.35">
      <c r="A1045">
        <v>2044</v>
      </c>
      <c r="B1045" t="s">
        <v>840</v>
      </c>
      <c r="C1045" s="1">
        <v>45299</v>
      </c>
      <c r="D1045" s="1">
        <v>45322</v>
      </c>
      <c r="E1045" s="1">
        <v>45323</v>
      </c>
      <c r="F1045" t="s">
        <v>21</v>
      </c>
      <c r="G1045" t="s">
        <v>39</v>
      </c>
      <c r="H1045" t="s">
        <v>23</v>
      </c>
      <c r="I1045">
        <v>23</v>
      </c>
      <c r="J1045">
        <v>1</v>
      </c>
      <c r="K1045">
        <v>5407</v>
      </c>
      <c r="L1045">
        <v>5407</v>
      </c>
      <c r="M1045" t="s">
        <v>51</v>
      </c>
      <c r="N1045">
        <v>1</v>
      </c>
      <c r="O1045" t="s">
        <v>25</v>
      </c>
    </row>
    <row r="1046" spans="1:15" x14ac:dyDescent="0.35">
      <c r="A1046">
        <v>2045</v>
      </c>
      <c r="B1046" t="s">
        <v>525</v>
      </c>
      <c r="C1046" s="1">
        <v>45588</v>
      </c>
      <c r="D1046" s="1">
        <v>45619</v>
      </c>
      <c r="E1046" s="1">
        <v>45622</v>
      </c>
      <c r="F1046" t="s">
        <v>35</v>
      </c>
      <c r="G1046" t="s">
        <v>22</v>
      </c>
      <c r="H1046" t="s">
        <v>23</v>
      </c>
      <c r="I1046">
        <v>31</v>
      </c>
      <c r="J1046">
        <v>3</v>
      </c>
      <c r="K1046">
        <v>5414</v>
      </c>
      <c r="L1046">
        <v>16242</v>
      </c>
      <c r="M1046" t="s">
        <v>24</v>
      </c>
      <c r="N1046">
        <v>0</v>
      </c>
      <c r="O1046" t="s">
        <v>31</v>
      </c>
    </row>
    <row r="1047" spans="1:15" x14ac:dyDescent="0.35">
      <c r="A1047">
        <v>2046</v>
      </c>
      <c r="B1047" t="s">
        <v>677</v>
      </c>
      <c r="C1047" s="1">
        <v>45455</v>
      </c>
      <c r="D1047" s="1">
        <v>45458</v>
      </c>
      <c r="E1047" s="1">
        <v>45459</v>
      </c>
      <c r="F1047" t="s">
        <v>21</v>
      </c>
      <c r="G1047" t="s">
        <v>22</v>
      </c>
      <c r="H1047" t="s">
        <v>30</v>
      </c>
      <c r="I1047">
        <v>3</v>
      </c>
      <c r="J1047">
        <v>1</v>
      </c>
      <c r="K1047">
        <v>7854</v>
      </c>
      <c r="L1047">
        <v>7854</v>
      </c>
      <c r="M1047" t="s">
        <v>51</v>
      </c>
      <c r="N1047">
        <v>1</v>
      </c>
      <c r="O1047" t="s">
        <v>31</v>
      </c>
    </row>
    <row r="1048" spans="1:15" x14ac:dyDescent="0.35">
      <c r="A1048">
        <v>2047</v>
      </c>
      <c r="B1048" t="s">
        <v>841</v>
      </c>
      <c r="C1048" s="1">
        <v>45376</v>
      </c>
      <c r="D1048" s="1">
        <v>45397</v>
      </c>
      <c r="E1048" s="1">
        <v>45399</v>
      </c>
      <c r="F1048" t="s">
        <v>60</v>
      </c>
      <c r="G1048" t="s">
        <v>22</v>
      </c>
      <c r="H1048" t="s">
        <v>23</v>
      </c>
      <c r="I1048">
        <v>21</v>
      </c>
      <c r="J1048">
        <v>2</v>
      </c>
      <c r="K1048">
        <v>4482</v>
      </c>
      <c r="L1048">
        <v>8964</v>
      </c>
      <c r="M1048" t="s">
        <v>24</v>
      </c>
      <c r="N1048">
        <v>1</v>
      </c>
      <c r="O1048" t="s">
        <v>31</v>
      </c>
    </row>
    <row r="1049" spans="1:15" x14ac:dyDescent="0.35">
      <c r="A1049">
        <v>2048</v>
      </c>
      <c r="B1049" t="s">
        <v>842</v>
      </c>
      <c r="C1049" s="1">
        <v>45363</v>
      </c>
      <c r="D1049" s="1">
        <v>45389</v>
      </c>
      <c r="E1049" s="1">
        <v>45391</v>
      </c>
      <c r="F1049" t="s">
        <v>35</v>
      </c>
      <c r="G1049" t="s">
        <v>39</v>
      </c>
      <c r="H1049" t="s">
        <v>30</v>
      </c>
      <c r="I1049">
        <v>26</v>
      </c>
      <c r="J1049">
        <v>2</v>
      </c>
      <c r="K1049">
        <v>6370</v>
      </c>
      <c r="L1049">
        <v>12740</v>
      </c>
      <c r="M1049" t="s">
        <v>24</v>
      </c>
      <c r="N1049">
        <v>1</v>
      </c>
      <c r="O1049" t="s">
        <v>25</v>
      </c>
    </row>
    <row r="1050" spans="1:15" x14ac:dyDescent="0.35">
      <c r="A1050">
        <v>2049</v>
      </c>
      <c r="B1050" t="s">
        <v>132</v>
      </c>
      <c r="C1050" s="1">
        <v>45346</v>
      </c>
      <c r="D1050" s="1">
        <v>45382</v>
      </c>
      <c r="E1050" s="1">
        <v>45386</v>
      </c>
      <c r="F1050" t="s">
        <v>38</v>
      </c>
      <c r="G1050" t="s">
        <v>22</v>
      </c>
      <c r="H1050" t="s">
        <v>46</v>
      </c>
      <c r="I1050">
        <v>36</v>
      </c>
      <c r="J1050">
        <v>4</v>
      </c>
      <c r="K1050">
        <v>7028</v>
      </c>
      <c r="L1050">
        <v>28112</v>
      </c>
      <c r="M1050" t="s">
        <v>51</v>
      </c>
      <c r="N1050">
        <v>0</v>
      </c>
      <c r="O1050" t="s">
        <v>31</v>
      </c>
    </row>
    <row r="1051" spans="1:15" x14ac:dyDescent="0.35">
      <c r="A1051">
        <v>2050</v>
      </c>
      <c r="B1051" t="s">
        <v>843</v>
      </c>
      <c r="C1051" s="1">
        <v>45338</v>
      </c>
      <c r="D1051" s="1">
        <v>45380</v>
      </c>
      <c r="E1051" s="1">
        <v>45385</v>
      </c>
      <c r="F1051" t="s">
        <v>29</v>
      </c>
      <c r="G1051" t="s">
        <v>22</v>
      </c>
      <c r="H1051" t="s">
        <v>23</v>
      </c>
      <c r="I1051">
        <v>42</v>
      </c>
      <c r="J1051">
        <v>5</v>
      </c>
      <c r="K1051">
        <v>6067</v>
      </c>
      <c r="L1051">
        <v>30335</v>
      </c>
      <c r="M1051" t="s">
        <v>24</v>
      </c>
      <c r="N1051">
        <v>0</v>
      </c>
      <c r="O1051" t="s">
        <v>25</v>
      </c>
    </row>
    <row r="1052" spans="1:15" x14ac:dyDescent="0.35">
      <c r="A1052">
        <v>2051</v>
      </c>
      <c r="B1052" t="s">
        <v>529</v>
      </c>
      <c r="C1052" s="1">
        <v>45529</v>
      </c>
      <c r="D1052" s="1">
        <v>45566</v>
      </c>
      <c r="E1052" s="1">
        <v>45568</v>
      </c>
      <c r="F1052" t="s">
        <v>29</v>
      </c>
      <c r="G1052" t="s">
        <v>39</v>
      </c>
      <c r="H1052" t="s">
        <v>30</v>
      </c>
      <c r="I1052">
        <v>37</v>
      </c>
      <c r="J1052">
        <v>2</v>
      </c>
      <c r="K1052">
        <v>3498</v>
      </c>
      <c r="L1052">
        <v>6996</v>
      </c>
      <c r="M1052" t="s">
        <v>51</v>
      </c>
      <c r="N1052">
        <v>1</v>
      </c>
      <c r="O1052" t="s">
        <v>25</v>
      </c>
    </row>
    <row r="1053" spans="1:15" x14ac:dyDescent="0.35">
      <c r="A1053">
        <v>2052</v>
      </c>
      <c r="B1053" t="s">
        <v>427</v>
      </c>
      <c r="C1053" s="1">
        <v>45395</v>
      </c>
      <c r="D1053" s="1">
        <v>45448</v>
      </c>
      <c r="E1053" s="1">
        <v>45449</v>
      </c>
      <c r="F1053" t="s">
        <v>21</v>
      </c>
      <c r="G1053" t="s">
        <v>39</v>
      </c>
      <c r="H1053" t="s">
        <v>23</v>
      </c>
      <c r="I1053">
        <v>53</v>
      </c>
      <c r="J1053">
        <v>1</v>
      </c>
      <c r="K1053">
        <v>4647</v>
      </c>
      <c r="L1053">
        <v>4647</v>
      </c>
      <c r="M1053" t="s">
        <v>51</v>
      </c>
      <c r="N1053">
        <v>1</v>
      </c>
      <c r="O1053" t="s">
        <v>25</v>
      </c>
    </row>
    <row r="1054" spans="1:15" x14ac:dyDescent="0.35">
      <c r="A1054">
        <v>2053</v>
      </c>
      <c r="B1054" t="s">
        <v>844</v>
      </c>
      <c r="C1054" s="1">
        <v>45501</v>
      </c>
      <c r="D1054" s="1">
        <v>45523</v>
      </c>
      <c r="E1054" s="1">
        <v>45524</v>
      </c>
      <c r="F1054" t="s">
        <v>29</v>
      </c>
      <c r="G1054" t="s">
        <v>22</v>
      </c>
      <c r="H1054" t="s">
        <v>23</v>
      </c>
      <c r="I1054">
        <v>22</v>
      </c>
      <c r="J1054">
        <v>1</v>
      </c>
      <c r="K1054">
        <v>7585</v>
      </c>
      <c r="L1054">
        <v>7585</v>
      </c>
      <c r="M1054" t="s">
        <v>24</v>
      </c>
      <c r="N1054">
        <v>1</v>
      </c>
      <c r="O1054" t="s">
        <v>31</v>
      </c>
    </row>
    <row r="1055" spans="1:15" x14ac:dyDescent="0.35">
      <c r="A1055">
        <v>2054</v>
      </c>
      <c r="B1055" t="s">
        <v>845</v>
      </c>
      <c r="C1055" s="1">
        <v>45333</v>
      </c>
      <c r="D1055" s="1">
        <v>45375</v>
      </c>
      <c r="E1055" s="1">
        <v>45380</v>
      </c>
      <c r="F1055" t="s">
        <v>38</v>
      </c>
      <c r="G1055" t="s">
        <v>39</v>
      </c>
      <c r="H1055" t="s">
        <v>30</v>
      </c>
      <c r="I1055">
        <v>42</v>
      </c>
      <c r="J1055">
        <v>5</v>
      </c>
      <c r="K1055">
        <v>7194</v>
      </c>
      <c r="L1055">
        <v>35970</v>
      </c>
      <c r="M1055" t="s">
        <v>51</v>
      </c>
      <c r="N1055">
        <v>1</v>
      </c>
      <c r="O1055" t="s">
        <v>31</v>
      </c>
    </row>
    <row r="1056" spans="1:15" x14ac:dyDescent="0.35">
      <c r="A1056">
        <v>2055</v>
      </c>
      <c r="B1056" t="s">
        <v>412</v>
      </c>
      <c r="C1056" s="1">
        <v>45607</v>
      </c>
      <c r="D1056" s="1">
        <v>45619</v>
      </c>
      <c r="E1056" s="1">
        <v>45624</v>
      </c>
      <c r="F1056" t="s">
        <v>35</v>
      </c>
      <c r="G1056" t="s">
        <v>22</v>
      </c>
      <c r="H1056" t="s">
        <v>46</v>
      </c>
      <c r="I1056">
        <v>12</v>
      </c>
      <c r="J1056">
        <v>5</v>
      </c>
      <c r="K1056">
        <v>2895</v>
      </c>
      <c r="L1056">
        <v>14475</v>
      </c>
      <c r="M1056" t="s">
        <v>51</v>
      </c>
      <c r="N1056">
        <v>1</v>
      </c>
      <c r="O1056" t="s">
        <v>25</v>
      </c>
    </row>
    <row r="1057" spans="1:15" x14ac:dyDescent="0.35">
      <c r="A1057">
        <v>2056</v>
      </c>
      <c r="B1057" t="s">
        <v>129</v>
      </c>
      <c r="C1057" s="1">
        <v>45559</v>
      </c>
      <c r="D1057" s="1">
        <v>45601</v>
      </c>
      <c r="E1057" s="1">
        <v>45605</v>
      </c>
      <c r="F1057" t="s">
        <v>35</v>
      </c>
      <c r="G1057" t="s">
        <v>22</v>
      </c>
      <c r="H1057" t="s">
        <v>30</v>
      </c>
      <c r="I1057">
        <v>42</v>
      </c>
      <c r="J1057">
        <v>4</v>
      </c>
      <c r="K1057">
        <v>6098</v>
      </c>
      <c r="L1057">
        <v>24392</v>
      </c>
      <c r="M1057" t="s">
        <v>51</v>
      </c>
      <c r="N1057">
        <v>0</v>
      </c>
      <c r="O1057" t="s">
        <v>25</v>
      </c>
    </row>
    <row r="1058" spans="1:15" x14ac:dyDescent="0.35">
      <c r="A1058">
        <v>2057</v>
      </c>
      <c r="B1058" t="s">
        <v>846</v>
      </c>
      <c r="C1058" s="1">
        <v>45554</v>
      </c>
      <c r="D1058" s="1">
        <v>45567</v>
      </c>
      <c r="E1058" s="1">
        <v>45570</v>
      </c>
      <c r="F1058" t="s">
        <v>60</v>
      </c>
      <c r="G1058" t="s">
        <v>22</v>
      </c>
      <c r="H1058" t="s">
        <v>23</v>
      </c>
      <c r="I1058">
        <v>13</v>
      </c>
      <c r="J1058">
        <v>3</v>
      </c>
      <c r="K1058">
        <v>7010</v>
      </c>
      <c r="L1058">
        <v>21030</v>
      </c>
      <c r="M1058" t="s">
        <v>24</v>
      </c>
      <c r="N1058">
        <v>0</v>
      </c>
      <c r="O1058" t="s">
        <v>25</v>
      </c>
    </row>
    <row r="1059" spans="1:15" x14ac:dyDescent="0.35">
      <c r="A1059">
        <v>2058</v>
      </c>
      <c r="B1059" t="s">
        <v>847</v>
      </c>
      <c r="C1059" s="1">
        <v>45627</v>
      </c>
      <c r="D1059" s="1">
        <v>45638</v>
      </c>
      <c r="E1059" s="1">
        <v>45639</v>
      </c>
      <c r="F1059" t="s">
        <v>35</v>
      </c>
      <c r="G1059" t="s">
        <v>22</v>
      </c>
      <c r="H1059" t="s">
        <v>30</v>
      </c>
      <c r="I1059">
        <v>11</v>
      </c>
      <c r="J1059">
        <v>1</v>
      </c>
      <c r="K1059">
        <v>3438</v>
      </c>
      <c r="L1059">
        <v>3438</v>
      </c>
      <c r="M1059" t="s">
        <v>24</v>
      </c>
      <c r="N1059">
        <v>0</v>
      </c>
      <c r="O1059" t="s">
        <v>31</v>
      </c>
    </row>
    <row r="1060" spans="1:15" x14ac:dyDescent="0.35">
      <c r="A1060">
        <v>2059</v>
      </c>
      <c r="B1060" t="s">
        <v>848</v>
      </c>
      <c r="C1060" s="1">
        <v>45656</v>
      </c>
      <c r="D1060" s="1">
        <v>45710</v>
      </c>
      <c r="E1060" s="1">
        <v>45715</v>
      </c>
      <c r="F1060" t="s">
        <v>21</v>
      </c>
      <c r="G1060" t="s">
        <v>39</v>
      </c>
      <c r="H1060" t="s">
        <v>23</v>
      </c>
      <c r="I1060">
        <v>54</v>
      </c>
      <c r="J1060">
        <v>5</v>
      </c>
      <c r="K1060">
        <v>4136</v>
      </c>
      <c r="L1060">
        <v>20680</v>
      </c>
      <c r="M1060" t="s">
        <v>24</v>
      </c>
      <c r="N1060">
        <v>1</v>
      </c>
      <c r="O1060" t="s">
        <v>31</v>
      </c>
    </row>
    <row r="1061" spans="1:15" x14ac:dyDescent="0.35">
      <c r="A1061">
        <v>2060</v>
      </c>
      <c r="B1061" t="s">
        <v>273</v>
      </c>
      <c r="C1061" s="1">
        <v>45550</v>
      </c>
      <c r="D1061" s="1">
        <v>45566</v>
      </c>
      <c r="E1061" s="1">
        <v>45567</v>
      </c>
      <c r="F1061" t="s">
        <v>38</v>
      </c>
      <c r="G1061" t="s">
        <v>39</v>
      </c>
      <c r="H1061" t="s">
        <v>30</v>
      </c>
      <c r="I1061">
        <v>16</v>
      </c>
      <c r="J1061">
        <v>1</v>
      </c>
      <c r="K1061">
        <v>5224</v>
      </c>
      <c r="L1061">
        <v>5224</v>
      </c>
      <c r="M1061" t="s">
        <v>51</v>
      </c>
      <c r="N1061">
        <v>0</v>
      </c>
      <c r="O1061" t="s">
        <v>25</v>
      </c>
    </row>
    <row r="1062" spans="1:15" x14ac:dyDescent="0.35">
      <c r="A1062">
        <v>2061</v>
      </c>
      <c r="B1062" t="s">
        <v>713</v>
      </c>
      <c r="C1062" s="1">
        <v>45574</v>
      </c>
      <c r="D1062" s="1">
        <v>45582</v>
      </c>
      <c r="E1062" s="1">
        <v>45587</v>
      </c>
      <c r="F1062" t="s">
        <v>60</v>
      </c>
      <c r="G1062" t="s">
        <v>39</v>
      </c>
      <c r="H1062" t="s">
        <v>46</v>
      </c>
      <c r="I1062">
        <v>8</v>
      </c>
      <c r="J1062">
        <v>5</v>
      </c>
      <c r="K1062">
        <v>5010</v>
      </c>
      <c r="L1062">
        <v>25050</v>
      </c>
      <c r="M1062" t="s">
        <v>51</v>
      </c>
      <c r="N1062">
        <v>0</v>
      </c>
      <c r="O1062" t="s">
        <v>25</v>
      </c>
    </row>
    <row r="1063" spans="1:15" x14ac:dyDescent="0.35">
      <c r="A1063">
        <v>2062</v>
      </c>
      <c r="B1063" t="s">
        <v>849</v>
      </c>
      <c r="C1063" s="1">
        <v>45405</v>
      </c>
      <c r="D1063" s="1">
        <v>45445</v>
      </c>
      <c r="E1063" s="1">
        <v>45447</v>
      </c>
      <c r="F1063" t="s">
        <v>21</v>
      </c>
      <c r="G1063" t="s">
        <v>22</v>
      </c>
      <c r="H1063" t="s">
        <v>46</v>
      </c>
      <c r="I1063">
        <v>40</v>
      </c>
      <c r="J1063">
        <v>2</v>
      </c>
      <c r="K1063">
        <v>7136</v>
      </c>
      <c r="L1063">
        <v>14272</v>
      </c>
      <c r="M1063" t="s">
        <v>24</v>
      </c>
      <c r="N1063">
        <v>1</v>
      </c>
      <c r="O1063" t="s">
        <v>31</v>
      </c>
    </row>
    <row r="1064" spans="1:15" x14ac:dyDescent="0.35">
      <c r="A1064">
        <v>2063</v>
      </c>
      <c r="B1064" t="s">
        <v>850</v>
      </c>
      <c r="C1064" s="1">
        <v>45654</v>
      </c>
      <c r="D1064" s="1">
        <v>45713</v>
      </c>
      <c r="E1064" s="1">
        <v>45714</v>
      </c>
      <c r="F1064" t="s">
        <v>21</v>
      </c>
      <c r="G1064" t="s">
        <v>22</v>
      </c>
      <c r="H1064" t="s">
        <v>46</v>
      </c>
      <c r="I1064">
        <v>59</v>
      </c>
      <c r="J1064">
        <v>1</v>
      </c>
      <c r="K1064">
        <v>4149</v>
      </c>
      <c r="L1064">
        <v>4149</v>
      </c>
      <c r="M1064" t="s">
        <v>24</v>
      </c>
      <c r="N1064">
        <v>1</v>
      </c>
      <c r="O1064" t="s">
        <v>25</v>
      </c>
    </row>
    <row r="1065" spans="1:15" x14ac:dyDescent="0.35">
      <c r="A1065">
        <v>2064</v>
      </c>
      <c r="B1065" t="s">
        <v>56</v>
      </c>
      <c r="C1065" s="1">
        <v>45331</v>
      </c>
      <c r="D1065" s="1">
        <v>45388</v>
      </c>
      <c r="E1065" s="1">
        <v>45390</v>
      </c>
      <c r="F1065" t="s">
        <v>21</v>
      </c>
      <c r="G1065" t="s">
        <v>22</v>
      </c>
      <c r="H1065" t="s">
        <v>46</v>
      </c>
      <c r="I1065">
        <v>57</v>
      </c>
      <c r="J1065">
        <v>2</v>
      </c>
      <c r="K1065">
        <v>6190</v>
      </c>
      <c r="L1065">
        <v>12380</v>
      </c>
      <c r="M1065" t="s">
        <v>24</v>
      </c>
      <c r="N1065">
        <v>1</v>
      </c>
      <c r="O1065" t="s">
        <v>31</v>
      </c>
    </row>
    <row r="1066" spans="1:15" x14ac:dyDescent="0.35">
      <c r="A1066">
        <v>2065</v>
      </c>
      <c r="B1066" t="s">
        <v>811</v>
      </c>
      <c r="C1066" s="1">
        <v>45511</v>
      </c>
      <c r="D1066" s="1">
        <v>45551</v>
      </c>
      <c r="E1066" s="1">
        <v>45552</v>
      </c>
      <c r="F1066" t="s">
        <v>29</v>
      </c>
      <c r="G1066" t="s">
        <v>39</v>
      </c>
      <c r="H1066" t="s">
        <v>30</v>
      </c>
      <c r="I1066">
        <v>40</v>
      </c>
      <c r="J1066">
        <v>1</v>
      </c>
      <c r="K1066">
        <v>8541</v>
      </c>
      <c r="L1066">
        <v>8541</v>
      </c>
      <c r="M1066" t="s">
        <v>24</v>
      </c>
      <c r="N1066">
        <v>1</v>
      </c>
      <c r="O1066" t="s">
        <v>31</v>
      </c>
    </row>
    <row r="1067" spans="1:15" x14ac:dyDescent="0.35">
      <c r="A1067">
        <v>2066</v>
      </c>
      <c r="B1067" t="s">
        <v>594</v>
      </c>
      <c r="C1067" s="1">
        <v>45420</v>
      </c>
      <c r="D1067" s="1">
        <v>45465</v>
      </c>
      <c r="E1067" s="1">
        <v>45468</v>
      </c>
      <c r="F1067" t="s">
        <v>21</v>
      </c>
      <c r="G1067" t="s">
        <v>39</v>
      </c>
      <c r="H1067" t="s">
        <v>46</v>
      </c>
      <c r="I1067">
        <v>45</v>
      </c>
      <c r="J1067">
        <v>3</v>
      </c>
      <c r="K1067">
        <v>5935</v>
      </c>
      <c r="L1067">
        <v>17805</v>
      </c>
      <c r="M1067" t="s">
        <v>24</v>
      </c>
      <c r="N1067">
        <v>1</v>
      </c>
      <c r="O1067" t="s">
        <v>25</v>
      </c>
    </row>
    <row r="1068" spans="1:15" x14ac:dyDescent="0.35">
      <c r="A1068">
        <v>2067</v>
      </c>
      <c r="B1068" t="s">
        <v>476</v>
      </c>
      <c r="C1068" s="1">
        <v>45299</v>
      </c>
      <c r="D1068" s="1">
        <v>45358</v>
      </c>
      <c r="E1068" s="1">
        <v>45362</v>
      </c>
      <c r="F1068" t="s">
        <v>29</v>
      </c>
      <c r="G1068" t="s">
        <v>22</v>
      </c>
      <c r="H1068" t="s">
        <v>30</v>
      </c>
      <c r="I1068">
        <v>59</v>
      </c>
      <c r="J1068">
        <v>4</v>
      </c>
      <c r="K1068">
        <v>5701</v>
      </c>
      <c r="L1068">
        <v>22804</v>
      </c>
      <c r="M1068" t="s">
        <v>51</v>
      </c>
      <c r="N1068">
        <v>1</v>
      </c>
      <c r="O1068" t="s">
        <v>25</v>
      </c>
    </row>
    <row r="1069" spans="1:15" x14ac:dyDescent="0.35">
      <c r="A1069">
        <v>2068</v>
      </c>
      <c r="B1069" t="s">
        <v>851</v>
      </c>
      <c r="C1069" s="1">
        <v>45392</v>
      </c>
      <c r="D1069" s="1">
        <v>45394</v>
      </c>
      <c r="E1069" s="1">
        <v>45396</v>
      </c>
      <c r="F1069" t="s">
        <v>35</v>
      </c>
      <c r="G1069" t="s">
        <v>39</v>
      </c>
      <c r="H1069" t="s">
        <v>23</v>
      </c>
      <c r="I1069">
        <v>2</v>
      </c>
      <c r="J1069">
        <v>2</v>
      </c>
      <c r="K1069">
        <v>6679</v>
      </c>
      <c r="L1069">
        <v>13358</v>
      </c>
      <c r="M1069" t="s">
        <v>24</v>
      </c>
      <c r="N1069">
        <v>0</v>
      </c>
      <c r="O1069" t="s">
        <v>31</v>
      </c>
    </row>
    <row r="1070" spans="1:15" x14ac:dyDescent="0.35">
      <c r="A1070">
        <v>2069</v>
      </c>
      <c r="B1070" t="s">
        <v>806</v>
      </c>
      <c r="C1070" s="1">
        <v>45467</v>
      </c>
      <c r="D1070" s="1">
        <v>45497</v>
      </c>
      <c r="E1070" s="1">
        <v>45502</v>
      </c>
      <c r="F1070" t="s">
        <v>29</v>
      </c>
      <c r="G1070" t="s">
        <v>39</v>
      </c>
      <c r="H1070" t="s">
        <v>23</v>
      </c>
      <c r="I1070">
        <v>30</v>
      </c>
      <c r="J1070">
        <v>5</v>
      </c>
      <c r="K1070">
        <v>6866</v>
      </c>
      <c r="L1070">
        <v>34330</v>
      </c>
      <c r="M1070" t="s">
        <v>51</v>
      </c>
      <c r="N1070">
        <v>0</v>
      </c>
      <c r="O1070" t="s">
        <v>31</v>
      </c>
    </row>
    <row r="1071" spans="1:15" x14ac:dyDescent="0.35">
      <c r="A1071">
        <v>2070</v>
      </c>
      <c r="B1071" t="s">
        <v>852</v>
      </c>
      <c r="C1071" s="1">
        <v>45398</v>
      </c>
      <c r="D1071" s="1">
        <v>45428</v>
      </c>
      <c r="E1071" s="1">
        <v>45431</v>
      </c>
      <c r="F1071" t="s">
        <v>21</v>
      </c>
      <c r="G1071" t="s">
        <v>39</v>
      </c>
      <c r="H1071" t="s">
        <v>23</v>
      </c>
      <c r="I1071">
        <v>30</v>
      </c>
      <c r="J1071">
        <v>3</v>
      </c>
      <c r="K1071">
        <v>4791</v>
      </c>
      <c r="L1071">
        <v>14373</v>
      </c>
      <c r="M1071" t="s">
        <v>51</v>
      </c>
      <c r="N1071">
        <v>1</v>
      </c>
      <c r="O1071" t="s">
        <v>31</v>
      </c>
    </row>
    <row r="1072" spans="1:15" x14ac:dyDescent="0.35">
      <c r="A1072">
        <v>2071</v>
      </c>
      <c r="B1072" t="s">
        <v>315</v>
      </c>
      <c r="C1072" s="1">
        <v>45392</v>
      </c>
      <c r="D1072" s="1">
        <v>45404</v>
      </c>
      <c r="E1072" s="1">
        <v>45405</v>
      </c>
      <c r="F1072" t="s">
        <v>38</v>
      </c>
      <c r="G1072" t="s">
        <v>39</v>
      </c>
      <c r="H1072" t="s">
        <v>46</v>
      </c>
      <c r="I1072">
        <v>12</v>
      </c>
      <c r="J1072">
        <v>1</v>
      </c>
      <c r="K1072">
        <v>6983</v>
      </c>
      <c r="L1072">
        <v>6983</v>
      </c>
      <c r="M1072" t="s">
        <v>51</v>
      </c>
      <c r="N1072">
        <v>0</v>
      </c>
      <c r="O1072" t="s">
        <v>31</v>
      </c>
    </row>
    <row r="1073" spans="1:15" x14ac:dyDescent="0.35">
      <c r="A1073">
        <v>2072</v>
      </c>
      <c r="B1073" t="s">
        <v>562</v>
      </c>
      <c r="C1073" s="1">
        <v>45551</v>
      </c>
      <c r="D1073" s="1">
        <v>45561</v>
      </c>
      <c r="E1073" s="1">
        <v>45563</v>
      </c>
      <c r="F1073" t="s">
        <v>38</v>
      </c>
      <c r="G1073" t="s">
        <v>22</v>
      </c>
      <c r="H1073" t="s">
        <v>46</v>
      </c>
      <c r="I1073">
        <v>10</v>
      </c>
      <c r="J1073">
        <v>2</v>
      </c>
      <c r="K1073">
        <v>2713</v>
      </c>
      <c r="L1073">
        <v>5426</v>
      </c>
      <c r="M1073" t="s">
        <v>51</v>
      </c>
      <c r="N1073">
        <v>1</v>
      </c>
      <c r="O1073" t="s">
        <v>31</v>
      </c>
    </row>
    <row r="1074" spans="1:15" x14ac:dyDescent="0.35">
      <c r="A1074">
        <v>2073</v>
      </c>
      <c r="B1074" t="s">
        <v>643</v>
      </c>
      <c r="C1074" s="1">
        <v>45537</v>
      </c>
      <c r="D1074" s="1">
        <v>45581</v>
      </c>
      <c r="E1074" s="1">
        <v>45582</v>
      </c>
      <c r="F1074" t="s">
        <v>35</v>
      </c>
      <c r="G1074" t="s">
        <v>39</v>
      </c>
      <c r="H1074" t="s">
        <v>46</v>
      </c>
      <c r="I1074">
        <v>44</v>
      </c>
      <c r="J1074">
        <v>1</v>
      </c>
      <c r="K1074">
        <v>5737</v>
      </c>
      <c r="L1074">
        <v>5737</v>
      </c>
      <c r="M1074" t="s">
        <v>24</v>
      </c>
      <c r="N1074">
        <v>0</v>
      </c>
      <c r="O1074" t="s">
        <v>25</v>
      </c>
    </row>
    <row r="1075" spans="1:15" x14ac:dyDescent="0.35">
      <c r="A1075">
        <v>2074</v>
      </c>
      <c r="B1075" t="s">
        <v>163</v>
      </c>
      <c r="C1075" s="1">
        <v>45566</v>
      </c>
      <c r="D1075" s="1">
        <v>45577</v>
      </c>
      <c r="E1075" s="1">
        <v>45578</v>
      </c>
      <c r="F1075" t="s">
        <v>21</v>
      </c>
      <c r="G1075" t="s">
        <v>22</v>
      </c>
      <c r="H1075" t="s">
        <v>23</v>
      </c>
      <c r="I1075">
        <v>11</v>
      </c>
      <c r="J1075">
        <v>1</v>
      </c>
      <c r="K1075">
        <v>6362</v>
      </c>
      <c r="L1075">
        <v>6362</v>
      </c>
      <c r="M1075" t="s">
        <v>51</v>
      </c>
      <c r="N1075">
        <v>0</v>
      </c>
      <c r="O1075" t="s">
        <v>31</v>
      </c>
    </row>
    <row r="1076" spans="1:15" x14ac:dyDescent="0.35">
      <c r="A1076">
        <v>2075</v>
      </c>
      <c r="B1076" t="s">
        <v>377</v>
      </c>
      <c r="C1076" s="1">
        <v>45323</v>
      </c>
      <c r="D1076" s="1">
        <v>45338</v>
      </c>
      <c r="E1076" s="1">
        <v>45339</v>
      </c>
      <c r="F1076" t="s">
        <v>29</v>
      </c>
      <c r="G1076" t="s">
        <v>39</v>
      </c>
      <c r="H1076" t="s">
        <v>23</v>
      </c>
      <c r="I1076">
        <v>15</v>
      </c>
      <c r="J1076">
        <v>1</v>
      </c>
      <c r="K1076">
        <v>2558</v>
      </c>
      <c r="L1076">
        <v>2558</v>
      </c>
      <c r="M1076" t="s">
        <v>24</v>
      </c>
      <c r="N1076">
        <v>1</v>
      </c>
      <c r="O1076" t="s">
        <v>31</v>
      </c>
    </row>
    <row r="1077" spans="1:15" x14ac:dyDescent="0.35">
      <c r="A1077">
        <v>2076</v>
      </c>
      <c r="B1077" t="s">
        <v>853</v>
      </c>
      <c r="C1077" s="1">
        <v>45428</v>
      </c>
      <c r="D1077" s="1">
        <v>45444</v>
      </c>
      <c r="E1077" s="1">
        <v>45448</v>
      </c>
      <c r="F1077" t="s">
        <v>38</v>
      </c>
      <c r="G1077" t="s">
        <v>22</v>
      </c>
      <c r="H1077" t="s">
        <v>23</v>
      </c>
      <c r="I1077">
        <v>16</v>
      </c>
      <c r="J1077">
        <v>4</v>
      </c>
      <c r="K1077">
        <v>8221</v>
      </c>
      <c r="L1077">
        <v>32884</v>
      </c>
      <c r="M1077" t="s">
        <v>51</v>
      </c>
      <c r="N1077">
        <v>0</v>
      </c>
      <c r="O1077" t="s">
        <v>31</v>
      </c>
    </row>
    <row r="1078" spans="1:15" x14ac:dyDescent="0.35">
      <c r="A1078">
        <v>2077</v>
      </c>
      <c r="B1078" t="s">
        <v>854</v>
      </c>
      <c r="C1078" s="1">
        <v>45303</v>
      </c>
      <c r="D1078" s="1">
        <v>45320</v>
      </c>
      <c r="E1078" s="1">
        <v>45324</v>
      </c>
      <c r="F1078" t="s">
        <v>60</v>
      </c>
      <c r="G1078" t="s">
        <v>22</v>
      </c>
      <c r="H1078" t="s">
        <v>23</v>
      </c>
      <c r="I1078">
        <v>17</v>
      </c>
      <c r="J1078">
        <v>4</v>
      </c>
      <c r="K1078">
        <v>5430</v>
      </c>
      <c r="L1078">
        <v>21720</v>
      </c>
      <c r="M1078" t="s">
        <v>24</v>
      </c>
      <c r="N1078">
        <v>1</v>
      </c>
      <c r="O1078" t="s">
        <v>25</v>
      </c>
    </row>
    <row r="1079" spans="1:15" x14ac:dyDescent="0.35">
      <c r="A1079">
        <v>2078</v>
      </c>
      <c r="B1079" t="s">
        <v>606</v>
      </c>
      <c r="C1079" s="1">
        <v>45593</v>
      </c>
      <c r="D1079" s="1">
        <v>45619</v>
      </c>
      <c r="E1079" s="1">
        <v>45624</v>
      </c>
      <c r="F1079" t="s">
        <v>21</v>
      </c>
      <c r="G1079" t="s">
        <v>39</v>
      </c>
      <c r="H1079" t="s">
        <v>30</v>
      </c>
      <c r="I1079">
        <v>26</v>
      </c>
      <c r="J1079">
        <v>5</v>
      </c>
      <c r="K1079">
        <v>7438</v>
      </c>
      <c r="L1079">
        <v>37190</v>
      </c>
      <c r="M1079" t="s">
        <v>24</v>
      </c>
      <c r="N1079">
        <v>0</v>
      </c>
      <c r="O1079" t="s">
        <v>25</v>
      </c>
    </row>
    <row r="1080" spans="1:15" x14ac:dyDescent="0.35">
      <c r="A1080">
        <v>2079</v>
      </c>
      <c r="B1080" t="s">
        <v>452</v>
      </c>
      <c r="C1080" s="1">
        <v>45307</v>
      </c>
      <c r="D1080" s="1">
        <v>45309</v>
      </c>
      <c r="E1080" s="1">
        <v>45311</v>
      </c>
      <c r="F1080" t="s">
        <v>21</v>
      </c>
      <c r="G1080" t="s">
        <v>22</v>
      </c>
      <c r="H1080" t="s">
        <v>30</v>
      </c>
      <c r="I1080">
        <v>2</v>
      </c>
      <c r="J1080">
        <v>2</v>
      </c>
      <c r="K1080">
        <v>5471</v>
      </c>
      <c r="L1080">
        <v>10942</v>
      </c>
      <c r="M1080" t="s">
        <v>51</v>
      </c>
      <c r="N1080">
        <v>0</v>
      </c>
      <c r="O1080" t="s">
        <v>31</v>
      </c>
    </row>
    <row r="1081" spans="1:15" x14ac:dyDescent="0.35">
      <c r="A1081">
        <v>2080</v>
      </c>
      <c r="B1081" t="s">
        <v>576</v>
      </c>
      <c r="C1081" s="1">
        <v>45420</v>
      </c>
      <c r="D1081" s="1">
        <v>45470</v>
      </c>
      <c r="E1081" s="1">
        <v>45473</v>
      </c>
      <c r="F1081" t="s">
        <v>60</v>
      </c>
      <c r="G1081" t="s">
        <v>22</v>
      </c>
      <c r="H1081" t="s">
        <v>46</v>
      </c>
      <c r="I1081">
        <v>50</v>
      </c>
      <c r="J1081">
        <v>3</v>
      </c>
      <c r="K1081">
        <v>4027</v>
      </c>
      <c r="L1081">
        <v>12081</v>
      </c>
      <c r="M1081" t="s">
        <v>24</v>
      </c>
      <c r="N1081">
        <v>1</v>
      </c>
      <c r="O1081" t="s">
        <v>31</v>
      </c>
    </row>
    <row r="1082" spans="1:15" x14ac:dyDescent="0.35">
      <c r="A1082">
        <v>2081</v>
      </c>
      <c r="B1082" t="s">
        <v>855</v>
      </c>
      <c r="C1082" s="1">
        <v>45354</v>
      </c>
      <c r="D1082" s="1">
        <v>45366</v>
      </c>
      <c r="E1082" s="1">
        <v>45369</v>
      </c>
      <c r="F1082" t="s">
        <v>38</v>
      </c>
      <c r="G1082" t="s">
        <v>39</v>
      </c>
      <c r="H1082" t="s">
        <v>46</v>
      </c>
      <c r="I1082">
        <v>12</v>
      </c>
      <c r="J1082">
        <v>3</v>
      </c>
      <c r="K1082">
        <v>8325</v>
      </c>
      <c r="L1082">
        <v>24975</v>
      </c>
      <c r="M1082" t="s">
        <v>51</v>
      </c>
      <c r="N1082">
        <v>0</v>
      </c>
      <c r="O1082" t="s">
        <v>25</v>
      </c>
    </row>
    <row r="1083" spans="1:15" x14ac:dyDescent="0.35">
      <c r="A1083">
        <v>2082</v>
      </c>
      <c r="B1083" t="s">
        <v>784</v>
      </c>
      <c r="C1083" s="1">
        <v>45400</v>
      </c>
      <c r="D1083" s="1">
        <v>45451</v>
      </c>
      <c r="E1083" s="1">
        <v>45454</v>
      </c>
      <c r="F1083" t="s">
        <v>60</v>
      </c>
      <c r="G1083" t="s">
        <v>22</v>
      </c>
      <c r="H1083" t="s">
        <v>23</v>
      </c>
      <c r="I1083">
        <v>51</v>
      </c>
      <c r="J1083">
        <v>3</v>
      </c>
      <c r="K1083">
        <v>2622</v>
      </c>
      <c r="L1083">
        <v>7866</v>
      </c>
      <c r="M1083" t="s">
        <v>24</v>
      </c>
      <c r="N1083">
        <v>1</v>
      </c>
      <c r="O1083" t="s">
        <v>25</v>
      </c>
    </row>
    <row r="1084" spans="1:15" x14ac:dyDescent="0.35">
      <c r="A1084">
        <v>2083</v>
      </c>
      <c r="B1084" t="s">
        <v>830</v>
      </c>
      <c r="C1084" s="1">
        <v>45312</v>
      </c>
      <c r="D1084" s="1">
        <v>45338</v>
      </c>
      <c r="E1084" s="1">
        <v>45339</v>
      </c>
      <c r="F1084" t="s">
        <v>35</v>
      </c>
      <c r="G1084" t="s">
        <v>39</v>
      </c>
      <c r="H1084" t="s">
        <v>30</v>
      </c>
      <c r="I1084">
        <v>26</v>
      </c>
      <c r="J1084">
        <v>1</v>
      </c>
      <c r="K1084">
        <v>6219</v>
      </c>
      <c r="L1084">
        <v>6219</v>
      </c>
      <c r="M1084" t="s">
        <v>51</v>
      </c>
      <c r="N1084">
        <v>1</v>
      </c>
      <c r="O1084" t="s">
        <v>25</v>
      </c>
    </row>
    <row r="1085" spans="1:15" x14ac:dyDescent="0.35">
      <c r="A1085">
        <v>2084</v>
      </c>
      <c r="B1085" t="s">
        <v>824</v>
      </c>
      <c r="C1085" s="1">
        <v>45449</v>
      </c>
      <c r="D1085" s="1">
        <v>45472</v>
      </c>
      <c r="E1085" s="1">
        <v>45476</v>
      </c>
      <c r="F1085" t="s">
        <v>29</v>
      </c>
      <c r="G1085" t="s">
        <v>22</v>
      </c>
      <c r="H1085" t="s">
        <v>30</v>
      </c>
      <c r="I1085">
        <v>23</v>
      </c>
      <c r="J1085">
        <v>4</v>
      </c>
      <c r="K1085">
        <v>3936</v>
      </c>
      <c r="L1085">
        <v>15744</v>
      </c>
      <c r="M1085" t="s">
        <v>51</v>
      </c>
      <c r="N1085">
        <v>0</v>
      </c>
      <c r="O1085" t="s">
        <v>25</v>
      </c>
    </row>
    <row r="1086" spans="1:15" x14ac:dyDescent="0.35">
      <c r="A1086">
        <v>2085</v>
      </c>
      <c r="B1086" t="s">
        <v>856</v>
      </c>
      <c r="C1086" s="1">
        <v>45560</v>
      </c>
      <c r="D1086" s="1">
        <v>45578</v>
      </c>
      <c r="E1086" s="1">
        <v>45580</v>
      </c>
      <c r="F1086" t="s">
        <v>29</v>
      </c>
      <c r="G1086" t="s">
        <v>39</v>
      </c>
      <c r="H1086" t="s">
        <v>46</v>
      </c>
      <c r="I1086">
        <v>18</v>
      </c>
      <c r="J1086">
        <v>2</v>
      </c>
      <c r="K1086">
        <v>3662</v>
      </c>
      <c r="L1086">
        <v>7324</v>
      </c>
      <c r="M1086" t="s">
        <v>24</v>
      </c>
      <c r="N1086">
        <v>0</v>
      </c>
      <c r="O1086" t="s">
        <v>31</v>
      </c>
    </row>
    <row r="1087" spans="1:15" x14ac:dyDescent="0.35">
      <c r="A1087">
        <v>2086</v>
      </c>
      <c r="B1087" t="s">
        <v>123</v>
      </c>
      <c r="C1087" s="1">
        <v>45453</v>
      </c>
      <c r="D1087" s="1">
        <v>45485</v>
      </c>
      <c r="E1087" s="1">
        <v>45486</v>
      </c>
      <c r="F1087" t="s">
        <v>38</v>
      </c>
      <c r="G1087" t="s">
        <v>39</v>
      </c>
      <c r="H1087" t="s">
        <v>30</v>
      </c>
      <c r="I1087">
        <v>32</v>
      </c>
      <c r="J1087">
        <v>1</v>
      </c>
      <c r="K1087">
        <v>5800</v>
      </c>
      <c r="L1087">
        <v>5800</v>
      </c>
      <c r="M1087" t="s">
        <v>24</v>
      </c>
      <c r="N1087">
        <v>1</v>
      </c>
      <c r="O1087" t="s">
        <v>25</v>
      </c>
    </row>
    <row r="1088" spans="1:15" x14ac:dyDescent="0.35">
      <c r="A1088">
        <v>2087</v>
      </c>
      <c r="B1088" t="s">
        <v>586</v>
      </c>
      <c r="C1088" s="1">
        <v>45551</v>
      </c>
      <c r="D1088" s="1">
        <v>45600</v>
      </c>
      <c r="E1088" s="1">
        <v>45604</v>
      </c>
      <c r="F1088" t="s">
        <v>60</v>
      </c>
      <c r="G1088" t="s">
        <v>39</v>
      </c>
      <c r="H1088" t="s">
        <v>46</v>
      </c>
      <c r="I1088">
        <v>49</v>
      </c>
      <c r="J1088">
        <v>4</v>
      </c>
      <c r="K1088">
        <v>5845</v>
      </c>
      <c r="L1088">
        <v>23380</v>
      </c>
      <c r="M1088" t="s">
        <v>51</v>
      </c>
      <c r="N1088">
        <v>1</v>
      </c>
      <c r="O1088" t="s">
        <v>31</v>
      </c>
    </row>
    <row r="1089" spans="1:15" x14ac:dyDescent="0.35">
      <c r="A1089">
        <v>2088</v>
      </c>
      <c r="B1089" t="s">
        <v>857</v>
      </c>
      <c r="C1089" s="1">
        <v>45393</v>
      </c>
      <c r="D1089" s="1">
        <v>45431</v>
      </c>
      <c r="E1089" s="1">
        <v>45435</v>
      </c>
      <c r="F1089" t="s">
        <v>21</v>
      </c>
      <c r="G1089" t="s">
        <v>39</v>
      </c>
      <c r="H1089" t="s">
        <v>23</v>
      </c>
      <c r="I1089">
        <v>38</v>
      </c>
      <c r="J1089">
        <v>4</v>
      </c>
      <c r="K1089">
        <v>4986</v>
      </c>
      <c r="L1089">
        <v>19944</v>
      </c>
      <c r="M1089" t="s">
        <v>51</v>
      </c>
      <c r="N1089">
        <v>0</v>
      </c>
      <c r="O1089" t="s">
        <v>31</v>
      </c>
    </row>
    <row r="1090" spans="1:15" x14ac:dyDescent="0.35">
      <c r="A1090">
        <v>2089</v>
      </c>
      <c r="B1090" t="s">
        <v>156</v>
      </c>
      <c r="C1090" s="1">
        <v>45514</v>
      </c>
      <c r="D1090" s="1">
        <v>45571</v>
      </c>
      <c r="E1090" s="1">
        <v>45573</v>
      </c>
      <c r="F1090" t="s">
        <v>21</v>
      </c>
      <c r="G1090" t="s">
        <v>39</v>
      </c>
      <c r="H1090" t="s">
        <v>23</v>
      </c>
      <c r="I1090">
        <v>57</v>
      </c>
      <c r="J1090">
        <v>2</v>
      </c>
      <c r="K1090">
        <v>3061</v>
      </c>
      <c r="L1090">
        <v>6122</v>
      </c>
      <c r="M1090" t="s">
        <v>24</v>
      </c>
      <c r="N1090">
        <v>1</v>
      </c>
      <c r="O1090" t="s">
        <v>25</v>
      </c>
    </row>
    <row r="1091" spans="1:15" x14ac:dyDescent="0.35">
      <c r="A1091">
        <v>2090</v>
      </c>
      <c r="B1091" t="s">
        <v>170</v>
      </c>
      <c r="C1091" s="1">
        <v>45350</v>
      </c>
      <c r="D1091" s="1">
        <v>45397</v>
      </c>
      <c r="E1091" s="1">
        <v>45399</v>
      </c>
      <c r="F1091" t="s">
        <v>21</v>
      </c>
      <c r="G1091" t="s">
        <v>22</v>
      </c>
      <c r="H1091" t="s">
        <v>46</v>
      </c>
      <c r="I1091">
        <v>47</v>
      </c>
      <c r="J1091">
        <v>2</v>
      </c>
      <c r="K1091">
        <v>6481</v>
      </c>
      <c r="L1091">
        <v>12962</v>
      </c>
      <c r="M1091" t="s">
        <v>51</v>
      </c>
      <c r="N1091">
        <v>1</v>
      </c>
      <c r="O1091" t="s">
        <v>25</v>
      </c>
    </row>
    <row r="1092" spans="1:15" x14ac:dyDescent="0.35">
      <c r="A1092">
        <v>2091</v>
      </c>
      <c r="B1092" t="s">
        <v>858</v>
      </c>
      <c r="C1092" s="1">
        <v>45538</v>
      </c>
      <c r="D1092" s="1">
        <v>45541</v>
      </c>
      <c r="E1092" s="1">
        <v>45543</v>
      </c>
      <c r="F1092" t="s">
        <v>35</v>
      </c>
      <c r="G1092" t="s">
        <v>22</v>
      </c>
      <c r="H1092" t="s">
        <v>23</v>
      </c>
      <c r="I1092">
        <v>3</v>
      </c>
      <c r="J1092">
        <v>2</v>
      </c>
      <c r="K1092">
        <v>8761</v>
      </c>
      <c r="L1092">
        <v>17522</v>
      </c>
      <c r="M1092" t="s">
        <v>51</v>
      </c>
      <c r="N1092">
        <v>1</v>
      </c>
      <c r="O1092" t="s">
        <v>25</v>
      </c>
    </row>
    <row r="1093" spans="1:15" x14ac:dyDescent="0.35">
      <c r="A1093">
        <v>2092</v>
      </c>
      <c r="B1093" t="s">
        <v>859</v>
      </c>
      <c r="C1093" s="1">
        <v>45419</v>
      </c>
      <c r="D1093" s="1">
        <v>45457</v>
      </c>
      <c r="E1093" s="1">
        <v>45458</v>
      </c>
      <c r="F1093" t="s">
        <v>35</v>
      </c>
      <c r="G1093" t="s">
        <v>39</v>
      </c>
      <c r="H1093" t="s">
        <v>23</v>
      </c>
      <c r="I1093">
        <v>38</v>
      </c>
      <c r="J1093">
        <v>1</v>
      </c>
      <c r="K1093">
        <v>4237</v>
      </c>
      <c r="L1093">
        <v>4237</v>
      </c>
      <c r="M1093" t="s">
        <v>51</v>
      </c>
      <c r="N1093">
        <v>1</v>
      </c>
      <c r="O1093" t="s">
        <v>25</v>
      </c>
    </row>
    <row r="1094" spans="1:15" x14ac:dyDescent="0.35">
      <c r="A1094">
        <v>2093</v>
      </c>
      <c r="B1094" t="s">
        <v>860</v>
      </c>
      <c r="C1094" s="1">
        <v>45574</v>
      </c>
      <c r="D1094" s="1">
        <v>45577</v>
      </c>
      <c r="E1094" s="1">
        <v>45582</v>
      </c>
      <c r="F1094" t="s">
        <v>21</v>
      </c>
      <c r="G1094" t="s">
        <v>22</v>
      </c>
      <c r="H1094" t="s">
        <v>30</v>
      </c>
      <c r="I1094">
        <v>3</v>
      </c>
      <c r="J1094">
        <v>5</v>
      </c>
      <c r="K1094">
        <v>3404</v>
      </c>
      <c r="L1094">
        <v>17020</v>
      </c>
      <c r="M1094" t="s">
        <v>24</v>
      </c>
      <c r="N1094">
        <v>1</v>
      </c>
      <c r="O1094" t="s">
        <v>31</v>
      </c>
    </row>
    <row r="1095" spans="1:15" x14ac:dyDescent="0.35">
      <c r="A1095">
        <v>2094</v>
      </c>
      <c r="B1095" t="s">
        <v>861</v>
      </c>
      <c r="C1095" s="1">
        <v>45616</v>
      </c>
      <c r="D1095" s="1">
        <v>45646</v>
      </c>
      <c r="E1095" s="1">
        <v>45648</v>
      </c>
      <c r="F1095" t="s">
        <v>38</v>
      </c>
      <c r="G1095" t="s">
        <v>22</v>
      </c>
      <c r="H1095" t="s">
        <v>30</v>
      </c>
      <c r="I1095">
        <v>30</v>
      </c>
      <c r="J1095">
        <v>2</v>
      </c>
      <c r="K1095">
        <v>6054</v>
      </c>
      <c r="L1095">
        <v>12108</v>
      </c>
      <c r="M1095" t="s">
        <v>51</v>
      </c>
      <c r="N1095">
        <v>1</v>
      </c>
      <c r="O1095" t="s">
        <v>31</v>
      </c>
    </row>
    <row r="1096" spans="1:15" x14ac:dyDescent="0.35">
      <c r="A1096">
        <v>2095</v>
      </c>
      <c r="B1096" t="s">
        <v>696</v>
      </c>
      <c r="C1096" s="1">
        <v>45316</v>
      </c>
      <c r="D1096" s="1">
        <v>45317</v>
      </c>
      <c r="E1096" s="1">
        <v>45322</v>
      </c>
      <c r="F1096" t="s">
        <v>35</v>
      </c>
      <c r="G1096" t="s">
        <v>22</v>
      </c>
      <c r="H1096" t="s">
        <v>30</v>
      </c>
      <c r="I1096">
        <v>1</v>
      </c>
      <c r="J1096">
        <v>5</v>
      </c>
      <c r="K1096">
        <v>6990</v>
      </c>
      <c r="L1096">
        <v>34950</v>
      </c>
      <c r="M1096" t="s">
        <v>51</v>
      </c>
      <c r="N1096">
        <v>0</v>
      </c>
      <c r="O1096" t="s">
        <v>31</v>
      </c>
    </row>
    <row r="1097" spans="1:15" x14ac:dyDescent="0.35">
      <c r="A1097">
        <v>2096</v>
      </c>
      <c r="B1097" t="s">
        <v>439</v>
      </c>
      <c r="C1097" s="1">
        <v>45422</v>
      </c>
      <c r="D1097" s="1">
        <v>45452</v>
      </c>
      <c r="E1097" s="1">
        <v>45453</v>
      </c>
      <c r="F1097" t="s">
        <v>35</v>
      </c>
      <c r="G1097" t="s">
        <v>39</v>
      </c>
      <c r="H1097" t="s">
        <v>30</v>
      </c>
      <c r="I1097">
        <v>30</v>
      </c>
      <c r="J1097">
        <v>1</v>
      </c>
      <c r="K1097">
        <v>4226</v>
      </c>
      <c r="L1097">
        <v>4226</v>
      </c>
      <c r="M1097" t="s">
        <v>24</v>
      </c>
      <c r="N1097">
        <v>1</v>
      </c>
      <c r="O1097" t="s">
        <v>25</v>
      </c>
    </row>
    <row r="1098" spans="1:15" x14ac:dyDescent="0.35">
      <c r="A1098">
        <v>2097</v>
      </c>
      <c r="B1098" t="s">
        <v>862</v>
      </c>
      <c r="C1098" s="1">
        <v>45644</v>
      </c>
      <c r="D1098" s="1">
        <v>45689</v>
      </c>
      <c r="E1098" s="1">
        <v>45694</v>
      </c>
      <c r="F1098" t="s">
        <v>29</v>
      </c>
      <c r="G1098" t="s">
        <v>39</v>
      </c>
      <c r="H1098" t="s">
        <v>30</v>
      </c>
      <c r="I1098">
        <v>45</v>
      </c>
      <c r="J1098">
        <v>5</v>
      </c>
      <c r="K1098">
        <v>5423</v>
      </c>
      <c r="L1098">
        <v>27115</v>
      </c>
      <c r="M1098" t="s">
        <v>51</v>
      </c>
      <c r="N1098">
        <v>1</v>
      </c>
      <c r="O1098" t="s">
        <v>31</v>
      </c>
    </row>
    <row r="1099" spans="1:15" x14ac:dyDescent="0.35">
      <c r="A1099">
        <v>2098</v>
      </c>
      <c r="B1099" t="s">
        <v>395</v>
      </c>
      <c r="C1099" s="1">
        <v>45487</v>
      </c>
      <c r="D1099" s="1">
        <v>45519</v>
      </c>
      <c r="E1099" s="1">
        <v>45522</v>
      </c>
      <c r="F1099" t="s">
        <v>29</v>
      </c>
      <c r="G1099" t="s">
        <v>22</v>
      </c>
      <c r="H1099" t="s">
        <v>46</v>
      </c>
      <c r="I1099">
        <v>32</v>
      </c>
      <c r="J1099">
        <v>3</v>
      </c>
      <c r="K1099">
        <v>6031</v>
      </c>
      <c r="L1099">
        <v>18093</v>
      </c>
      <c r="M1099" t="s">
        <v>51</v>
      </c>
      <c r="N1099">
        <v>0</v>
      </c>
      <c r="O1099" t="s">
        <v>25</v>
      </c>
    </row>
    <row r="1100" spans="1:15" x14ac:dyDescent="0.35">
      <c r="A1100">
        <v>2099</v>
      </c>
      <c r="B1100" t="s">
        <v>863</v>
      </c>
      <c r="C1100" s="1">
        <v>45572</v>
      </c>
      <c r="D1100" s="1">
        <v>45600</v>
      </c>
      <c r="E1100" s="1">
        <v>45605</v>
      </c>
      <c r="F1100" t="s">
        <v>38</v>
      </c>
      <c r="G1100" t="s">
        <v>39</v>
      </c>
      <c r="H1100" t="s">
        <v>46</v>
      </c>
      <c r="I1100">
        <v>28</v>
      </c>
      <c r="J1100">
        <v>5</v>
      </c>
      <c r="K1100">
        <v>6406</v>
      </c>
      <c r="L1100">
        <v>32030</v>
      </c>
      <c r="M1100" t="s">
        <v>51</v>
      </c>
      <c r="N1100">
        <v>0</v>
      </c>
      <c r="O1100" t="s">
        <v>31</v>
      </c>
    </row>
    <row r="1101" spans="1:15" x14ac:dyDescent="0.35">
      <c r="A1101">
        <v>2100</v>
      </c>
      <c r="B1101" t="s">
        <v>795</v>
      </c>
      <c r="C1101" s="1">
        <v>45445</v>
      </c>
      <c r="D1101" s="1">
        <v>45466</v>
      </c>
      <c r="E1101" s="1">
        <v>45468</v>
      </c>
      <c r="F1101" t="s">
        <v>35</v>
      </c>
      <c r="G1101" t="s">
        <v>39</v>
      </c>
      <c r="H1101" t="s">
        <v>30</v>
      </c>
      <c r="I1101">
        <v>21</v>
      </c>
      <c r="J1101">
        <v>2</v>
      </c>
      <c r="K1101">
        <v>8312</v>
      </c>
      <c r="L1101">
        <v>16624</v>
      </c>
      <c r="M1101" t="s">
        <v>51</v>
      </c>
      <c r="N1101">
        <v>0</v>
      </c>
      <c r="O1101" t="s">
        <v>25</v>
      </c>
    </row>
    <row r="1102" spans="1:15" x14ac:dyDescent="0.35">
      <c r="A1102">
        <v>2101</v>
      </c>
      <c r="B1102" t="s">
        <v>260</v>
      </c>
      <c r="C1102" s="1">
        <v>45424</v>
      </c>
      <c r="D1102" s="1">
        <v>45482</v>
      </c>
      <c r="E1102" s="1">
        <v>45483</v>
      </c>
      <c r="F1102" t="s">
        <v>35</v>
      </c>
      <c r="G1102" t="s">
        <v>22</v>
      </c>
      <c r="H1102" t="s">
        <v>23</v>
      </c>
      <c r="I1102">
        <v>58</v>
      </c>
      <c r="J1102">
        <v>1</v>
      </c>
      <c r="K1102">
        <v>3434</v>
      </c>
      <c r="L1102">
        <v>3434</v>
      </c>
      <c r="M1102" t="s">
        <v>24</v>
      </c>
      <c r="N1102">
        <v>1</v>
      </c>
      <c r="O1102" t="s">
        <v>31</v>
      </c>
    </row>
    <row r="1103" spans="1:15" x14ac:dyDescent="0.35">
      <c r="A1103">
        <v>2102</v>
      </c>
      <c r="B1103" t="s">
        <v>864</v>
      </c>
      <c r="C1103" s="1">
        <v>45518</v>
      </c>
      <c r="D1103" s="1">
        <v>45564</v>
      </c>
      <c r="E1103" s="1">
        <v>45566</v>
      </c>
      <c r="F1103" t="s">
        <v>60</v>
      </c>
      <c r="G1103" t="s">
        <v>39</v>
      </c>
      <c r="H1103" t="s">
        <v>23</v>
      </c>
      <c r="I1103">
        <v>46</v>
      </c>
      <c r="J1103">
        <v>2</v>
      </c>
      <c r="K1103">
        <v>7697</v>
      </c>
      <c r="L1103">
        <v>15394</v>
      </c>
      <c r="M1103" t="s">
        <v>51</v>
      </c>
      <c r="N1103">
        <v>0</v>
      </c>
      <c r="O1103" t="s">
        <v>31</v>
      </c>
    </row>
    <row r="1104" spans="1:15" x14ac:dyDescent="0.35">
      <c r="A1104">
        <v>2103</v>
      </c>
      <c r="B1104" t="s">
        <v>212</v>
      </c>
      <c r="C1104" s="1">
        <v>45480</v>
      </c>
      <c r="D1104" s="1">
        <v>45493</v>
      </c>
      <c r="E1104" s="1">
        <v>45496</v>
      </c>
      <c r="F1104" t="s">
        <v>38</v>
      </c>
      <c r="G1104" t="s">
        <v>39</v>
      </c>
      <c r="H1104" t="s">
        <v>46</v>
      </c>
      <c r="I1104">
        <v>13</v>
      </c>
      <c r="J1104">
        <v>3</v>
      </c>
      <c r="K1104">
        <v>8031</v>
      </c>
      <c r="L1104">
        <v>24093</v>
      </c>
      <c r="M1104" t="s">
        <v>51</v>
      </c>
      <c r="N1104">
        <v>1</v>
      </c>
      <c r="O1104" t="s">
        <v>25</v>
      </c>
    </row>
    <row r="1105" spans="1:15" x14ac:dyDescent="0.35">
      <c r="A1105">
        <v>2104</v>
      </c>
      <c r="B1105" t="s">
        <v>865</v>
      </c>
      <c r="C1105" s="1">
        <v>45556</v>
      </c>
      <c r="D1105" s="1">
        <v>45583</v>
      </c>
      <c r="E1105" s="1">
        <v>45585</v>
      </c>
      <c r="F1105" t="s">
        <v>38</v>
      </c>
      <c r="G1105" t="s">
        <v>39</v>
      </c>
      <c r="H1105" t="s">
        <v>46</v>
      </c>
      <c r="I1105">
        <v>27</v>
      </c>
      <c r="J1105">
        <v>2</v>
      </c>
      <c r="K1105">
        <v>2574</v>
      </c>
      <c r="L1105">
        <v>5148</v>
      </c>
      <c r="M1105" t="s">
        <v>51</v>
      </c>
      <c r="N1105">
        <v>1</v>
      </c>
      <c r="O1105" t="s">
        <v>31</v>
      </c>
    </row>
    <row r="1106" spans="1:15" x14ac:dyDescent="0.35">
      <c r="A1106">
        <v>2105</v>
      </c>
      <c r="B1106" t="s">
        <v>349</v>
      </c>
      <c r="C1106" s="1">
        <v>45425</v>
      </c>
      <c r="D1106" s="1">
        <v>45461</v>
      </c>
      <c r="E1106" s="1">
        <v>45463</v>
      </c>
      <c r="F1106" t="s">
        <v>60</v>
      </c>
      <c r="G1106" t="s">
        <v>39</v>
      </c>
      <c r="H1106" t="s">
        <v>46</v>
      </c>
      <c r="I1106">
        <v>36</v>
      </c>
      <c r="J1106">
        <v>2</v>
      </c>
      <c r="K1106">
        <v>2794</v>
      </c>
      <c r="L1106">
        <v>5588</v>
      </c>
      <c r="M1106" t="s">
        <v>51</v>
      </c>
      <c r="N1106">
        <v>1</v>
      </c>
      <c r="O1106" t="s">
        <v>31</v>
      </c>
    </row>
    <row r="1107" spans="1:15" x14ac:dyDescent="0.35">
      <c r="A1107">
        <v>2106</v>
      </c>
      <c r="B1107" t="s">
        <v>417</v>
      </c>
      <c r="C1107" s="1">
        <v>45502</v>
      </c>
      <c r="D1107" s="1">
        <v>45509</v>
      </c>
      <c r="E1107" s="1">
        <v>45511</v>
      </c>
      <c r="F1107" t="s">
        <v>60</v>
      </c>
      <c r="G1107" t="s">
        <v>39</v>
      </c>
      <c r="H1107" t="s">
        <v>23</v>
      </c>
      <c r="I1107">
        <v>7</v>
      </c>
      <c r="J1107">
        <v>2</v>
      </c>
      <c r="K1107">
        <v>2520</v>
      </c>
      <c r="L1107">
        <v>5040</v>
      </c>
      <c r="M1107" t="s">
        <v>51</v>
      </c>
      <c r="N1107">
        <v>0</v>
      </c>
      <c r="O1107" t="s">
        <v>25</v>
      </c>
    </row>
    <row r="1108" spans="1:15" x14ac:dyDescent="0.35">
      <c r="A1108">
        <v>2107</v>
      </c>
      <c r="B1108" t="s">
        <v>305</v>
      </c>
      <c r="C1108" s="1">
        <v>45351</v>
      </c>
      <c r="D1108" s="1">
        <v>45373</v>
      </c>
      <c r="E1108" s="1">
        <v>45377</v>
      </c>
      <c r="F1108" t="s">
        <v>29</v>
      </c>
      <c r="G1108" t="s">
        <v>22</v>
      </c>
      <c r="H1108" t="s">
        <v>46</v>
      </c>
      <c r="I1108">
        <v>22</v>
      </c>
      <c r="J1108">
        <v>4</v>
      </c>
      <c r="K1108">
        <v>5742</v>
      </c>
      <c r="L1108">
        <v>22968</v>
      </c>
      <c r="M1108" t="s">
        <v>24</v>
      </c>
      <c r="N1108">
        <v>0</v>
      </c>
      <c r="O1108" t="s">
        <v>25</v>
      </c>
    </row>
    <row r="1109" spans="1:15" x14ac:dyDescent="0.35">
      <c r="A1109">
        <v>2108</v>
      </c>
      <c r="B1109" t="s">
        <v>866</v>
      </c>
      <c r="C1109" s="1">
        <v>45655</v>
      </c>
      <c r="D1109" s="1">
        <v>45665</v>
      </c>
      <c r="E1109" s="1">
        <v>45668</v>
      </c>
      <c r="F1109" t="s">
        <v>38</v>
      </c>
      <c r="G1109" t="s">
        <v>39</v>
      </c>
      <c r="H1109" t="s">
        <v>23</v>
      </c>
      <c r="I1109">
        <v>10</v>
      </c>
      <c r="J1109">
        <v>3</v>
      </c>
      <c r="K1109">
        <v>3538</v>
      </c>
      <c r="L1109">
        <v>10614</v>
      </c>
      <c r="M1109" t="s">
        <v>24</v>
      </c>
      <c r="N1109">
        <v>1</v>
      </c>
      <c r="O1109" t="s">
        <v>25</v>
      </c>
    </row>
    <row r="1110" spans="1:15" x14ac:dyDescent="0.35">
      <c r="A1110">
        <v>2109</v>
      </c>
      <c r="B1110" t="s">
        <v>867</v>
      </c>
      <c r="C1110" s="1">
        <v>45655</v>
      </c>
      <c r="D1110" s="1">
        <v>45694</v>
      </c>
      <c r="E1110" s="1">
        <v>45696</v>
      </c>
      <c r="F1110" t="s">
        <v>38</v>
      </c>
      <c r="G1110" t="s">
        <v>39</v>
      </c>
      <c r="H1110" t="s">
        <v>46</v>
      </c>
      <c r="I1110">
        <v>39</v>
      </c>
      <c r="J1110">
        <v>2</v>
      </c>
      <c r="K1110">
        <v>7830</v>
      </c>
      <c r="L1110">
        <v>15660</v>
      </c>
      <c r="M1110" t="s">
        <v>51</v>
      </c>
      <c r="N1110">
        <v>0</v>
      </c>
      <c r="O1110" t="s">
        <v>25</v>
      </c>
    </row>
    <row r="1111" spans="1:15" x14ac:dyDescent="0.35">
      <c r="A1111">
        <v>2110</v>
      </c>
      <c r="B1111" t="s">
        <v>868</v>
      </c>
      <c r="C1111" s="1">
        <v>45504</v>
      </c>
      <c r="D1111" s="1">
        <v>45557</v>
      </c>
      <c r="E1111" s="1">
        <v>45559</v>
      </c>
      <c r="F1111" t="s">
        <v>60</v>
      </c>
      <c r="G1111" t="s">
        <v>22</v>
      </c>
      <c r="H1111" t="s">
        <v>23</v>
      </c>
      <c r="I1111">
        <v>53</v>
      </c>
      <c r="J1111">
        <v>2</v>
      </c>
      <c r="K1111">
        <v>7155</v>
      </c>
      <c r="L1111">
        <v>14310</v>
      </c>
      <c r="M1111" t="s">
        <v>51</v>
      </c>
      <c r="N1111">
        <v>1</v>
      </c>
      <c r="O1111" t="s">
        <v>25</v>
      </c>
    </row>
    <row r="1112" spans="1:15" x14ac:dyDescent="0.35">
      <c r="A1112">
        <v>2111</v>
      </c>
      <c r="B1112" t="s">
        <v>869</v>
      </c>
      <c r="C1112" s="1">
        <v>45507</v>
      </c>
      <c r="D1112" s="1">
        <v>45522</v>
      </c>
      <c r="E1112" s="1">
        <v>45524</v>
      </c>
      <c r="F1112" t="s">
        <v>21</v>
      </c>
      <c r="G1112" t="s">
        <v>22</v>
      </c>
      <c r="H1112" t="s">
        <v>46</v>
      </c>
      <c r="I1112">
        <v>15</v>
      </c>
      <c r="J1112">
        <v>2</v>
      </c>
      <c r="K1112">
        <v>3609</v>
      </c>
      <c r="L1112">
        <v>7218</v>
      </c>
      <c r="M1112" t="s">
        <v>24</v>
      </c>
      <c r="N1112">
        <v>0</v>
      </c>
      <c r="O1112" t="s">
        <v>31</v>
      </c>
    </row>
    <row r="1113" spans="1:15" x14ac:dyDescent="0.35">
      <c r="A1113">
        <v>2112</v>
      </c>
      <c r="B1113" t="s">
        <v>870</v>
      </c>
      <c r="C1113" s="1">
        <v>45517</v>
      </c>
      <c r="D1113" s="1">
        <v>45532</v>
      </c>
      <c r="E1113" s="1">
        <v>45533</v>
      </c>
      <c r="F1113" t="s">
        <v>21</v>
      </c>
      <c r="G1113" t="s">
        <v>39</v>
      </c>
      <c r="H1113" t="s">
        <v>46</v>
      </c>
      <c r="I1113">
        <v>15</v>
      </c>
      <c r="J1113">
        <v>1</v>
      </c>
      <c r="K1113">
        <v>7768</v>
      </c>
      <c r="L1113">
        <v>7768</v>
      </c>
      <c r="M1113" t="s">
        <v>24</v>
      </c>
      <c r="N1113">
        <v>1</v>
      </c>
      <c r="O1113" t="s">
        <v>25</v>
      </c>
    </row>
    <row r="1114" spans="1:15" x14ac:dyDescent="0.35">
      <c r="A1114">
        <v>2113</v>
      </c>
      <c r="B1114" t="s">
        <v>230</v>
      </c>
      <c r="C1114" s="1">
        <v>45422</v>
      </c>
      <c r="D1114" s="1">
        <v>45426</v>
      </c>
      <c r="E1114" s="1">
        <v>45430</v>
      </c>
      <c r="F1114" t="s">
        <v>29</v>
      </c>
      <c r="G1114" t="s">
        <v>22</v>
      </c>
      <c r="H1114" t="s">
        <v>23</v>
      </c>
      <c r="I1114">
        <v>4</v>
      </c>
      <c r="J1114">
        <v>4</v>
      </c>
      <c r="K1114">
        <v>6271</v>
      </c>
      <c r="L1114">
        <v>25084</v>
      </c>
      <c r="M1114" t="s">
        <v>24</v>
      </c>
      <c r="N1114">
        <v>0</v>
      </c>
      <c r="O1114" t="s">
        <v>31</v>
      </c>
    </row>
    <row r="1115" spans="1:15" x14ac:dyDescent="0.35">
      <c r="A1115">
        <v>2114</v>
      </c>
      <c r="B1115" t="s">
        <v>506</v>
      </c>
      <c r="C1115" s="1">
        <v>45367</v>
      </c>
      <c r="D1115" s="1">
        <v>45399</v>
      </c>
      <c r="E1115" s="1">
        <v>45400</v>
      </c>
      <c r="F1115" t="s">
        <v>21</v>
      </c>
      <c r="G1115" t="s">
        <v>39</v>
      </c>
      <c r="H1115" t="s">
        <v>46</v>
      </c>
      <c r="I1115">
        <v>32</v>
      </c>
      <c r="J1115">
        <v>1</v>
      </c>
      <c r="K1115">
        <v>2871</v>
      </c>
      <c r="L1115">
        <v>2871</v>
      </c>
      <c r="M1115" t="s">
        <v>51</v>
      </c>
      <c r="N1115">
        <v>1</v>
      </c>
      <c r="O1115" t="s">
        <v>31</v>
      </c>
    </row>
    <row r="1116" spans="1:15" x14ac:dyDescent="0.35">
      <c r="A1116">
        <v>2115</v>
      </c>
      <c r="B1116" t="s">
        <v>871</v>
      </c>
      <c r="C1116" s="1">
        <v>45577</v>
      </c>
      <c r="D1116" s="1">
        <v>45600</v>
      </c>
      <c r="E1116" s="1">
        <v>45604</v>
      </c>
      <c r="F1116" t="s">
        <v>21</v>
      </c>
      <c r="G1116" t="s">
        <v>22</v>
      </c>
      <c r="H1116" t="s">
        <v>30</v>
      </c>
      <c r="I1116">
        <v>23</v>
      </c>
      <c r="J1116">
        <v>4</v>
      </c>
      <c r="K1116">
        <v>8623</v>
      </c>
      <c r="L1116">
        <v>34492</v>
      </c>
      <c r="M1116" t="s">
        <v>51</v>
      </c>
      <c r="N1116">
        <v>1</v>
      </c>
      <c r="O1116" t="s">
        <v>25</v>
      </c>
    </row>
    <row r="1117" spans="1:15" x14ac:dyDescent="0.35">
      <c r="A1117">
        <v>2116</v>
      </c>
      <c r="B1117" t="s">
        <v>259</v>
      </c>
      <c r="C1117" s="1">
        <v>45568</v>
      </c>
      <c r="D1117" s="1">
        <v>45623</v>
      </c>
      <c r="E1117" s="1">
        <v>45625</v>
      </c>
      <c r="F1117" t="s">
        <v>21</v>
      </c>
      <c r="G1117" t="s">
        <v>39</v>
      </c>
      <c r="H1117" t="s">
        <v>23</v>
      </c>
      <c r="I1117">
        <v>55</v>
      </c>
      <c r="J1117">
        <v>2</v>
      </c>
      <c r="K1117">
        <v>7413</v>
      </c>
      <c r="L1117">
        <v>14826</v>
      </c>
      <c r="M1117" t="s">
        <v>51</v>
      </c>
      <c r="N1117">
        <v>0</v>
      </c>
      <c r="O1117" t="s">
        <v>31</v>
      </c>
    </row>
    <row r="1118" spans="1:15" x14ac:dyDescent="0.35">
      <c r="A1118">
        <v>2117</v>
      </c>
      <c r="B1118" t="s">
        <v>872</v>
      </c>
      <c r="C1118" s="1">
        <v>45447</v>
      </c>
      <c r="D1118" s="1">
        <v>45453</v>
      </c>
      <c r="E1118" s="1">
        <v>45456</v>
      </c>
      <c r="F1118" t="s">
        <v>35</v>
      </c>
      <c r="G1118" t="s">
        <v>22</v>
      </c>
      <c r="H1118" t="s">
        <v>46</v>
      </c>
      <c r="I1118">
        <v>6</v>
      </c>
      <c r="J1118">
        <v>3</v>
      </c>
      <c r="K1118">
        <v>3674</v>
      </c>
      <c r="L1118">
        <v>11022</v>
      </c>
      <c r="M1118" t="s">
        <v>51</v>
      </c>
      <c r="N1118">
        <v>1</v>
      </c>
      <c r="O1118" t="s">
        <v>31</v>
      </c>
    </row>
    <row r="1119" spans="1:15" x14ac:dyDescent="0.35">
      <c r="A1119">
        <v>2118</v>
      </c>
      <c r="B1119" t="s">
        <v>873</v>
      </c>
      <c r="C1119" s="1">
        <v>45539</v>
      </c>
      <c r="D1119" s="1">
        <v>45563</v>
      </c>
      <c r="E1119" s="1">
        <v>45568</v>
      </c>
      <c r="F1119" t="s">
        <v>29</v>
      </c>
      <c r="G1119" t="s">
        <v>39</v>
      </c>
      <c r="H1119" t="s">
        <v>23</v>
      </c>
      <c r="I1119">
        <v>24</v>
      </c>
      <c r="J1119">
        <v>5</v>
      </c>
      <c r="K1119">
        <v>3664</v>
      </c>
      <c r="L1119">
        <v>18320</v>
      </c>
      <c r="M1119" t="s">
        <v>51</v>
      </c>
      <c r="N1119">
        <v>1</v>
      </c>
      <c r="O1119" t="s">
        <v>25</v>
      </c>
    </row>
    <row r="1120" spans="1:15" x14ac:dyDescent="0.35">
      <c r="A1120">
        <v>2119</v>
      </c>
      <c r="B1120" t="s">
        <v>874</v>
      </c>
      <c r="C1120" s="1">
        <v>45509</v>
      </c>
      <c r="D1120" s="1">
        <v>45529</v>
      </c>
      <c r="E1120" s="1">
        <v>45534</v>
      </c>
      <c r="F1120" t="s">
        <v>60</v>
      </c>
      <c r="G1120" t="s">
        <v>22</v>
      </c>
      <c r="H1120" t="s">
        <v>46</v>
      </c>
      <c r="I1120">
        <v>20</v>
      </c>
      <c r="J1120">
        <v>5</v>
      </c>
      <c r="K1120">
        <v>3592</v>
      </c>
      <c r="L1120">
        <v>17960</v>
      </c>
      <c r="M1120" t="s">
        <v>51</v>
      </c>
      <c r="N1120">
        <v>0</v>
      </c>
      <c r="O1120" t="s">
        <v>31</v>
      </c>
    </row>
    <row r="1121" spans="1:15" x14ac:dyDescent="0.35">
      <c r="A1121">
        <v>2120</v>
      </c>
      <c r="B1121" t="s">
        <v>875</v>
      </c>
      <c r="C1121" s="1">
        <v>45481</v>
      </c>
      <c r="D1121" s="1">
        <v>45539</v>
      </c>
      <c r="E1121" s="1">
        <v>45541</v>
      </c>
      <c r="F1121" t="s">
        <v>21</v>
      </c>
      <c r="G1121" t="s">
        <v>39</v>
      </c>
      <c r="H1121" t="s">
        <v>30</v>
      </c>
      <c r="I1121">
        <v>58</v>
      </c>
      <c r="J1121">
        <v>2</v>
      </c>
      <c r="K1121">
        <v>3783</v>
      </c>
      <c r="L1121">
        <v>7566</v>
      </c>
      <c r="M1121" t="s">
        <v>24</v>
      </c>
      <c r="N1121">
        <v>1</v>
      </c>
      <c r="O1121" t="s">
        <v>25</v>
      </c>
    </row>
    <row r="1122" spans="1:15" x14ac:dyDescent="0.35">
      <c r="A1122">
        <v>2121</v>
      </c>
      <c r="B1122" t="s">
        <v>644</v>
      </c>
      <c r="C1122" s="1">
        <v>45454</v>
      </c>
      <c r="D1122" s="1">
        <v>45491</v>
      </c>
      <c r="E1122" s="1">
        <v>45492</v>
      </c>
      <c r="F1122" t="s">
        <v>35</v>
      </c>
      <c r="G1122" t="s">
        <v>39</v>
      </c>
      <c r="H1122" t="s">
        <v>46</v>
      </c>
      <c r="I1122">
        <v>37</v>
      </c>
      <c r="J1122">
        <v>1</v>
      </c>
      <c r="K1122">
        <v>4511</v>
      </c>
      <c r="L1122">
        <v>4511</v>
      </c>
      <c r="M1122" t="s">
        <v>24</v>
      </c>
      <c r="N1122">
        <v>0</v>
      </c>
      <c r="O1122" t="s">
        <v>25</v>
      </c>
    </row>
    <row r="1123" spans="1:15" x14ac:dyDescent="0.35">
      <c r="A1123">
        <v>2122</v>
      </c>
      <c r="B1123" t="s">
        <v>876</v>
      </c>
      <c r="C1123" s="1">
        <v>45471</v>
      </c>
      <c r="D1123" s="1">
        <v>45491</v>
      </c>
      <c r="E1123" s="1">
        <v>45494</v>
      </c>
      <c r="F1123" t="s">
        <v>21</v>
      </c>
      <c r="G1123" t="s">
        <v>39</v>
      </c>
      <c r="H1123" t="s">
        <v>46</v>
      </c>
      <c r="I1123">
        <v>20</v>
      </c>
      <c r="J1123">
        <v>3</v>
      </c>
      <c r="K1123">
        <v>3345</v>
      </c>
      <c r="L1123">
        <v>10035</v>
      </c>
      <c r="M1123" t="s">
        <v>51</v>
      </c>
      <c r="N1123">
        <v>1</v>
      </c>
      <c r="O1123" t="s">
        <v>25</v>
      </c>
    </row>
    <row r="1124" spans="1:15" x14ac:dyDescent="0.35">
      <c r="A1124">
        <v>2123</v>
      </c>
      <c r="B1124" t="s">
        <v>238</v>
      </c>
      <c r="C1124" s="1">
        <v>45325</v>
      </c>
      <c r="D1124" s="1">
        <v>45337</v>
      </c>
      <c r="E1124" s="1">
        <v>45341</v>
      </c>
      <c r="F1124" t="s">
        <v>35</v>
      </c>
      <c r="G1124" t="s">
        <v>22</v>
      </c>
      <c r="H1124" t="s">
        <v>30</v>
      </c>
      <c r="I1124">
        <v>12</v>
      </c>
      <c r="J1124">
        <v>4</v>
      </c>
      <c r="K1124">
        <v>4491</v>
      </c>
      <c r="L1124">
        <v>17964</v>
      </c>
      <c r="M1124" t="s">
        <v>51</v>
      </c>
      <c r="N1124">
        <v>0</v>
      </c>
      <c r="O1124" t="s">
        <v>31</v>
      </c>
    </row>
    <row r="1125" spans="1:15" x14ac:dyDescent="0.35">
      <c r="A1125">
        <v>2124</v>
      </c>
      <c r="B1125" t="s">
        <v>492</v>
      </c>
      <c r="C1125" s="1">
        <v>45332</v>
      </c>
      <c r="D1125" s="1">
        <v>45365</v>
      </c>
      <c r="E1125" s="1">
        <v>45367</v>
      </c>
      <c r="F1125" t="s">
        <v>29</v>
      </c>
      <c r="G1125" t="s">
        <v>22</v>
      </c>
      <c r="H1125" t="s">
        <v>23</v>
      </c>
      <c r="I1125">
        <v>33</v>
      </c>
      <c r="J1125">
        <v>2</v>
      </c>
      <c r="K1125">
        <v>3020</v>
      </c>
      <c r="L1125">
        <v>6040</v>
      </c>
      <c r="M1125" t="s">
        <v>51</v>
      </c>
      <c r="N1125">
        <v>1</v>
      </c>
      <c r="O1125" t="s">
        <v>31</v>
      </c>
    </row>
    <row r="1126" spans="1:15" x14ac:dyDescent="0.35">
      <c r="A1126">
        <v>2125</v>
      </c>
      <c r="B1126" t="s">
        <v>271</v>
      </c>
      <c r="C1126" s="1">
        <v>45598</v>
      </c>
      <c r="D1126" s="1">
        <v>45626</v>
      </c>
      <c r="E1126" s="1">
        <v>45629</v>
      </c>
      <c r="F1126" t="s">
        <v>21</v>
      </c>
      <c r="G1126" t="s">
        <v>39</v>
      </c>
      <c r="H1126" t="s">
        <v>46</v>
      </c>
      <c r="I1126">
        <v>28</v>
      </c>
      <c r="J1126">
        <v>3</v>
      </c>
      <c r="K1126">
        <v>6966</v>
      </c>
      <c r="L1126">
        <v>20898</v>
      </c>
      <c r="M1126" t="s">
        <v>24</v>
      </c>
      <c r="N1126">
        <v>1</v>
      </c>
      <c r="O1126" t="s">
        <v>31</v>
      </c>
    </row>
    <row r="1127" spans="1:15" x14ac:dyDescent="0.35">
      <c r="A1127">
        <v>2126</v>
      </c>
      <c r="B1127" t="s">
        <v>877</v>
      </c>
      <c r="C1127" s="1">
        <v>45629</v>
      </c>
      <c r="D1127" s="1">
        <v>45637</v>
      </c>
      <c r="E1127" s="1">
        <v>45640</v>
      </c>
      <c r="F1127" t="s">
        <v>35</v>
      </c>
      <c r="G1127" t="s">
        <v>39</v>
      </c>
      <c r="H1127" t="s">
        <v>46</v>
      </c>
      <c r="I1127">
        <v>8</v>
      </c>
      <c r="J1127">
        <v>3</v>
      </c>
      <c r="K1127">
        <v>8038</v>
      </c>
      <c r="L1127">
        <v>24114</v>
      </c>
      <c r="M1127" t="s">
        <v>24</v>
      </c>
      <c r="N1127">
        <v>0</v>
      </c>
      <c r="O1127" t="s">
        <v>31</v>
      </c>
    </row>
    <row r="1128" spans="1:15" x14ac:dyDescent="0.35">
      <c r="A1128">
        <v>2127</v>
      </c>
      <c r="B1128" t="s">
        <v>198</v>
      </c>
      <c r="C1128" s="1">
        <v>45605</v>
      </c>
      <c r="D1128" s="1">
        <v>45606</v>
      </c>
      <c r="E1128" s="1">
        <v>45610</v>
      </c>
      <c r="F1128" t="s">
        <v>38</v>
      </c>
      <c r="G1128" t="s">
        <v>39</v>
      </c>
      <c r="H1128" t="s">
        <v>30</v>
      </c>
      <c r="I1128">
        <v>1</v>
      </c>
      <c r="J1128">
        <v>4</v>
      </c>
      <c r="K1128">
        <v>6696</v>
      </c>
      <c r="L1128">
        <v>26784</v>
      </c>
      <c r="M1128" t="s">
        <v>24</v>
      </c>
      <c r="N1128">
        <v>0</v>
      </c>
      <c r="O1128" t="s">
        <v>25</v>
      </c>
    </row>
    <row r="1129" spans="1:15" x14ac:dyDescent="0.35">
      <c r="A1129">
        <v>2128</v>
      </c>
      <c r="B1129" t="s">
        <v>507</v>
      </c>
      <c r="C1129" s="1">
        <v>45366</v>
      </c>
      <c r="D1129" s="1">
        <v>45403</v>
      </c>
      <c r="E1129" s="1">
        <v>45406</v>
      </c>
      <c r="F1129" t="s">
        <v>38</v>
      </c>
      <c r="G1129" t="s">
        <v>39</v>
      </c>
      <c r="H1129" t="s">
        <v>23</v>
      </c>
      <c r="I1129">
        <v>37</v>
      </c>
      <c r="J1129">
        <v>3</v>
      </c>
      <c r="K1129">
        <v>7256</v>
      </c>
      <c r="L1129">
        <v>21768</v>
      </c>
      <c r="M1129" t="s">
        <v>24</v>
      </c>
      <c r="N1129">
        <v>1</v>
      </c>
      <c r="O1129" t="s">
        <v>31</v>
      </c>
    </row>
    <row r="1130" spans="1:15" x14ac:dyDescent="0.35">
      <c r="A1130">
        <v>2129</v>
      </c>
      <c r="B1130" t="s">
        <v>878</v>
      </c>
      <c r="C1130" s="1">
        <v>45570</v>
      </c>
      <c r="D1130" s="1">
        <v>45592</v>
      </c>
      <c r="E1130" s="1">
        <v>45593</v>
      </c>
      <c r="F1130" t="s">
        <v>35</v>
      </c>
      <c r="G1130" t="s">
        <v>22</v>
      </c>
      <c r="H1130" t="s">
        <v>23</v>
      </c>
      <c r="I1130">
        <v>22</v>
      </c>
      <c r="J1130">
        <v>1</v>
      </c>
      <c r="K1130">
        <v>8277</v>
      </c>
      <c r="L1130">
        <v>8277</v>
      </c>
      <c r="M1130" t="s">
        <v>51</v>
      </c>
      <c r="N1130">
        <v>0</v>
      </c>
      <c r="O1130" t="s">
        <v>25</v>
      </c>
    </row>
    <row r="1131" spans="1:15" x14ac:dyDescent="0.35">
      <c r="A1131">
        <v>2130</v>
      </c>
      <c r="B1131" t="s">
        <v>879</v>
      </c>
      <c r="C1131" s="1">
        <v>45467</v>
      </c>
      <c r="D1131" s="1">
        <v>45473</v>
      </c>
      <c r="E1131" s="1">
        <v>45474</v>
      </c>
      <c r="F1131" t="s">
        <v>21</v>
      </c>
      <c r="G1131" t="s">
        <v>22</v>
      </c>
      <c r="H1131" t="s">
        <v>30</v>
      </c>
      <c r="I1131">
        <v>6</v>
      </c>
      <c r="J1131">
        <v>1</v>
      </c>
      <c r="K1131">
        <v>2742</v>
      </c>
      <c r="L1131">
        <v>2742</v>
      </c>
      <c r="M1131" t="s">
        <v>24</v>
      </c>
      <c r="N1131">
        <v>1</v>
      </c>
      <c r="O1131" t="s">
        <v>31</v>
      </c>
    </row>
    <row r="1132" spans="1:15" x14ac:dyDescent="0.35">
      <c r="A1132">
        <v>2131</v>
      </c>
      <c r="B1132" t="s">
        <v>880</v>
      </c>
      <c r="C1132" s="1">
        <v>45441</v>
      </c>
      <c r="D1132" s="1">
        <v>45462</v>
      </c>
      <c r="E1132" s="1">
        <v>45463</v>
      </c>
      <c r="F1132" t="s">
        <v>21</v>
      </c>
      <c r="G1132" t="s">
        <v>22</v>
      </c>
      <c r="H1132" t="s">
        <v>30</v>
      </c>
      <c r="I1132">
        <v>21</v>
      </c>
      <c r="J1132">
        <v>1</v>
      </c>
      <c r="K1132">
        <v>5300</v>
      </c>
      <c r="L1132">
        <v>5300</v>
      </c>
      <c r="M1132" t="s">
        <v>24</v>
      </c>
      <c r="N1132">
        <v>0</v>
      </c>
      <c r="O1132" t="s">
        <v>31</v>
      </c>
    </row>
    <row r="1133" spans="1:15" x14ac:dyDescent="0.35">
      <c r="A1133">
        <v>2132</v>
      </c>
      <c r="B1133" t="s">
        <v>881</v>
      </c>
      <c r="C1133" s="1">
        <v>45564</v>
      </c>
      <c r="D1133" s="1">
        <v>45596</v>
      </c>
      <c r="E1133" s="1">
        <v>45599</v>
      </c>
      <c r="F1133" t="s">
        <v>29</v>
      </c>
      <c r="G1133" t="s">
        <v>39</v>
      </c>
      <c r="H1133" t="s">
        <v>46</v>
      </c>
      <c r="I1133">
        <v>32</v>
      </c>
      <c r="J1133">
        <v>3</v>
      </c>
      <c r="K1133">
        <v>7107</v>
      </c>
      <c r="L1133">
        <v>21321</v>
      </c>
      <c r="M1133" t="s">
        <v>51</v>
      </c>
      <c r="N1133">
        <v>0</v>
      </c>
      <c r="O1133" t="s">
        <v>31</v>
      </c>
    </row>
    <row r="1134" spans="1:15" x14ac:dyDescent="0.35">
      <c r="A1134">
        <v>2133</v>
      </c>
      <c r="B1134" t="s">
        <v>479</v>
      </c>
      <c r="C1134" s="1">
        <v>45616</v>
      </c>
      <c r="D1134" s="1">
        <v>45651</v>
      </c>
      <c r="E1134" s="1">
        <v>45652</v>
      </c>
      <c r="F1134" t="s">
        <v>29</v>
      </c>
      <c r="G1134" t="s">
        <v>39</v>
      </c>
      <c r="H1134" t="s">
        <v>30</v>
      </c>
      <c r="I1134">
        <v>35</v>
      </c>
      <c r="J1134">
        <v>1</v>
      </c>
      <c r="K1134">
        <v>5396</v>
      </c>
      <c r="L1134">
        <v>5396</v>
      </c>
      <c r="M1134" t="s">
        <v>51</v>
      </c>
      <c r="N1134">
        <v>0</v>
      </c>
      <c r="O1134" t="s">
        <v>31</v>
      </c>
    </row>
    <row r="1135" spans="1:15" x14ac:dyDescent="0.35">
      <c r="A1135">
        <v>2134</v>
      </c>
      <c r="B1135" t="s">
        <v>76</v>
      </c>
      <c r="C1135" s="1">
        <v>45399</v>
      </c>
      <c r="D1135" s="1">
        <v>45414</v>
      </c>
      <c r="E1135" s="1">
        <v>45418</v>
      </c>
      <c r="F1135" t="s">
        <v>60</v>
      </c>
      <c r="G1135" t="s">
        <v>22</v>
      </c>
      <c r="H1135" t="s">
        <v>30</v>
      </c>
      <c r="I1135">
        <v>15</v>
      </c>
      <c r="J1135">
        <v>4</v>
      </c>
      <c r="K1135">
        <v>5102</v>
      </c>
      <c r="L1135">
        <v>20408</v>
      </c>
      <c r="M1135" t="s">
        <v>51</v>
      </c>
      <c r="N1135">
        <v>1</v>
      </c>
      <c r="O1135" t="s">
        <v>31</v>
      </c>
    </row>
    <row r="1136" spans="1:15" x14ac:dyDescent="0.35">
      <c r="A1136">
        <v>2135</v>
      </c>
      <c r="B1136" t="s">
        <v>882</v>
      </c>
      <c r="C1136" s="1">
        <v>45430</v>
      </c>
      <c r="D1136" s="1">
        <v>45435</v>
      </c>
      <c r="E1136" s="1">
        <v>45438</v>
      </c>
      <c r="F1136" t="s">
        <v>29</v>
      </c>
      <c r="G1136" t="s">
        <v>22</v>
      </c>
      <c r="H1136" t="s">
        <v>30</v>
      </c>
      <c r="I1136">
        <v>5</v>
      </c>
      <c r="J1136">
        <v>3</v>
      </c>
      <c r="K1136">
        <v>4773</v>
      </c>
      <c r="L1136">
        <v>14319</v>
      </c>
      <c r="M1136" t="s">
        <v>24</v>
      </c>
      <c r="N1136">
        <v>0</v>
      </c>
      <c r="O1136" t="s">
        <v>25</v>
      </c>
    </row>
    <row r="1137" spans="1:15" x14ac:dyDescent="0.35">
      <c r="A1137">
        <v>2136</v>
      </c>
      <c r="B1137" t="s">
        <v>638</v>
      </c>
      <c r="C1137" s="1">
        <v>45641</v>
      </c>
      <c r="D1137" s="1">
        <v>45697</v>
      </c>
      <c r="E1137" s="1">
        <v>45702</v>
      </c>
      <c r="F1137" t="s">
        <v>21</v>
      </c>
      <c r="G1137" t="s">
        <v>22</v>
      </c>
      <c r="H1137" t="s">
        <v>23</v>
      </c>
      <c r="I1137">
        <v>56</v>
      </c>
      <c r="J1137">
        <v>5</v>
      </c>
      <c r="K1137">
        <v>4041</v>
      </c>
      <c r="L1137">
        <v>20205</v>
      </c>
      <c r="M1137" t="s">
        <v>51</v>
      </c>
      <c r="N1137">
        <v>0</v>
      </c>
      <c r="O1137" t="s">
        <v>31</v>
      </c>
    </row>
    <row r="1138" spans="1:15" x14ac:dyDescent="0.35">
      <c r="A1138">
        <v>2137</v>
      </c>
      <c r="B1138" t="s">
        <v>800</v>
      </c>
      <c r="C1138" s="1">
        <v>45562</v>
      </c>
      <c r="D1138" s="1">
        <v>45608</v>
      </c>
      <c r="E1138" s="1">
        <v>45611</v>
      </c>
      <c r="F1138" t="s">
        <v>60</v>
      </c>
      <c r="G1138" t="s">
        <v>22</v>
      </c>
      <c r="H1138" t="s">
        <v>30</v>
      </c>
      <c r="I1138">
        <v>46</v>
      </c>
      <c r="J1138">
        <v>3</v>
      </c>
      <c r="K1138">
        <v>8857</v>
      </c>
      <c r="L1138">
        <v>26571</v>
      </c>
      <c r="M1138" t="s">
        <v>24</v>
      </c>
      <c r="N1138">
        <v>1</v>
      </c>
      <c r="O1138" t="s">
        <v>31</v>
      </c>
    </row>
    <row r="1139" spans="1:15" x14ac:dyDescent="0.35">
      <c r="A1139">
        <v>2138</v>
      </c>
      <c r="B1139" t="s">
        <v>883</v>
      </c>
      <c r="C1139" s="1">
        <v>45638</v>
      </c>
      <c r="D1139" s="1">
        <v>45688</v>
      </c>
      <c r="E1139" s="1">
        <v>45692</v>
      </c>
      <c r="F1139" t="s">
        <v>29</v>
      </c>
      <c r="G1139" t="s">
        <v>39</v>
      </c>
      <c r="H1139" t="s">
        <v>46</v>
      </c>
      <c r="I1139">
        <v>50</v>
      </c>
      <c r="J1139">
        <v>4</v>
      </c>
      <c r="K1139">
        <v>5265</v>
      </c>
      <c r="L1139">
        <v>21060</v>
      </c>
      <c r="M1139" t="s">
        <v>24</v>
      </c>
      <c r="N1139">
        <v>0</v>
      </c>
      <c r="O1139" t="s">
        <v>31</v>
      </c>
    </row>
    <row r="1140" spans="1:15" x14ac:dyDescent="0.35">
      <c r="A1140">
        <v>2139</v>
      </c>
      <c r="B1140" t="s">
        <v>579</v>
      </c>
      <c r="C1140" s="1">
        <v>45580</v>
      </c>
      <c r="D1140" s="1">
        <v>45628</v>
      </c>
      <c r="E1140" s="1">
        <v>45633</v>
      </c>
      <c r="F1140" t="s">
        <v>35</v>
      </c>
      <c r="G1140" t="s">
        <v>39</v>
      </c>
      <c r="H1140" t="s">
        <v>46</v>
      </c>
      <c r="I1140">
        <v>48</v>
      </c>
      <c r="J1140">
        <v>5</v>
      </c>
      <c r="K1140">
        <v>4614</v>
      </c>
      <c r="L1140">
        <v>23070</v>
      </c>
      <c r="M1140" t="s">
        <v>24</v>
      </c>
      <c r="N1140">
        <v>1</v>
      </c>
      <c r="O1140" t="s">
        <v>31</v>
      </c>
    </row>
    <row r="1141" spans="1:15" x14ac:dyDescent="0.35">
      <c r="A1141">
        <v>2140</v>
      </c>
      <c r="B1141" t="s">
        <v>186</v>
      </c>
      <c r="C1141" s="1">
        <v>45503</v>
      </c>
      <c r="D1141" s="1">
        <v>45509</v>
      </c>
      <c r="E1141" s="1">
        <v>45512</v>
      </c>
      <c r="F1141" t="s">
        <v>38</v>
      </c>
      <c r="G1141" t="s">
        <v>39</v>
      </c>
      <c r="H1141" t="s">
        <v>46</v>
      </c>
      <c r="I1141">
        <v>6</v>
      </c>
      <c r="J1141">
        <v>3</v>
      </c>
      <c r="K1141">
        <v>6991</v>
      </c>
      <c r="L1141">
        <v>20973</v>
      </c>
      <c r="M1141" t="s">
        <v>24</v>
      </c>
      <c r="N1141">
        <v>0</v>
      </c>
      <c r="O1141" t="s">
        <v>25</v>
      </c>
    </row>
    <row r="1142" spans="1:15" x14ac:dyDescent="0.35">
      <c r="A1142">
        <v>2141</v>
      </c>
      <c r="B1142" t="s">
        <v>184</v>
      </c>
      <c r="C1142" s="1">
        <v>45563</v>
      </c>
      <c r="D1142" s="1">
        <v>45588</v>
      </c>
      <c r="E1142" s="1">
        <v>45589</v>
      </c>
      <c r="F1142" t="s">
        <v>29</v>
      </c>
      <c r="G1142" t="s">
        <v>22</v>
      </c>
      <c r="H1142" t="s">
        <v>30</v>
      </c>
      <c r="I1142">
        <v>25</v>
      </c>
      <c r="J1142">
        <v>1</v>
      </c>
      <c r="K1142">
        <v>7207</v>
      </c>
      <c r="L1142">
        <v>7207</v>
      </c>
      <c r="M1142" t="s">
        <v>51</v>
      </c>
      <c r="N1142">
        <v>0</v>
      </c>
      <c r="O1142" t="s">
        <v>31</v>
      </c>
    </row>
    <row r="1143" spans="1:15" x14ac:dyDescent="0.35">
      <c r="A1143">
        <v>2142</v>
      </c>
      <c r="B1143" t="s">
        <v>884</v>
      </c>
      <c r="C1143" s="1">
        <v>45357</v>
      </c>
      <c r="D1143" s="1">
        <v>45413</v>
      </c>
      <c r="E1143" s="1">
        <v>45415</v>
      </c>
      <c r="F1143" t="s">
        <v>29</v>
      </c>
      <c r="G1143" t="s">
        <v>39</v>
      </c>
      <c r="H1143" t="s">
        <v>23</v>
      </c>
      <c r="I1143">
        <v>56</v>
      </c>
      <c r="J1143">
        <v>2</v>
      </c>
      <c r="K1143">
        <v>5583</v>
      </c>
      <c r="L1143">
        <v>11166</v>
      </c>
      <c r="M1143" t="s">
        <v>51</v>
      </c>
      <c r="N1143">
        <v>1</v>
      </c>
      <c r="O1143" t="s">
        <v>25</v>
      </c>
    </row>
    <row r="1144" spans="1:15" x14ac:dyDescent="0.35">
      <c r="A1144">
        <v>2143</v>
      </c>
      <c r="B1144" t="s">
        <v>184</v>
      </c>
      <c r="C1144" s="1">
        <v>45539</v>
      </c>
      <c r="D1144" s="1">
        <v>45585</v>
      </c>
      <c r="E1144" s="1">
        <v>45587</v>
      </c>
      <c r="F1144" t="s">
        <v>35</v>
      </c>
      <c r="G1144" t="s">
        <v>22</v>
      </c>
      <c r="H1144" t="s">
        <v>30</v>
      </c>
      <c r="I1144">
        <v>46</v>
      </c>
      <c r="J1144">
        <v>2</v>
      </c>
      <c r="K1144">
        <v>7856</v>
      </c>
      <c r="L1144">
        <v>15712</v>
      </c>
      <c r="M1144" t="s">
        <v>24</v>
      </c>
      <c r="N1144">
        <v>1</v>
      </c>
      <c r="O1144" t="s">
        <v>31</v>
      </c>
    </row>
    <row r="1145" spans="1:15" x14ac:dyDescent="0.35">
      <c r="A1145">
        <v>2144</v>
      </c>
      <c r="B1145" t="s">
        <v>458</v>
      </c>
      <c r="C1145" s="1">
        <v>45447</v>
      </c>
      <c r="D1145" s="1">
        <v>45506</v>
      </c>
      <c r="E1145" s="1">
        <v>45507</v>
      </c>
      <c r="F1145" t="s">
        <v>21</v>
      </c>
      <c r="G1145" t="s">
        <v>22</v>
      </c>
      <c r="H1145" t="s">
        <v>30</v>
      </c>
      <c r="I1145">
        <v>59</v>
      </c>
      <c r="J1145">
        <v>1</v>
      </c>
      <c r="K1145">
        <v>4357</v>
      </c>
      <c r="L1145">
        <v>4357</v>
      </c>
      <c r="M1145" t="s">
        <v>51</v>
      </c>
      <c r="N1145">
        <v>1</v>
      </c>
      <c r="O1145" t="s">
        <v>25</v>
      </c>
    </row>
    <row r="1146" spans="1:15" x14ac:dyDescent="0.35">
      <c r="A1146">
        <v>2145</v>
      </c>
      <c r="B1146" t="s">
        <v>885</v>
      </c>
      <c r="C1146" s="1">
        <v>45338</v>
      </c>
      <c r="D1146" s="1">
        <v>45394</v>
      </c>
      <c r="E1146" s="1">
        <v>45396</v>
      </c>
      <c r="F1146" t="s">
        <v>35</v>
      </c>
      <c r="G1146" t="s">
        <v>22</v>
      </c>
      <c r="H1146" t="s">
        <v>46</v>
      </c>
      <c r="I1146">
        <v>56</v>
      </c>
      <c r="J1146">
        <v>2</v>
      </c>
      <c r="K1146">
        <v>3269</v>
      </c>
      <c r="L1146">
        <v>6538</v>
      </c>
      <c r="M1146" t="s">
        <v>24</v>
      </c>
      <c r="N1146">
        <v>0</v>
      </c>
      <c r="O1146" t="s">
        <v>25</v>
      </c>
    </row>
    <row r="1147" spans="1:15" x14ac:dyDescent="0.35">
      <c r="A1147">
        <v>2146</v>
      </c>
      <c r="B1147" t="s">
        <v>886</v>
      </c>
      <c r="C1147" s="1">
        <v>45492</v>
      </c>
      <c r="D1147" s="1">
        <v>45532</v>
      </c>
      <c r="E1147" s="1">
        <v>45534</v>
      </c>
      <c r="F1147" t="s">
        <v>29</v>
      </c>
      <c r="G1147" t="s">
        <v>22</v>
      </c>
      <c r="H1147" t="s">
        <v>30</v>
      </c>
      <c r="I1147">
        <v>40</v>
      </c>
      <c r="J1147">
        <v>2</v>
      </c>
      <c r="K1147">
        <v>3922</v>
      </c>
      <c r="L1147">
        <v>7844</v>
      </c>
      <c r="M1147" t="s">
        <v>24</v>
      </c>
      <c r="N1147">
        <v>1</v>
      </c>
      <c r="O1147" t="s">
        <v>25</v>
      </c>
    </row>
    <row r="1148" spans="1:15" x14ac:dyDescent="0.35">
      <c r="A1148">
        <v>2147</v>
      </c>
      <c r="B1148" t="s">
        <v>887</v>
      </c>
      <c r="C1148" s="1">
        <v>45439</v>
      </c>
      <c r="D1148" s="1">
        <v>45468</v>
      </c>
      <c r="E1148" s="1">
        <v>45469</v>
      </c>
      <c r="F1148" t="s">
        <v>21</v>
      </c>
      <c r="G1148" t="s">
        <v>22</v>
      </c>
      <c r="H1148" t="s">
        <v>23</v>
      </c>
      <c r="I1148">
        <v>29</v>
      </c>
      <c r="J1148">
        <v>1</v>
      </c>
      <c r="K1148">
        <v>2906</v>
      </c>
      <c r="L1148">
        <v>2906</v>
      </c>
      <c r="M1148" t="s">
        <v>51</v>
      </c>
      <c r="N1148">
        <v>1</v>
      </c>
      <c r="O1148" t="s">
        <v>25</v>
      </c>
    </row>
    <row r="1149" spans="1:15" x14ac:dyDescent="0.35">
      <c r="A1149">
        <v>2148</v>
      </c>
      <c r="B1149" t="s">
        <v>271</v>
      </c>
      <c r="C1149" s="1">
        <v>45415</v>
      </c>
      <c r="D1149" s="1">
        <v>45422</v>
      </c>
      <c r="E1149" s="1">
        <v>45423</v>
      </c>
      <c r="F1149" t="s">
        <v>60</v>
      </c>
      <c r="G1149" t="s">
        <v>39</v>
      </c>
      <c r="H1149" t="s">
        <v>46</v>
      </c>
      <c r="I1149">
        <v>7</v>
      </c>
      <c r="J1149">
        <v>1</v>
      </c>
      <c r="K1149">
        <v>5472</v>
      </c>
      <c r="L1149">
        <v>5472</v>
      </c>
      <c r="M1149" t="s">
        <v>51</v>
      </c>
      <c r="N1149">
        <v>0</v>
      </c>
      <c r="O1149" t="s">
        <v>25</v>
      </c>
    </row>
    <row r="1150" spans="1:15" x14ac:dyDescent="0.35">
      <c r="A1150">
        <v>2149</v>
      </c>
      <c r="B1150" t="s">
        <v>707</v>
      </c>
      <c r="C1150" s="1">
        <v>45292</v>
      </c>
      <c r="D1150" s="1">
        <v>45332</v>
      </c>
      <c r="E1150" s="1">
        <v>45335</v>
      </c>
      <c r="F1150" t="s">
        <v>29</v>
      </c>
      <c r="G1150" t="s">
        <v>39</v>
      </c>
      <c r="H1150" t="s">
        <v>23</v>
      </c>
      <c r="I1150">
        <v>40</v>
      </c>
      <c r="J1150">
        <v>3</v>
      </c>
      <c r="K1150">
        <v>4372</v>
      </c>
      <c r="L1150">
        <v>13116</v>
      </c>
      <c r="M1150" t="s">
        <v>24</v>
      </c>
      <c r="N1150">
        <v>1</v>
      </c>
      <c r="O1150" t="s">
        <v>31</v>
      </c>
    </row>
    <row r="1151" spans="1:15" x14ac:dyDescent="0.35">
      <c r="A1151">
        <v>2150</v>
      </c>
      <c r="B1151" t="s">
        <v>888</v>
      </c>
      <c r="C1151" s="1">
        <v>45538</v>
      </c>
      <c r="D1151" s="1">
        <v>45551</v>
      </c>
      <c r="E1151" s="1">
        <v>45554</v>
      </c>
      <c r="F1151" t="s">
        <v>35</v>
      </c>
      <c r="G1151" t="s">
        <v>39</v>
      </c>
      <c r="H1151" t="s">
        <v>23</v>
      </c>
      <c r="I1151">
        <v>13</v>
      </c>
      <c r="J1151">
        <v>3</v>
      </c>
      <c r="K1151">
        <v>8099</v>
      </c>
      <c r="L1151">
        <v>24297</v>
      </c>
      <c r="M1151" t="s">
        <v>51</v>
      </c>
      <c r="N1151">
        <v>1</v>
      </c>
      <c r="O1151" t="s">
        <v>25</v>
      </c>
    </row>
    <row r="1152" spans="1:15" x14ac:dyDescent="0.35">
      <c r="A1152">
        <v>2151</v>
      </c>
      <c r="B1152" t="s">
        <v>889</v>
      </c>
      <c r="C1152" s="1">
        <v>45634</v>
      </c>
      <c r="D1152" s="1">
        <v>45672</v>
      </c>
      <c r="E1152" s="1">
        <v>45673</v>
      </c>
      <c r="F1152" t="s">
        <v>60</v>
      </c>
      <c r="G1152" t="s">
        <v>22</v>
      </c>
      <c r="H1152" t="s">
        <v>23</v>
      </c>
      <c r="I1152">
        <v>38</v>
      </c>
      <c r="J1152">
        <v>1</v>
      </c>
      <c r="K1152">
        <v>5194</v>
      </c>
      <c r="L1152">
        <v>5194</v>
      </c>
      <c r="M1152" t="s">
        <v>24</v>
      </c>
      <c r="N1152">
        <v>1</v>
      </c>
      <c r="O1152" t="s">
        <v>31</v>
      </c>
    </row>
    <row r="1153" spans="1:15" x14ac:dyDescent="0.35">
      <c r="A1153">
        <v>2152</v>
      </c>
      <c r="B1153" t="s">
        <v>890</v>
      </c>
      <c r="C1153" s="1">
        <v>45419</v>
      </c>
      <c r="D1153" s="1">
        <v>45437</v>
      </c>
      <c r="E1153" s="1">
        <v>45441</v>
      </c>
      <c r="F1153" t="s">
        <v>38</v>
      </c>
      <c r="G1153" t="s">
        <v>39</v>
      </c>
      <c r="H1153" t="s">
        <v>30</v>
      </c>
      <c r="I1153">
        <v>18</v>
      </c>
      <c r="J1153">
        <v>4</v>
      </c>
      <c r="K1153">
        <v>4769</v>
      </c>
      <c r="L1153">
        <v>19076</v>
      </c>
      <c r="M1153" t="s">
        <v>51</v>
      </c>
      <c r="N1153">
        <v>1</v>
      </c>
      <c r="O1153" t="s">
        <v>25</v>
      </c>
    </row>
    <row r="1154" spans="1:15" x14ac:dyDescent="0.35">
      <c r="A1154">
        <v>2153</v>
      </c>
      <c r="B1154" t="s">
        <v>764</v>
      </c>
      <c r="C1154" s="1">
        <v>45482</v>
      </c>
      <c r="D1154" s="1">
        <v>45484</v>
      </c>
      <c r="E1154" s="1">
        <v>45486</v>
      </c>
      <c r="F1154" t="s">
        <v>60</v>
      </c>
      <c r="G1154" t="s">
        <v>22</v>
      </c>
      <c r="H1154" t="s">
        <v>30</v>
      </c>
      <c r="I1154">
        <v>2</v>
      </c>
      <c r="J1154">
        <v>2</v>
      </c>
      <c r="K1154">
        <v>7775</v>
      </c>
      <c r="L1154">
        <v>15550</v>
      </c>
      <c r="M1154" t="s">
        <v>24</v>
      </c>
      <c r="N1154">
        <v>0</v>
      </c>
      <c r="O1154" t="s">
        <v>25</v>
      </c>
    </row>
    <row r="1155" spans="1:15" x14ac:dyDescent="0.35">
      <c r="A1155">
        <v>2154</v>
      </c>
      <c r="B1155" t="s">
        <v>263</v>
      </c>
      <c r="C1155" s="1">
        <v>45358</v>
      </c>
      <c r="D1155" s="1">
        <v>45366</v>
      </c>
      <c r="E1155" s="1">
        <v>45369</v>
      </c>
      <c r="F1155" t="s">
        <v>35</v>
      </c>
      <c r="G1155" t="s">
        <v>39</v>
      </c>
      <c r="H1155" t="s">
        <v>30</v>
      </c>
      <c r="I1155">
        <v>8</v>
      </c>
      <c r="J1155">
        <v>3</v>
      </c>
      <c r="K1155">
        <v>7249</v>
      </c>
      <c r="L1155">
        <v>21747</v>
      </c>
      <c r="M1155" t="s">
        <v>24</v>
      </c>
      <c r="N1155">
        <v>0</v>
      </c>
      <c r="O1155" t="s">
        <v>31</v>
      </c>
    </row>
    <row r="1156" spans="1:15" x14ac:dyDescent="0.35">
      <c r="A1156">
        <v>2155</v>
      </c>
      <c r="B1156" t="s">
        <v>740</v>
      </c>
      <c r="C1156" s="1">
        <v>45295</v>
      </c>
      <c r="D1156" s="1">
        <v>45306</v>
      </c>
      <c r="E1156" s="1">
        <v>45308</v>
      </c>
      <c r="F1156" t="s">
        <v>60</v>
      </c>
      <c r="G1156" t="s">
        <v>22</v>
      </c>
      <c r="H1156" t="s">
        <v>30</v>
      </c>
      <c r="I1156">
        <v>11</v>
      </c>
      <c r="J1156">
        <v>2</v>
      </c>
      <c r="K1156">
        <v>3681</v>
      </c>
      <c r="L1156">
        <v>7362</v>
      </c>
      <c r="M1156" t="s">
        <v>51</v>
      </c>
      <c r="N1156">
        <v>0</v>
      </c>
      <c r="O1156" t="s">
        <v>25</v>
      </c>
    </row>
    <row r="1157" spans="1:15" x14ac:dyDescent="0.35">
      <c r="A1157">
        <v>2156</v>
      </c>
      <c r="B1157" t="s">
        <v>891</v>
      </c>
      <c r="C1157" s="1">
        <v>45594</v>
      </c>
      <c r="D1157" s="1">
        <v>45627</v>
      </c>
      <c r="E1157" s="1">
        <v>45632</v>
      </c>
      <c r="F1157" t="s">
        <v>35</v>
      </c>
      <c r="G1157" t="s">
        <v>22</v>
      </c>
      <c r="H1157" t="s">
        <v>46</v>
      </c>
      <c r="I1157">
        <v>33</v>
      </c>
      <c r="J1157">
        <v>5</v>
      </c>
      <c r="K1157">
        <v>7572</v>
      </c>
      <c r="L1157">
        <v>37860</v>
      </c>
      <c r="M1157" t="s">
        <v>51</v>
      </c>
      <c r="N1157">
        <v>0</v>
      </c>
      <c r="O1157" t="s">
        <v>25</v>
      </c>
    </row>
    <row r="1158" spans="1:15" x14ac:dyDescent="0.35">
      <c r="A1158">
        <v>2157</v>
      </c>
      <c r="B1158" t="s">
        <v>507</v>
      </c>
      <c r="C1158" s="1">
        <v>45585</v>
      </c>
      <c r="D1158" s="1">
        <v>45639</v>
      </c>
      <c r="E1158" s="1">
        <v>45640</v>
      </c>
      <c r="F1158" t="s">
        <v>29</v>
      </c>
      <c r="G1158" t="s">
        <v>39</v>
      </c>
      <c r="H1158" t="s">
        <v>30</v>
      </c>
      <c r="I1158">
        <v>54</v>
      </c>
      <c r="J1158">
        <v>1</v>
      </c>
      <c r="K1158">
        <v>3939</v>
      </c>
      <c r="L1158">
        <v>3939</v>
      </c>
      <c r="M1158" t="s">
        <v>24</v>
      </c>
      <c r="N1158">
        <v>0</v>
      </c>
      <c r="O1158" t="s">
        <v>25</v>
      </c>
    </row>
    <row r="1159" spans="1:15" x14ac:dyDescent="0.35">
      <c r="A1159">
        <v>2158</v>
      </c>
      <c r="B1159" t="s">
        <v>65</v>
      </c>
      <c r="C1159" s="1">
        <v>45434</v>
      </c>
      <c r="D1159" s="1">
        <v>45472</v>
      </c>
      <c r="E1159" s="1">
        <v>45476</v>
      </c>
      <c r="F1159" t="s">
        <v>21</v>
      </c>
      <c r="G1159" t="s">
        <v>22</v>
      </c>
      <c r="H1159" t="s">
        <v>46</v>
      </c>
      <c r="I1159">
        <v>38</v>
      </c>
      <c r="J1159">
        <v>4</v>
      </c>
      <c r="K1159">
        <v>5553</v>
      </c>
      <c r="L1159">
        <v>22212</v>
      </c>
      <c r="M1159" t="s">
        <v>51</v>
      </c>
      <c r="N1159">
        <v>1</v>
      </c>
      <c r="O1159" t="s">
        <v>25</v>
      </c>
    </row>
    <row r="1160" spans="1:15" x14ac:dyDescent="0.35">
      <c r="A1160">
        <v>2159</v>
      </c>
      <c r="B1160" t="s">
        <v>875</v>
      </c>
      <c r="C1160" s="1">
        <v>45482</v>
      </c>
      <c r="D1160" s="1">
        <v>45530</v>
      </c>
      <c r="E1160" s="1">
        <v>45535</v>
      </c>
      <c r="F1160" t="s">
        <v>38</v>
      </c>
      <c r="G1160" t="s">
        <v>39</v>
      </c>
      <c r="H1160" t="s">
        <v>23</v>
      </c>
      <c r="I1160">
        <v>48</v>
      </c>
      <c r="J1160">
        <v>5</v>
      </c>
      <c r="K1160">
        <v>7963</v>
      </c>
      <c r="L1160">
        <v>39815</v>
      </c>
      <c r="M1160" t="s">
        <v>51</v>
      </c>
      <c r="N1160">
        <v>1</v>
      </c>
      <c r="O1160" t="s">
        <v>31</v>
      </c>
    </row>
    <row r="1161" spans="1:15" x14ac:dyDescent="0.35">
      <c r="A1161">
        <v>2160</v>
      </c>
      <c r="B1161" t="s">
        <v>892</v>
      </c>
      <c r="C1161" s="1">
        <v>45312</v>
      </c>
      <c r="D1161" s="1">
        <v>45339</v>
      </c>
      <c r="E1161" s="1">
        <v>45344</v>
      </c>
      <c r="F1161" t="s">
        <v>21</v>
      </c>
      <c r="G1161" t="s">
        <v>39</v>
      </c>
      <c r="H1161" t="s">
        <v>46</v>
      </c>
      <c r="I1161">
        <v>27</v>
      </c>
      <c r="J1161">
        <v>5</v>
      </c>
      <c r="K1161">
        <v>5833</v>
      </c>
      <c r="L1161">
        <v>29165</v>
      </c>
      <c r="M1161" t="s">
        <v>24</v>
      </c>
      <c r="N1161">
        <v>0</v>
      </c>
      <c r="O1161" t="s">
        <v>25</v>
      </c>
    </row>
    <row r="1162" spans="1:15" x14ac:dyDescent="0.35">
      <c r="A1162">
        <v>2161</v>
      </c>
      <c r="B1162" t="s">
        <v>893</v>
      </c>
      <c r="C1162" s="1">
        <v>45518</v>
      </c>
      <c r="D1162" s="1">
        <v>45538</v>
      </c>
      <c r="E1162" s="1">
        <v>45543</v>
      </c>
      <c r="F1162" t="s">
        <v>21</v>
      </c>
      <c r="G1162" t="s">
        <v>39</v>
      </c>
      <c r="H1162" t="s">
        <v>30</v>
      </c>
      <c r="I1162">
        <v>20</v>
      </c>
      <c r="J1162">
        <v>5</v>
      </c>
      <c r="K1162">
        <v>5397</v>
      </c>
      <c r="L1162">
        <v>26985</v>
      </c>
      <c r="M1162" t="s">
        <v>24</v>
      </c>
      <c r="N1162">
        <v>1</v>
      </c>
      <c r="O1162" t="s">
        <v>25</v>
      </c>
    </row>
    <row r="1163" spans="1:15" x14ac:dyDescent="0.35">
      <c r="A1163">
        <v>2162</v>
      </c>
      <c r="B1163" t="s">
        <v>509</v>
      </c>
      <c r="C1163" s="1">
        <v>45604</v>
      </c>
      <c r="D1163" s="1">
        <v>45616</v>
      </c>
      <c r="E1163" s="1">
        <v>45617</v>
      </c>
      <c r="F1163" t="s">
        <v>21</v>
      </c>
      <c r="G1163" t="s">
        <v>22</v>
      </c>
      <c r="H1163" t="s">
        <v>46</v>
      </c>
      <c r="I1163">
        <v>12</v>
      </c>
      <c r="J1163">
        <v>1</v>
      </c>
      <c r="K1163">
        <v>5403</v>
      </c>
      <c r="L1163">
        <v>5403</v>
      </c>
      <c r="M1163" t="s">
        <v>51</v>
      </c>
      <c r="N1163">
        <v>0</v>
      </c>
      <c r="O1163" t="s">
        <v>31</v>
      </c>
    </row>
    <row r="1164" spans="1:15" x14ac:dyDescent="0.35">
      <c r="A1164">
        <v>2163</v>
      </c>
      <c r="B1164" t="s">
        <v>638</v>
      </c>
      <c r="C1164" s="1">
        <v>45408</v>
      </c>
      <c r="D1164" s="1">
        <v>45451</v>
      </c>
      <c r="E1164" s="1">
        <v>45454</v>
      </c>
      <c r="F1164" t="s">
        <v>35</v>
      </c>
      <c r="G1164" t="s">
        <v>22</v>
      </c>
      <c r="H1164" t="s">
        <v>30</v>
      </c>
      <c r="I1164">
        <v>43</v>
      </c>
      <c r="J1164">
        <v>3</v>
      </c>
      <c r="K1164">
        <v>2728</v>
      </c>
      <c r="L1164">
        <v>8184</v>
      </c>
      <c r="M1164" t="s">
        <v>51</v>
      </c>
      <c r="N1164">
        <v>0</v>
      </c>
      <c r="O1164" t="s">
        <v>31</v>
      </c>
    </row>
    <row r="1165" spans="1:15" x14ac:dyDescent="0.35">
      <c r="A1165">
        <v>2164</v>
      </c>
      <c r="B1165" t="s">
        <v>330</v>
      </c>
      <c r="C1165" s="1">
        <v>45593</v>
      </c>
      <c r="D1165" s="1">
        <v>45624</v>
      </c>
      <c r="E1165" s="1">
        <v>45625</v>
      </c>
      <c r="F1165" t="s">
        <v>35</v>
      </c>
      <c r="G1165" t="s">
        <v>22</v>
      </c>
      <c r="H1165" t="s">
        <v>30</v>
      </c>
      <c r="I1165">
        <v>31</v>
      </c>
      <c r="J1165">
        <v>1</v>
      </c>
      <c r="K1165">
        <v>6459</v>
      </c>
      <c r="L1165">
        <v>6459</v>
      </c>
      <c r="M1165" t="s">
        <v>24</v>
      </c>
      <c r="N1165">
        <v>1</v>
      </c>
      <c r="O1165" t="s">
        <v>25</v>
      </c>
    </row>
    <row r="1166" spans="1:15" x14ac:dyDescent="0.35">
      <c r="A1166">
        <v>2165</v>
      </c>
      <c r="B1166" t="s">
        <v>392</v>
      </c>
      <c r="C1166" s="1">
        <v>45433</v>
      </c>
      <c r="D1166" s="1">
        <v>45460</v>
      </c>
      <c r="E1166" s="1">
        <v>45463</v>
      </c>
      <c r="F1166" t="s">
        <v>38</v>
      </c>
      <c r="G1166" t="s">
        <v>22</v>
      </c>
      <c r="H1166" t="s">
        <v>46</v>
      </c>
      <c r="I1166">
        <v>27</v>
      </c>
      <c r="J1166">
        <v>3</v>
      </c>
      <c r="K1166">
        <v>8923</v>
      </c>
      <c r="L1166">
        <v>26769</v>
      </c>
      <c r="M1166" t="s">
        <v>24</v>
      </c>
      <c r="N1166">
        <v>0</v>
      </c>
      <c r="O1166" t="s">
        <v>25</v>
      </c>
    </row>
    <row r="1167" spans="1:15" x14ac:dyDescent="0.35">
      <c r="A1167">
        <v>2166</v>
      </c>
      <c r="B1167" t="s">
        <v>791</v>
      </c>
      <c r="C1167" s="1">
        <v>45330</v>
      </c>
      <c r="D1167" s="1">
        <v>45362</v>
      </c>
      <c r="E1167" s="1">
        <v>45367</v>
      </c>
      <c r="F1167" t="s">
        <v>35</v>
      </c>
      <c r="G1167" t="s">
        <v>39</v>
      </c>
      <c r="H1167" t="s">
        <v>46</v>
      </c>
      <c r="I1167">
        <v>32</v>
      </c>
      <c r="J1167">
        <v>5</v>
      </c>
      <c r="K1167">
        <v>4393</v>
      </c>
      <c r="L1167">
        <v>21965</v>
      </c>
      <c r="M1167" t="s">
        <v>24</v>
      </c>
      <c r="N1167">
        <v>1</v>
      </c>
      <c r="O1167" t="s">
        <v>31</v>
      </c>
    </row>
    <row r="1168" spans="1:15" x14ac:dyDescent="0.35">
      <c r="A1168">
        <v>2167</v>
      </c>
      <c r="B1168" t="s">
        <v>568</v>
      </c>
      <c r="C1168" s="1">
        <v>45646</v>
      </c>
      <c r="D1168" s="1">
        <v>45656</v>
      </c>
      <c r="E1168" s="1">
        <v>45661</v>
      </c>
      <c r="F1168" t="s">
        <v>35</v>
      </c>
      <c r="G1168" t="s">
        <v>22</v>
      </c>
      <c r="H1168" t="s">
        <v>23</v>
      </c>
      <c r="I1168">
        <v>10</v>
      </c>
      <c r="J1168">
        <v>5</v>
      </c>
      <c r="K1168">
        <v>3813</v>
      </c>
      <c r="L1168">
        <v>19065</v>
      </c>
      <c r="M1168" t="s">
        <v>24</v>
      </c>
      <c r="N1168">
        <v>0</v>
      </c>
      <c r="O1168" t="s">
        <v>25</v>
      </c>
    </row>
    <row r="1169" spans="1:15" x14ac:dyDescent="0.35">
      <c r="A1169">
        <v>2168</v>
      </c>
      <c r="B1169" t="s">
        <v>502</v>
      </c>
      <c r="C1169" s="1">
        <v>45543</v>
      </c>
      <c r="D1169" s="1">
        <v>45546</v>
      </c>
      <c r="E1169" s="1">
        <v>45550</v>
      </c>
      <c r="F1169" t="s">
        <v>35</v>
      </c>
      <c r="G1169" t="s">
        <v>39</v>
      </c>
      <c r="H1169" t="s">
        <v>23</v>
      </c>
      <c r="I1169">
        <v>3</v>
      </c>
      <c r="J1169">
        <v>4</v>
      </c>
      <c r="K1169">
        <v>3570</v>
      </c>
      <c r="L1169">
        <v>14280</v>
      </c>
      <c r="M1169" t="s">
        <v>24</v>
      </c>
      <c r="N1169">
        <v>1</v>
      </c>
      <c r="O1169" t="s">
        <v>31</v>
      </c>
    </row>
    <row r="1170" spans="1:15" x14ac:dyDescent="0.35">
      <c r="A1170">
        <v>2169</v>
      </c>
      <c r="B1170" t="s">
        <v>894</v>
      </c>
      <c r="C1170" s="1">
        <v>45624</v>
      </c>
      <c r="D1170" s="1">
        <v>45669</v>
      </c>
      <c r="E1170" s="1">
        <v>45672</v>
      </c>
      <c r="F1170" t="s">
        <v>35</v>
      </c>
      <c r="G1170" t="s">
        <v>39</v>
      </c>
      <c r="H1170" t="s">
        <v>23</v>
      </c>
      <c r="I1170">
        <v>45</v>
      </c>
      <c r="J1170">
        <v>3</v>
      </c>
      <c r="K1170">
        <v>3474</v>
      </c>
      <c r="L1170">
        <v>10422</v>
      </c>
      <c r="M1170" t="s">
        <v>24</v>
      </c>
      <c r="N1170">
        <v>0</v>
      </c>
      <c r="O1170" t="s">
        <v>25</v>
      </c>
    </row>
    <row r="1171" spans="1:15" x14ac:dyDescent="0.35">
      <c r="A1171">
        <v>2170</v>
      </c>
      <c r="B1171" t="s">
        <v>104</v>
      </c>
      <c r="C1171" s="1">
        <v>45498</v>
      </c>
      <c r="D1171" s="1">
        <v>45525</v>
      </c>
      <c r="E1171" s="1">
        <v>45530</v>
      </c>
      <c r="F1171" t="s">
        <v>29</v>
      </c>
      <c r="G1171" t="s">
        <v>22</v>
      </c>
      <c r="H1171" t="s">
        <v>23</v>
      </c>
      <c r="I1171">
        <v>27</v>
      </c>
      <c r="J1171">
        <v>5</v>
      </c>
      <c r="K1171">
        <v>4238</v>
      </c>
      <c r="L1171">
        <v>21190</v>
      </c>
      <c r="M1171" t="s">
        <v>24</v>
      </c>
      <c r="N1171">
        <v>1</v>
      </c>
      <c r="O1171" t="s">
        <v>31</v>
      </c>
    </row>
    <row r="1172" spans="1:15" x14ac:dyDescent="0.35">
      <c r="A1172">
        <v>2171</v>
      </c>
      <c r="B1172" t="s">
        <v>895</v>
      </c>
      <c r="C1172" s="1">
        <v>45501</v>
      </c>
      <c r="D1172" s="1">
        <v>45536</v>
      </c>
      <c r="E1172" s="1">
        <v>45538</v>
      </c>
      <c r="F1172" t="s">
        <v>38</v>
      </c>
      <c r="G1172" t="s">
        <v>22</v>
      </c>
      <c r="H1172" t="s">
        <v>23</v>
      </c>
      <c r="I1172">
        <v>35</v>
      </c>
      <c r="J1172">
        <v>2</v>
      </c>
      <c r="K1172">
        <v>5785</v>
      </c>
      <c r="L1172">
        <v>11570</v>
      </c>
      <c r="M1172" t="s">
        <v>24</v>
      </c>
      <c r="N1172">
        <v>1</v>
      </c>
      <c r="O1172" t="s">
        <v>31</v>
      </c>
    </row>
    <row r="1173" spans="1:15" x14ac:dyDescent="0.35">
      <c r="A1173">
        <v>2172</v>
      </c>
      <c r="B1173" t="s">
        <v>896</v>
      </c>
      <c r="C1173" s="1">
        <v>45406</v>
      </c>
      <c r="D1173" s="1">
        <v>45437</v>
      </c>
      <c r="E1173" s="1">
        <v>45441</v>
      </c>
      <c r="F1173" t="s">
        <v>35</v>
      </c>
      <c r="G1173" t="s">
        <v>39</v>
      </c>
      <c r="H1173" t="s">
        <v>46</v>
      </c>
      <c r="I1173">
        <v>31</v>
      </c>
      <c r="J1173">
        <v>4</v>
      </c>
      <c r="K1173">
        <v>3257</v>
      </c>
      <c r="L1173">
        <v>13028</v>
      </c>
      <c r="M1173" t="s">
        <v>51</v>
      </c>
      <c r="N1173">
        <v>1</v>
      </c>
      <c r="O1173" t="s">
        <v>31</v>
      </c>
    </row>
    <row r="1174" spans="1:15" x14ac:dyDescent="0.35">
      <c r="A1174">
        <v>2173</v>
      </c>
      <c r="B1174" t="s">
        <v>395</v>
      </c>
      <c r="C1174" s="1">
        <v>45516</v>
      </c>
      <c r="D1174" s="1">
        <v>45531</v>
      </c>
      <c r="E1174" s="1">
        <v>45532</v>
      </c>
      <c r="F1174" t="s">
        <v>38</v>
      </c>
      <c r="G1174" t="s">
        <v>22</v>
      </c>
      <c r="H1174" t="s">
        <v>23</v>
      </c>
      <c r="I1174">
        <v>15</v>
      </c>
      <c r="J1174">
        <v>1</v>
      </c>
      <c r="K1174">
        <v>5595</v>
      </c>
      <c r="L1174">
        <v>5595</v>
      </c>
      <c r="M1174" t="s">
        <v>51</v>
      </c>
      <c r="N1174">
        <v>1</v>
      </c>
      <c r="O1174" t="s">
        <v>25</v>
      </c>
    </row>
    <row r="1175" spans="1:15" x14ac:dyDescent="0.35">
      <c r="A1175">
        <v>2174</v>
      </c>
      <c r="B1175" t="s">
        <v>422</v>
      </c>
      <c r="C1175" s="1">
        <v>45425</v>
      </c>
      <c r="D1175" s="1">
        <v>45441</v>
      </c>
      <c r="E1175" s="1">
        <v>45445</v>
      </c>
      <c r="F1175" t="s">
        <v>60</v>
      </c>
      <c r="G1175" t="s">
        <v>39</v>
      </c>
      <c r="H1175" t="s">
        <v>46</v>
      </c>
      <c r="I1175">
        <v>16</v>
      </c>
      <c r="J1175">
        <v>4</v>
      </c>
      <c r="K1175">
        <v>2820</v>
      </c>
      <c r="L1175">
        <v>11280</v>
      </c>
      <c r="M1175" t="s">
        <v>51</v>
      </c>
      <c r="N1175">
        <v>1</v>
      </c>
      <c r="O1175" t="s">
        <v>25</v>
      </c>
    </row>
    <row r="1176" spans="1:15" x14ac:dyDescent="0.35">
      <c r="A1176">
        <v>2175</v>
      </c>
      <c r="B1176" t="s">
        <v>897</v>
      </c>
      <c r="C1176" s="1">
        <v>45542</v>
      </c>
      <c r="D1176" s="1">
        <v>45555</v>
      </c>
      <c r="E1176" s="1">
        <v>45557</v>
      </c>
      <c r="F1176" t="s">
        <v>29</v>
      </c>
      <c r="G1176" t="s">
        <v>22</v>
      </c>
      <c r="H1176" t="s">
        <v>23</v>
      </c>
      <c r="I1176">
        <v>13</v>
      </c>
      <c r="J1176">
        <v>2</v>
      </c>
      <c r="K1176">
        <v>4821</v>
      </c>
      <c r="L1176">
        <v>9642</v>
      </c>
      <c r="M1176" t="s">
        <v>24</v>
      </c>
      <c r="N1176">
        <v>0</v>
      </c>
      <c r="O1176" t="s">
        <v>25</v>
      </c>
    </row>
    <row r="1177" spans="1:15" x14ac:dyDescent="0.35">
      <c r="A1177">
        <v>2176</v>
      </c>
      <c r="B1177" t="s">
        <v>898</v>
      </c>
      <c r="C1177" s="1">
        <v>45510</v>
      </c>
      <c r="D1177" s="1">
        <v>45559</v>
      </c>
      <c r="E1177" s="1">
        <v>45562</v>
      </c>
      <c r="F1177" t="s">
        <v>35</v>
      </c>
      <c r="G1177" t="s">
        <v>22</v>
      </c>
      <c r="H1177" t="s">
        <v>30</v>
      </c>
      <c r="I1177">
        <v>49</v>
      </c>
      <c r="J1177">
        <v>3</v>
      </c>
      <c r="K1177">
        <v>3055</v>
      </c>
      <c r="L1177">
        <v>9165</v>
      </c>
      <c r="M1177" t="s">
        <v>51</v>
      </c>
      <c r="N1177">
        <v>1</v>
      </c>
      <c r="O1177" t="s">
        <v>25</v>
      </c>
    </row>
    <row r="1178" spans="1:15" x14ac:dyDescent="0.35">
      <c r="A1178">
        <v>2177</v>
      </c>
      <c r="B1178" t="s">
        <v>451</v>
      </c>
      <c r="C1178" s="1">
        <v>45382</v>
      </c>
      <c r="D1178" s="1">
        <v>45417</v>
      </c>
      <c r="E1178" s="1">
        <v>45418</v>
      </c>
      <c r="F1178" t="s">
        <v>29</v>
      </c>
      <c r="G1178" t="s">
        <v>39</v>
      </c>
      <c r="H1178" t="s">
        <v>23</v>
      </c>
      <c r="I1178">
        <v>35</v>
      </c>
      <c r="J1178">
        <v>1</v>
      </c>
      <c r="K1178">
        <v>7439</v>
      </c>
      <c r="L1178">
        <v>7439</v>
      </c>
      <c r="M1178" t="s">
        <v>24</v>
      </c>
      <c r="N1178">
        <v>1</v>
      </c>
      <c r="O1178" t="s">
        <v>31</v>
      </c>
    </row>
    <row r="1179" spans="1:15" x14ac:dyDescent="0.35">
      <c r="A1179">
        <v>2178</v>
      </c>
      <c r="B1179" t="s">
        <v>899</v>
      </c>
      <c r="C1179" s="1">
        <v>45645</v>
      </c>
      <c r="D1179" s="1">
        <v>45697</v>
      </c>
      <c r="E1179" s="1">
        <v>45698</v>
      </c>
      <c r="F1179" t="s">
        <v>29</v>
      </c>
      <c r="G1179" t="s">
        <v>39</v>
      </c>
      <c r="H1179" t="s">
        <v>30</v>
      </c>
      <c r="I1179">
        <v>52</v>
      </c>
      <c r="J1179">
        <v>1</v>
      </c>
      <c r="K1179">
        <v>7932</v>
      </c>
      <c r="L1179">
        <v>7932</v>
      </c>
      <c r="M1179" t="s">
        <v>51</v>
      </c>
      <c r="N1179">
        <v>1</v>
      </c>
      <c r="O1179" t="s">
        <v>31</v>
      </c>
    </row>
    <row r="1180" spans="1:15" x14ac:dyDescent="0.35">
      <c r="A1180">
        <v>2179</v>
      </c>
      <c r="B1180" t="s">
        <v>900</v>
      </c>
      <c r="C1180" s="1">
        <v>45337</v>
      </c>
      <c r="D1180" s="1">
        <v>45348</v>
      </c>
      <c r="E1180" s="1">
        <v>45351</v>
      </c>
      <c r="F1180" t="s">
        <v>60</v>
      </c>
      <c r="G1180" t="s">
        <v>39</v>
      </c>
      <c r="H1180" t="s">
        <v>46</v>
      </c>
      <c r="I1180">
        <v>11</v>
      </c>
      <c r="J1180">
        <v>3</v>
      </c>
      <c r="K1180">
        <v>3886</v>
      </c>
      <c r="L1180">
        <v>11658</v>
      </c>
      <c r="M1180" t="s">
        <v>24</v>
      </c>
      <c r="N1180">
        <v>0</v>
      </c>
      <c r="O1180" t="s">
        <v>31</v>
      </c>
    </row>
    <row r="1181" spans="1:15" x14ac:dyDescent="0.35">
      <c r="A1181">
        <v>2180</v>
      </c>
      <c r="B1181" t="s">
        <v>901</v>
      </c>
      <c r="C1181" s="1">
        <v>45329</v>
      </c>
      <c r="D1181" s="1">
        <v>45388</v>
      </c>
      <c r="E1181" s="1">
        <v>45392</v>
      </c>
      <c r="F1181" t="s">
        <v>38</v>
      </c>
      <c r="G1181" t="s">
        <v>22</v>
      </c>
      <c r="H1181" t="s">
        <v>23</v>
      </c>
      <c r="I1181">
        <v>59</v>
      </c>
      <c r="J1181">
        <v>4</v>
      </c>
      <c r="K1181">
        <v>7263</v>
      </c>
      <c r="L1181">
        <v>29052</v>
      </c>
      <c r="M1181" t="s">
        <v>24</v>
      </c>
      <c r="N1181">
        <v>1</v>
      </c>
      <c r="O1181" t="s">
        <v>25</v>
      </c>
    </row>
    <row r="1182" spans="1:15" x14ac:dyDescent="0.35">
      <c r="A1182">
        <v>2181</v>
      </c>
      <c r="B1182" t="s">
        <v>589</v>
      </c>
      <c r="C1182" s="1">
        <v>45433</v>
      </c>
      <c r="D1182" s="1">
        <v>45454</v>
      </c>
      <c r="E1182" s="1">
        <v>45459</v>
      </c>
      <c r="F1182" t="s">
        <v>29</v>
      </c>
      <c r="G1182" t="s">
        <v>22</v>
      </c>
      <c r="H1182" t="s">
        <v>46</v>
      </c>
      <c r="I1182">
        <v>21</v>
      </c>
      <c r="J1182">
        <v>5</v>
      </c>
      <c r="K1182">
        <v>5547</v>
      </c>
      <c r="L1182">
        <v>27735</v>
      </c>
      <c r="M1182" t="s">
        <v>51</v>
      </c>
      <c r="N1182">
        <v>0</v>
      </c>
      <c r="O1182" t="s">
        <v>25</v>
      </c>
    </row>
    <row r="1183" spans="1:15" x14ac:dyDescent="0.35">
      <c r="A1183">
        <v>2182</v>
      </c>
      <c r="B1183" t="s">
        <v>902</v>
      </c>
      <c r="C1183" s="1">
        <v>45391</v>
      </c>
      <c r="D1183" s="1">
        <v>45442</v>
      </c>
      <c r="E1183" s="1">
        <v>45446</v>
      </c>
      <c r="F1183" t="s">
        <v>21</v>
      </c>
      <c r="G1183" t="s">
        <v>22</v>
      </c>
      <c r="H1183" t="s">
        <v>23</v>
      </c>
      <c r="I1183">
        <v>51</v>
      </c>
      <c r="J1183">
        <v>4</v>
      </c>
      <c r="K1183">
        <v>4927</v>
      </c>
      <c r="L1183">
        <v>19708</v>
      </c>
      <c r="M1183" t="s">
        <v>24</v>
      </c>
      <c r="N1183">
        <v>1</v>
      </c>
      <c r="O1183" t="s">
        <v>25</v>
      </c>
    </row>
    <row r="1184" spans="1:15" x14ac:dyDescent="0.35">
      <c r="A1184">
        <v>2183</v>
      </c>
      <c r="B1184" t="s">
        <v>903</v>
      </c>
      <c r="C1184" s="1">
        <v>45619</v>
      </c>
      <c r="D1184" s="1">
        <v>45673</v>
      </c>
      <c r="E1184" s="1">
        <v>45675</v>
      </c>
      <c r="F1184" t="s">
        <v>60</v>
      </c>
      <c r="G1184" t="s">
        <v>39</v>
      </c>
      <c r="H1184" t="s">
        <v>46</v>
      </c>
      <c r="I1184">
        <v>54</v>
      </c>
      <c r="J1184">
        <v>2</v>
      </c>
      <c r="K1184">
        <v>8538</v>
      </c>
      <c r="L1184">
        <v>17076</v>
      </c>
      <c r="M1184" t="s">
        <v>51</v>
      </c>
      <c r="N1184">
        <v>1</v>
      </c>
      <c r="O1184" t="s">
        <v>31</v>
      </c>
    </row>
    <row r="1185" spans="1:15" x14ac:dyDescent="0.35">
      <c r="A1185">
        <v>2184</v>
      </c>
      <c r="B1185" t="s">
        <v>154</v>
      </c>
      <c r="C1185" s="1">
        <v>45481</v>
      </c>
      <c r="D1185" s="1">
        <v>45492</v>
      </c>
      <c r="E1185" s="1">
        <v>45497</v>
      </c>
      <c r="F1185" t="s">
        <v>21</v>
      </c>
      <c r="G1185" t="s">
        <v>39</v>
      </c>
      <c r="H1185" t="s">
        <v>23</v>
      </c>
      <c r="I1185">
        <v>11</v>
      </c>
      <c r="J1185">
        <v>5</v>
      </c>
      <c r="K1185">
        <v>4504</v>
      </c>
      <c r="L1185">
        <v>22520</v>
      </c>
      <c r="M1185" t="s">
        <v>51</v>
      </c>
      <c r="N1185">
        <v>1</v>
      </c>
      <c r="O1185" t="s">
        <v>25</v>
      </c>
    </row>
    <row r="1186" spans="1:15" x14ac:dyDescent="0.35">
      <c r="A1186">
        <v>2185</v>
      </c>
      <c r="B1186" t="s">
        <v>497</v>
      </c>
      <c r="C1186" s="1">
        <v>45326</v>
      </c>
      <c r="D1186" s="1">
        <v>45356</v>
      </c>
      <c r="E1186" s="1">
        <v>45360</v>
      </c>
      <c r="F1186" t="s">
        <v>60</v>
      </c>
      <c r="G1186" t="s">
        <v>22</v>
      </c>
      <c r="H1186" t="s">
        <v>23</v>
      </c>
      <c r="I1186">
        <v>30</v>
      </c>
      <c r="J1186">
        <v>4</v>
      </c>
      <c r="K1186">
        <v>4430</v>
      </c>
      <c r="L1186">
        <v>17720</v>
      </c>
      <c r="M1186" t="s">
        <v>51</v>
      </c>
      <c r="N1186">
        <v>1</v>
      </c>
      <c r="O1186" t="s">
        <v>25</v>
      </c>
    </row>
    <row r="1187" spans="1:15" x14ac:dyDescent="0.35">
      <c r="A1187">
        <v>2186</v>
      </c>
      <c r="B1187" t="s">
        <v>757</v>
      </c>
      <c r="C1187" s="1">
        <v>45438</v>
      </c>
      <c r="D1187" s="1">
        <v>45486</v>
      </c>
      <c r="E1187" s="1">
        <v>45489</v>
      </c>
      <c r="F1187" t="s">
        <v>21</v>
      </c>
      <c r="G1187" t="s">
        <v>39</v>
      </c>
      <c r="H1187" t="s">
        <v>30</v>
      </c>
      <c r="I1187">
        <v>48</v>
      </c>
      <c r="J1187">
        <v>3</v>
      </c>
      <c r="K1187">
        <v>7341</v>
      </c>
      <c r="L1187">
        <v>22023</v>
      </c>
      <c r="M1187" t="s">
        <v>51</v>
      </c>
      <c r="N1187">
        <v>0</v>
      </c>
      <c r="O1187" t="s">
        <v>31</v>
      </c>
    </row>
    <row r="1188" spans="1:15" x14ac:dyDescent="0.35">
      <c r="A1188">
        <v>2187</v>
      </c>
      <c r="B1188" t="s">
        <v>904</v>
      </c>
      <c r="C1188" s="1">
        <v>45321</v>
      </c>
      <c r="D1188" s="1">
        <v>45374</v>
      </c>
      <c r="E1188" s="1">
        <v>45376</v>
      </c>
      <c r="F1188" t="s">
        <v>21</v>
      </c>
      <c r="G1188" t="s">
        <v>22</v>
      </c>
      <c r="H1188" t="s">
        <v>46</v>
      </c>
      <c r="I1188">
        <v>53</v>
      </c>
      <c r="J1188">
        <v>2</v>
      </c>
      <c r="K1188">
        <v>7270</v>
      </c>
      <c r="L1188">
        <v>14540</v>
      </c>
      <c r="M1188" t="s">
        <v>51</v>
      </c>
      <c r="N1188">
        <v>0</v>
      </c>
      <c r="O1188" t="s">
        <v>31</v>
      </c>
    </row>
    <row r="1189" spans="1:15" x14ac:dyDescent="0.35">
      <c r="A1189">
        <v>2188</v>
      </c>
      <c r="B1189" t="s">
        <v>905</v>
      </c>
      <c r="C1189" s="1">
        <v>45625</v>
      </c>
      <c r="D1189" s="1">
        <v>45660</v>
      </c>
      <c r="E1189" s="1">
        <v>45662</v>
      </c>
      <c r="F1189" t="s">
        <v>29</v>
      </c>
      <c r="G1189" t="s">
        <v>39</v>
      </c>
      <c r="H1189" t="s">
        <v>46</v>
      </c>
      <c r="I1189">
        <v>35</v>
      </c>
      <c r="J1189">
        <v>2</v>
      </c>
      <c r="K1189">
        <v>4663</v>
      </c>
      <c r="L1189">
        <v>9326</v>
      </c>
      <c r="M1189" t="s">
        <v>51</v>
      </c>
      <c r="N1189">
        <v>1</v>
      </c>
      <c r="O1189" t="s">
        <v>25</v>
      </c>
    </row>
    <row r="1190" spans="1:15" x14ac:dyDescent="0.35">
      <c r="A1190">
        <v>2189</v>
      </c>
      <c r="B1190" t="s">
        <v>438</v>
      </c>
      <c r="C1190" s="1">
        <v>45375</v>
      </c>
      <c r="D1190" s="1">
        <v>45397</v>
      </c>
      <c r="E1190" s="1">
        <v>45399</v>
      </c>
      <c r="F1190" t="s">
        <v>29</v>
      </c>
      <c r="G1190" t="s">
        <v>22</v>
      </c>
      <c r="H1190" t="s">
        <v>46</v>
      </c>
      <c r="I1190">
        <v>22</v>
      </c>
      <c r="J1190">
        <v>2</v>
      </c>
      <c r="K1190">
        <v>7661</v>
      </c>
      <c r="L1190">
        <v>15322</v>
      </c>
      <c r="M1190" t="s">
        <v>51</v>
      </c>
      <c r="N1190">
        <v>1</v>
      </c>
      <c r="O1190" t="s">
        <v>31</v>
      </c>
    </row>
    <row r="1191" spans="1:15" x14ac:dyDescent="0.35">
      <c r="A1191">
        <v>2190</v>
      </c>
      <c r="B1191" t="s">
        <v>906</v>
      </c>
      <c r="C1191" s="1">
        <v>45572</v>
      </c>
      <c r="D1191" s="1">
        <v>45610</v>
      </c>
      <c r="E1191" s="1">
        <v>45615</v>
      </c>
      <c r="F1191" t="s">
        <v>60</v>
      </c>
      <c r="G1191" t="s">
        <v>22</v>
      </c>
      <c r="H1191" t="s">
        <v>46</v>
      </c>
      <c r="I1191">
        <v>38</v>
      </c>
      <c r="J1191">
        <v>5</v>
      </c>
      <c r="K1191">
        <v>6367</v>
      </c>
      <c r="L1191">
        <v>31835</v>
      </c>
      <c r="M1191" t="s">
        <v>51</v>
      </c>
      <c r="N1191">
        <v>1</v>
      </c>
      <c r="O1191" t="s">
        <v>25</v>
      </c>
    </row>
    <row r="1192" spans="1:15" x14ac:dyDescent="0.35">
      <c r="A1192">
        <v>2191</v>
      </c>
      <c r="B1192" t="s">
        <v>167</v>
      </c>
      <c r="C1192" s="1">
        <v>45635</v>
      </c>
      <c r="D1192" s="1">
        <v>45666</v>
      </c>
      <c r="E1192" s="1">
        <v>45667</v>
      </c>
      <c r="F1192" t="s">
        <v>38</v>
      </c>
      <c r="G1192" t="s">
        <v>22</v>
      </c>
      <c r="H1192" t="s">
        <v>46</v>
      </c>
      <c r="I1192">
        <v>31</v>
      </c>
      <c r="J1192">
        <v>1</v>
      </c>
      <c r="K1192">
        <v>4926</v>
      </c>
      <c r="L1192">
        <v>4926</v>
      </c>
      <c r="M1192" t="s">
        <v>51</v>
      </c>
      <c r="N1192">
        <v>1</v>
      </c>
      <c r="O1192" t="s">
        <v>31</v>
      </c>
    </row>
    <row r="1193" spans="1:15" x14ac:dyDescent="0.35">
      <c r="A1193">
        <v>2192</v>
      </c>
      <c r="B1193" t="s">
        <v>851</v>
      </c>
      <c r="C1193" s="1">
        <v>45561</v>
      </c>
      <c r="D1193" s="1">
        <v>45575</v>
      </c>
      <c r="E1193" s="1">
        <v>45580</v>
      </c>
      <c r="F1193" t="s">
        <v>29</v>
      </c>
      <c r="G1193" t="s">
        <v>39</v>
      </c>
      <c r="H1193" t="s">
        <v>30</v>
      </c>
      <c r="I1193">
        <v>14</v>
      </c>
      <c r="J1193">
        <v>5</v>
      </c>
      <c r="K1193">
        <v>6293</v>
      </c>
      <c r="L1193">
        <v>31465</v>
      </c>
      <c r="M1193" t="s">
        <v>24</v>
      </c>
      <c r="N1193">
        <v>0</v>
      </c>
      <c r="O1193" t="s">
        <v>31</v>
      </c>
    </row>
    <row r="1194" spans="1:15" x14ac:dyDescent="0.35">
      <c r="A1194">
        <v>2193</v>
      </c>
      <c r="B1194" t="s">
        <v>907</v>
      </c>
      <c r="C1194" s="1">
        <v>45445</v>
      </c>
      <c r="D1194" s="1">
        <v>45469</v>
      </c>
      <c r="E1194" s="1">
        <v>45473</v>
      </c>
      <c r="F1194" t="s">
        <v>29</v>
      </c>
      <c r="G1194" t="s">
        <v>39</v>
      </c>
      <c r="H1194" t="s">
        <v>23</v>
      </c>
      <c r="I1194">
        <v>24</v>
      </c>
      <c r="J1194">
        <v>4</v>
      </c>
      <c r="K1194">
        <v>5013</v>
      </c>
      <c r="L1194">
        <v>20052</v>
      </c>
      <c r="M1194" t="s">
        <v>24</v>
      </c>
      <c r="N1194">
        <v>1</v>
      </c>
      <c r="O1194" t="s">
        <v>31</v>
      </c>
    </row>
    <row r="1195" spans="1:15" x14ac:dyDescent="0.35">
      <c r="A1195">
        <v>2194</v>
      </c>
      <c r="B1195" t="s">
        <v>908</v>
      </c>
      <c r="C1195" s="1">
        <v>45393</v>
      </c>
      <c r="D1195" s="1">
        <v>45443</v>
      </c>
      <c r="E1195" s="1">
        <v>45444</v>
      </c>
      <c r="F1195" t="s">
        <v>35</v>
      </c>
      <c r="G1195" t="s">
        <v>22</v>
      </c>
      <c r="H1195" t="s">
        <v>30</v>
      </c>
      <c r="I1195">
        <v>50</v>
      </c>
      <c r="J1195">
        <v>1</v>
      </c>
      <c r="K1195">
        <v>6303</v>
      </c>
      <c r="L1195">
        <v>6303</v>
      </c>
      <c r="M1195" t="s">
        <v>51</v>
      </c>
      <c r="N1195">
        <v>0</v>
      </c>
      <c r="O1195" t="s">
        <v>25</v>
      </c>
    </row>
    <row r="1196" spans="1:15" x14ac:dyDescent="0.35">
      <c r="A1196">
        <v>2195</v>
      </c>
      <c r="B1196" t="s">
        <v>241</v>
      </c>
      <c r="C1196" s="1">
        <v>45506</v>
      </c>
      <c r="D1196" s="1">
        <v>45555</v>
      </c>
      <c r="E1196" s="1">
        <v>45559</v>
      </c>
      <c r="F1196" t="s">
        <v>29</v>
      </c>
      <c r="G1196" t="s">
        <v>22</v>
      </c>
      <c r="H1196" t="s">
        <v>46</v>
      </c>
      <c r="I1196">
        <v>49</v>
      </c>
      <c r="J1196">
        <v>4</v>
      </c>
      <c r="K1196">
        <v>4827</v>
      </c>
      <c r="L1196">
        <v>19308</v>
      </c>
      <c r="M1196" t="s">
        <v>24</v>
      </c>
      <c r="N1196">
        <v>1</v>
      </c>
      <c r="O1196" t="s">
        <v>25</v>
      </c>
    </row>
    <row r="1197" spans="1:15" x14ac:dyDescent="0.35">
      <c r="A1197">
        <v>2196</v>
      </c>
      <c r="B1197" t="s">
        <v>909</v>
      </c>
      <c r="C1197" s="1">
        <v>45441</v>
      </c>
      <c r="D1197" s="1">
        <v>45473</v>
      </c>
      <c r="E1197" s="1">
        <v>45474</v>
      </c>
      <c r="F1197" t="s">
        <v>38</v>
      </c>
      <c r="G1197" t="s">
        <v>22</v>
      </c>
      <c r="H1197" t="s">
        <v>46</v>
      </c>
      <c r="I1197">
        <v>32</v>
      </c>
      <c r="J1197">
        <v>1</v>
      </c>
      <c r="K1197">
        <v>3117</v>
      </c>
      <c r="L1197">
        <v>3117</v>
      </c>
      <c r="M1197" t="s">
        <v>24</v>
      </c>
      <c r="N1197">
        <v>0</v>
      </c>
      <c r="O1197" t="s">
        <v>25</v>
      </c>
    </row>
    <row r="1198" spans="1:15" x14ac:dyDescent="0.35">
      <c r="A1198">
        <v>2197</v>
      </c>
      <c r="B1198" t="s">
        <v>759</v>
      </c>
      <c r="C1198" s="1">
        <v>45374</v>
      </c>
      <c r="D1198" s="1">
        <v>45410</v>
      </c>
      <c r="E1198" s="1">
        <v>45415</v>
      </c>
      <c r="F1198" t="s">
        <v>35</v>
      </c>
      <c r="G1198" t="s">
        <v>22</v>
      </c>
      <c r="H1198" t="s">
        <v>23</v>
      </c>
      <c r="I1198">
        <v>36</v>
      </c>
      <c r="J1198">
        <v>5</v>
      </c>
      <c r="K1198">
        <v>4665</v>
      </c>
      <c r="L1198">
        <v>23325</v>
      </c>
      <c r="M1198" t="s">
        <v>51</v>
      </c>
      <c r="N1198">
        <v>0</v>
      </c>
      <c r="O1198" t="s">
        <v>31</v>
      </c>
    </row>
    <row r="1199" spans="1:15" x14ac:dyDescent="0.35">
      <c r="A1199">
        <v>2198</v>
      </c>
      <c r="B1199" t="s">
        <v>130</v>
      </c>
      <c r="C1199" s="1">
        <v>45401</v>
      </c>
      <c r="D1199" s="1">
        <v>45433</v>
      </c>
      <c r="E1199" s="1">
        <v>45435</v>
      </c>
      <c r="F1199" t="s">
        <v>21</v>
      </c>
      <c r="G1199" t="s">
        <v>22</v>
      </c>
      <c r="H1199" t="s">
        <v>30</v>
      </c>
      <c r="I1199">
        <v>32</v>
      </c>
      <c r="J1199">
        <v>2</v>
      </c>
      <c r="K1199">
        <v>5808</v>
      </c>
      <c r="L1199">
        <v>11616</v>
      </c>
      <c r="M1199" t="s">
        <v>51</v>
      </c>
      <c r="N1199">
        <v>0</v>
      </c>
      <c r="O1199" t="s">
        <v>31</v>
      </c>
    </row>
    <row r="1200" spans="1:15" x14ac:dyDescent="0.35">
      <c r="A1200">
        <v>2199</v>
      </c>
      <c r="B1200" t="s">
        <v>873</v>
      </c>
      <c r="C1200" s="1">
        <v>45566</v>
      </c>
      <c r="D1200" s="1">
        <v>45621</v>
      </c>
      <c r="E1200" s="1">
        <v>45624</v>
      </c>
      <c r="F1200" t="s">
        <v>21</v>
      </c>
      <c r="G1200" t="s">
        <v>22</v>
      </c>
      <c r="H1200" t="s">
        <v>23</v>
      </c>
      <c r="I1200">
        <v>55</v>
      </c>
      <c r="J1200">
        <v>3</v>
      </c>
      <c r="K1200">
        <v>8952</v>
      </c>
      <c r="L1200">
        <v>26856</v>
      </c>
      <c r="M1200" t="s">
        <v>24</v>
      </c>
      <c r="N1200">
        <v>1</v>
      </c>
      <c r="O1200" t="s">
        <v>31</v>
      </c>
    </row>
    <row r="1201" spans="1:15" x14ac:dyDescent="0.35">
      <c r="A1201">
        <v>2200</v>
      </c>
      <c r="B1201" t="s">
        <v>614</v>
      </c>
      <c r="C1201" s="1">
        <v>45492</v>
      </c>
      <c r="D1201" s="1">
        <v>45507</v>
      </c>
      <c r="E1201" s="1">
        <v>45509</v>
      </c>
      <c r="F1201" t="s">
        <v>35</v>
      </c>
      <c r="G1201" t="s">
        <v>39</v>
      </c>
      <c r="H1201" t="s">
        <v>23</v>
      </c>
      <c r="I1201">
        <v>15</v>
      </c>
      <c r="J1201">
        <v>2</v>
      </c>
      <c r="K1201">
        <v>8743</v>
      </c>
      <c r="L1201">
        <v>17486</v>
      </c>
      <c r="M1201" t="s">
        <v>51</v>
      </c>
      <c r="N1201">
        <v>0</v>
      </c>
      <c r="O1201" t="s">
        <v>31</v>
      </c>
    </row>
    <row r="1202" spans="1:15" x14ac:dyDescent="0.35">
      <c r="A1202">
        <v>2201</v>
      </c>
      <c r="B1202" t="s">
        <v>910</v>
      </c>
      <c r="C1202" s="1">
        <v>45575</v>
      </c>
      <c r="D1202" s="1">
        <v>45618</v>
      </c>
      <c r="E1202" s="1">
        <v>45623</v>
      </c>
      <c r="F1202" t="s">
        <v>35</v>
      </c>
      <c r="G1202" t="s">
        <v>39</v>
      </c>
      <c r="H1202" t="s">
        <v>30</v>
      </c>
      <c r="I1202">
        <v>43</v>
      </c>
      <c r="J1202">
        <v>5</v>
      </c>
      <c r="K1202">
        <v>8904</v>
      </c>
      <c r="L1202">
        <v>44520</v>
      </c>
      <c r="M1202" t="s">
        <v>51</v>
      </c>
      <c r="N1202">
        <v>1</v>
      </c>
      <c r="O1202" t="s">
        <v>25</v>
      </c>
    </row>
    <row r="1203" spans="1:15" x14ac:dyDescent="0.35">
      <c r="A1203">
        <v>2202</v>
      </c>
      <c r="B1203" t="s">
        <v>911</v>
      </c>
      <c r="C1203" s="1">
        <v>45464</v>
      </c>
      <c r="D1203" s="1">
        <v>45522</v>
      </c>
      <c r="E1203" s="1">
        <v>45523</v>
      </c>
      <c r="F1203" t="s">
        <v>35</v>
      </c>
      <c r="G1203" t="s">
        <v>39</v>
      </c>
      <c r="H1203" t="s">
        <v>23</v>
      </c>
      <c r="I1203">
        <v>58</v>
      </c>
      <c r="J1203">
        <v>1</v>
      </c>
      <c r="K1203">
        <v>3492</v>
      </c>
      <c r="L1203">
        <v>3492</v>
      </c>
      <c r="M1203" t="s">
        <v>51</v>
      </c>
      <c r="N1203">
        <v>1</v>
      </c>
      <c r="O1203" t="s">
        <v>25</v>
      </c>
    </row>
    <row r="1204" spans="1:15" x14ac:dyDescent="0.35">
      <c r="A1204">
        <v>2203</v>
      </c>
      <c r="B1204" t="s">
        <v>626</v>
      </c>
      <c r="C1204" s="1">
        <v>45618</v>
      </c>
      <c r="D1204" s="1">
        <v>45653</v>
      </c>
      <c r="E1204" s="1">
        <v>45655</v>
      </c>
      <c r="F1204" t="s">
        <v>60</v>
      </c>
      <c r="G1204" t="s">
        <v>39</v>
      </c>
      <c r="H1204" t="s">
        <v>30</v>
      </c>
      <c r="I1204">
        <v>35</v>
      </c>
      <c r="J1204">
        <v>2</v>
      </c>
      <c r="K1204">
        <v>7924</v>
      </c>
      <c r="L1204">
        <v>15848</v>
      </c>
      <c r="M1204" t="s">
        <v>24</v>
      </c>
      <c r="N1204">
        <v>1</v>
      </c>
      <c r="O1204" t="s">
        <v>25</v>
      </c>
    </row>
    <row r="1205" spans="1:15" x14ac:dyDescent="0.35">
      <c r="A1205">
        <v>2204</v>
      </c>
      <c r="B1205" t="s">
        <v>912</v>
      </c>
      <c r="C1205" s="1">
        <v>45497</v>
      </c>
      <c r="D1205" s="1">
        <v>45500</v>
      </c>
      <c r="E1205" s="1">
        <v>45505</v>
      </c>
      <c r="F1205" t="s">
        <v>38</v>
      </c>
      <c r="G1205" t="s">
        <v>22</v>
      </c>
      <c r="H1205" t="s">
        <v>30</v>
      </c>
      <c r="I1205">
        <v>3</v>
      </c>
      <c r="J1205">
        <v>5</v>
      </c>
      <c r="K1205">
        <v>3877</v>
      </c>
      <c r="L1205">
        <v>19385</v>
      </c>
      <c r="M1205" t="s">
        <v>51</v>
      </c>
      <c r="N1205">
        <v>0</v>
      </c>
      <c r="O1205" t="s">
        <v>31</v>
      </c>
    </row>
    <row r="1206" spans="1:15" x14ac:dyDescent="0.35">
      <c r="A1206">
        <v>2205</v>
      </c>
      <c r="B1206" t="s">
        <v>913</v>
      </c>
      <c r="C1206" s="1">
        <v>45354</v>
      </c>
      <c r="D1206" s="1">
        <v>45370</v>
      </c>
      <c r="E1206" s="1">
        <v>45374</v>
      </c>
      <c r="F1206" t="s">
        <v>38</v>
      </c>
      <c r="G1206" t="s">
        <v>22</v>
      </c>
      <c r="H1206" t="s">
        <v>46</v>
      </c>
      <c r="I1206">
        <v>16</v>
      </c>
      <c r="J1206">
        <v>4</v>
      </c>
      <c r="K1206">
        <v>6881</v>
      </c>
      <c r="L1206">
        <v>27524</v>
      </c>
      <c r="M1206" t="s">
        <v>24</v>
      </c>
      <c r="N1206">
        <v>0</v>
      </c>
      <c r="O1206" t="s">
        <v>31</v>
      </c>
    </row>
    <row r="1207" spans="1:15" x14ac:dyDescent="0.35">
      <c r="A1207">
        <v>2206</v>
      </c>
      <c r="B1207" t="s">
        <v>461</v>
      </c>
      <c r="C1207" s="1">
        <v>45364</v>
      </c>
      <c r="D1207" s="1">
        <v>45369</v>
      </c>
      <c r="E1207" s="1">
        <v>45372</v>
      </c>
      <c r="F1207" t="s">
        <v>21</v>
      </c>
      <c r="G1207" t="s">
        <v>22</v>
      </c>
      <c r="H1207" t="s">
        <v>23</v>
      </c>
      <c r="I1207">
        <v>5</v>
      </c>
      <c r="J1207">
        <v>3</v>
      </c>
      <c r="K1207">
        <v>8971</v>
      </c>
      <c r="L1207">
        <v>26913</v>
      </c>
      <c r="M1207" t="s">
        <v>51</v>
      </c>
      <c r="N1207">
        <v>0</v>
      </c>
      <c r="O1207" t="s">
        <v>25</v>
      </c>
    </row>
    <row r="1208" spans="1:15" x14ac:dyDescent="0.35">
      <c r="A1208">
        <v>2207</v>
      </c>
      <c r="B1208" t="s">
        <v>914</v>
      </c>
      <c r="C1208" s="1">
        <v>45542</v>
      </c>
      <c r="D1208" s="1">
        <v>45563</v>
      </c>
      <c r="E1208" s="1">
        <v>45565</v>
      </c>
      <c r="F1208" t="s">
        <v>21</v>
      </c>
      <c r="G1208" t="s">
        <v>39</v>
      </c>
      <c r="H1208" t="s">
        <v>46</v>
      </c>
      <c r="I1208">
        <v>21</v>
      </c>
      <c r="J1208">
        <v>2</v>
      </c>
      <c r="K1208">
        <v>5674</v>
      </c>
      <c r="L1208">
        <v>11348</v>
      </c>
      <c r="M1208" t="s">
        <v>51</v>
      </c>
      <c r="N1208">
        <v>0</v>
      </c>
      <c r="O1208" t="s">
        <v>31</v>
      </c>
    </row>
    <row r="1209" spans="1:15" x14ac:dyDescent="0.35">
      <c r="A1209">
        <v>2208</v>
      </c>
      <c r="B1209" t="s">
        <v>915</v>
      </c>
      <c r="C1209" s="1">
        <v>45415</v>
      </c>
      <c r="D1209" s="1">
        <v>45425</v>
      </c>
      <c r="E1209" s="1">
        <v>45426</v>
      </c>
      <c r="F1209" t="s">
        <v>21</v>
      </c>
      <c r="G1209" t="s">
        <v>39</v>
      </c>
      <c r="H1209" t="s">
        <v>23</v>
      </c>
      <c r="I1209">
        <v>10</v>
      </c>
      <c r="J1209">
        <v>1</v>
      </c>
      <c r="K1209">
        <v>8706</v>
      </c>
      <c r="L1209">
        <v>8706</v>
      </c>
      <c r="M1209" t="s">
        <v>24</v>
      </c>
      <c r="N1209">
        <v>1</v>
      </c>
      <c r="O1209" t="s">
        <v>25</v>
      </c>
    </row>
    <row r="1210" spans="1:15" x14ac:dyDescent="0.35">
      <c r="A1210">
        <v>2209</v>
      </c>
      <c r="B1210" t="s">
        <v>916</v>
      </c>
      <c r="C1210" s="1">
        <v>45412</v>
      </c>
      <c r="D1210" s="1">
        <v>45431</v>
      </c>
      <c r="E1210" s="1">
        <v>45435</v>
      </c>
      <c r="F1210" t="s">
        <v>29</v>
      </c>
      <c r="G1210" t="s">
        <v>22</v>
      </c>
      <c r="H1210" t="s">
        <v>23</v>
      </c>
      <c r="I1210">
        <v>19</v>
      </c>
      <c r="J1210">
        <v>4</v>
      </c>
      <c r="K1210">
        <v>7282</v>
      </c>
      <c r="L1210">
        <v>29128</v>
      </c>
      <c r="M1210" t="s">
        <v>51</v>
      </c>
      <c r="N1210">
        <v>1</v>
      </c>
      <c r="O1210" t="s">
        <v>31</v>
      </c>
    </row>
    <row r="1211" spans="1:15" x14ac:dyDescent="0.35">
      <c r="A1211">
        <v>2210</v>
      </c>
      <c r="B1211" t="s">
        <v>68</v>
      </c>
      <c r="C1211" s="1">
        <v>45566</v>
      </c>
      <c r="D1211" s="1">
        <v>45591</v>
      </c>
      <c r="E1211" s="1">
        <v>45596</v>
      </c>
      <c r="F1211" t="s">
        <v>21</v>
      </c>
      <c r="G1211" t="s">
        <v>39</v>
      </c>
      <c r="H1211" t="s">
        <v>46</v>
      </c>
      <c r="I1211">
        <v>25</v>
      </c>
      <c r="J1211">
        <v>5</v>
      </c>
      <c r="K1211">
        <v>3805</v>
      </c>
      <c r="L1211">
        <v>19025</v>
      </c>
      <c r="M1211" t="s">
        <v>24</v>
      </c>
      <c r="N1211">
        <v>0</v>
      </c>
      <c r="O1211" t="s">
        <v>31</v>
      </c>
    </row>
    <row r="1212" spans="1:15" x14ac:dyDescent="0.35">
      <c r="A1212">
        <v>2211</v>
      </c>
      <c r="B1212" t="s">
        <v>811</v>
      </c>
      <c r="C1212" s="1">
        <v>45411</v>
      </c>
      <c r="D1212" s="1">
        <v>45415</v>
      </c>
      <c r="E1212" s="1">
        <v>45418</v>
      </c>
      <c r="F1212" t="s">
        <v>35</v>
      </c>
      <c r="G1212" t="s">
        <v>39</v>
      </c>
      <c r="H1212" t="s">
        <v>46</v>
      </c>
      <c r="I1212">
        <v>4</v>
      </c>
      <c r="J1212">
        <v>3</v>
      </c>
      <c r="K1212">
        <v>8060</v>
      </c>
      <c r="L1212">
        <v>24180</v>
      </c>
      <c r="M1212" t="s">
        <v>24</v>
      </c>
      <c r="N1212">
        <v>0</v>
      </c>
      <c r="O1212" t="s">
        <v>25</v>
      </c>
    </row>
    <row r="1213" spans="1:15" x14ac:dyDescent="0.35">
      <c r="A1213">
        <v>2212</v>
      </c>
      <c r="B1213" t="s">
        <v>161</v>
      </c>
      <c r="C1213" s="1">
        <v>45608</v>
      </c>
      <c r="D1213" s="1">
        <v>45637</v>
      </c>
      <c r="E1213" s="1">
        <v>45638</v>
      </c>
      <c r="F1213" t="s">
        <v>21</v>
      </c>
      <c r="G1213" t="s">
        <v>22</v>
      </c>
      <c r="H1213" t="s">
        <v>46</v>
      </c>
      <c r="I1213">
        <v>29</v>
      </c>
      <c r="J1213">
        <v>1</v>
      </c>
      <c r="K1213">
        <v>7333</v>
      </c>
      <c r="L1213">
        <v>7333</v>
      </c>
      <c r="M1213" t="s">
        <v>51</v>
      </c>
      <c r="N1213">
        <v>0</v>
      </c>
      <c r="O1213" t="s">
        <v>25</v>
      </c>
    </row>
    <row r="1214" spans="1:15" x14ac:dyDescent="0.35">
      <c r="A1214">
        <v>2213</v>
      </c>
      <c r="B1214" t="s">
        <v>26</v>
      </c>
      <c r="C1214" s="1">
        <v>45455</v>
      </c>
      <c r="D1214" s="1">
        <v>45474</v>
      </c>
      <c r="E1214" s="1">
        <v>45479</v>
      </c>
      <c r="F1214" t="s">
        <v>35</v>
      </c>
      <c r="G1214" t="s">
        <v>22</v>
      </c>
      <c r="H1214" t="s">
        <v>30</v>
      </c>
      <c r="I1214">
        <v>19</v>
      </c>
      <c r="J1214">
        <v>5</v>
      </c>
      <c r="K1214">
        <v>5578</v>
      </c>
      <c r="L1214">
        <v>27890</v>
      </c>
      <c r="M1214" t="s">
        <v>51</v>
      </c>
      <c r="N1214">
        <v>0</v>
      </c>
      <c r="O1214" t="s">
        <v>31</v>
      </c>
    </row>
    <row r="1215" spans="1:15" x14ac:dyDescent="0.35">
      <c r="A1215">
        <v>2214</v>
      </c>
      <c r="B1215" t="s">
        <v>917</v>
      </c>
      <c r="C1215" s="1">
        <v>45577</v>
      </c>
      <c r="D1215" s="1">
        <v>45620</v>
      </c>
      <c r="E1215" s="1">
        <v>45625</v>
      </c>
      <c r="F1215" t="s">
        <v>60</v>
      </c>
      <c r="G1215" t="s">
        <v>22</v>
      </c>
      <c r="H1215" t="s">
        <v>23</v>
      </c>
      <c r="I1215">
        <v>43</v>
      </c>
      <c r="J1215">
        <v>5</v>
      </c>
      <c r="K1215">
        <v>5186</v>
      </c>
      <c r="L1215">
        <v>25930</v>
      </c>
      <c r="M1215" t="s">
        <v>24</v>
      </c>
      <c r="N1215">
        <v>1</v>
      </c>
      <c r="O1215" t="s">
        <v>25</v>
      </c>
    </row>
    <row r="1216" spans="1:15" x14ac:dyDescent="0.35">
      <c r="A1216">
        <v>2215</v>
      </c>
      <c r="B1216" t="s">
        <v>472</v>
      </c>
      <c r="C1216" s="1">
        <v>45556</v>
      </c>
      <c r="D1216" s="1">
        <v>45558</v>
      </c>
      <c r="E1216" s="1">
        <v>45560</v>
      </c>
      <c r="F1216" t="s">
        <v>29</v>
      </c>
      <c r="G1216" t="s">
        <v>39</v>
      </c>
      <c r="H1216" t="s">
        <v>30</v>
      </c>
      <c r="I1216">
        <v>2</v>
      </c>
      <c r="J1216">
        <v>2</v>
      </c>
      <c r="K1216">
        <v>5483</v>
      </c>
      <c r="L1216">
        <v>10966</v>
      </c>
      <c r="M1216" t="s">
        <v>24</v>
      </c>
      <c r="N1216">
        <v>0</v>
      </c>
      <c r="O1216" t="s">
        <v>25</v>
      </c>
    </row>
    <row r="1217" spans="1:15" x14ac:dyDescent="0.35">
      <c r="A1217">
        <v>2216</v>
      </c>
      <c r="B1217" t="s">
        <v>918</v>
      </c>
      <c r="C1217" s="1">
        <v>45611</v>
      </c>
      <c r="D1217" s="1">
        <v>45621</v>
      </c>
      <c r="E1217" s="1">
        <v>45623</v>
      </c>
      <c r="F1217" t="s">
        <v>29</v>
      </c>
      <c r="G1217" t="s">
        <v>22</v>
      </c>
      <c r="H1217" t="s">
        <v>23</v>
      </c>
      <c r="I1217">
        <v>10</v>
      </c>
      <c r="J1217">
        <v>2</v>
      </c>
      <c r="K1217">
        <v>8554</v>
      </c>
      <c r="L1217">
        <v>17108</v>
      </c>
      <c r="M1217" t="s">
        <v>51</v>
      </c>
      <c r="N1217">
        <v>1</v>
      </c>
      <c r="O1217" t="s">
        <v>31</v>
      </c>
    </row>
    <row r="1218" spans="1:15" x14ac:dyDescent="0.35">
      <c r="A1218">
        <v>2217</v>
      </c>
      <c r="B1218" t="s">
        <v>439</v>
      </c>
      <c r="C1218" s="1">
        <v>45452</v>
      </c>
      <c r="D1218" s="1">
        <v>45495</v>
      </c>
      <c r="E1218" s="1">
        <v>45496</v>
      </c>
      <c r="F1218" t="s">
        <v>38</v>
      </c>
      <c r="G1218" t="s">
        <v>22</v>
      </c>
      <c r="H1218" t="s">
        <v>23</v>
      </c>
      <c r="I1218">
        <v>43</v>
      </c>
      <c r="J1218">
        <v>1</v>
      </c>
      <c r="K1218">
        <v>8490</v>
      </c>
      <c r="L1218">
        <v>8490</v>
      </c>
      <c r="M1218" t="s">
        <v>51</v>
      </c>
      <c r="N1218">
        <v>1</v>
      </c>
      <c r="O1218" t="s">
        <v>31</v>
      </c>
    </row>
    <row r="1219" spans="1:15" x14ac:dyDescent="0.35">
      <c r="A1219">
        <v>2218</v>
      </c>
      <c r="B1219" t="s">
        <v>919</v>
      </c>
      <c r="C1219" s="1">
        <v>45599</v>
      </c>
      <c r="D1219" s="1">
        <v>45624</v>
      </c>
      <c r="E1219" s="1">
        <v>45629</v>
      </c>
      <c r="F1219" t="s">
        <v>60</v>
      </c>
      <c r="G1219" t="s">
        <v>22</v>
      </c>
      <c r="H1219" t="s">
        <v>30</v>
      </c>
      <c r="I1219">
        <v>25</v>
      </c>
      <c r="J1219">
        <v>5</v>
      </c>
      <c r="K1219">
        <v>5023</v>
      </c>
      <c r="L1219">
        <v>25115</v>
      </c>
      <c r="M1219" t="s">
        <v>51</v>
      </c>
      <c r="N1219">
        <v>0</v>
      </c>
      <c r="O1219" t="s">
        <v>31</v>
      </c>
    </row>
    <row r="1220" spans="1:15" x14ac:dyDescent="0.35">
      <c r="A1220">
        <v>2219</v>
      </c>
      <c r="B1220" t="s">
        <v>794</v>
      </c>
      <c r="C1220" s="1">
        <v>45380</v>
      </c>
      <c r="D1220" s="1">
        <v>45400</v>
      </c>
      <c r="E1220" s="1">
        <v>45402</v>
      </c>
      <c r="F1220" t="s">
        <v>35</v>
      </c>
      <c r="G1220" t="s">
        <v>39</v>
      </c>
      <c r="H1220" t="s">
        <v>30</v>
      </c>
      <c r="I1220">
        <v>20</v>
      </c>
      <c r="J1220">
        <v>2</v>
      </c>
      <c r="K1220">
        <v>6082</v>
      </c>
      <c r="L1220">
        <v>12164</v>
      </c>
      <c r="M1220" t="s">
        <v>51</v>
      </c>
      <c r="N1220">
        <v>1</v>
      </c>
      <c r="O1220" t="s">
        <v>25</v>
      </c>
    </row>
    <row r="1221" spans="1:15" x14ac:dyDescent="0.35">
      <c r="A1221">
        <v>2220</v>
      </c>
      <c r="B1221" t="s">
        <v>720</v>
      </c>
      <c r="C1221" s="1">
        <v>45433</v>
      </c>
      <c r="D1221" s="1">
        <v>45481</v>
      </c>
      <c r="E1221" s="1">
        <v>45484</v>
      </c>
      <c r="F1221" t="s">
        <v>60</v>
      </c>
      <c r="G1221" t="s">
        <v>39</v>
      </c>
      <c r="H1221" t="s">
        <v>23</v>
      </c>
      <c r="I1221">
        <v>48</v>
      </c>
      <c r="J1221">
        <v>3</v>
      </c>
      <c r="K1221">
        <v>3985</v>
      </c>
      <c r="L1221">
        <v>11955</v>
      </c>
      <c r="M1221" t="s">
        <v>51</v>
      </c>
      <c r="N1221">
        <v>1</v>
      </c>
      <c r="O1221" t="s">
        <v>31</v>
      </c>
    </row>
    <row r="1222" spans="1:15" x14ac:dyDescent="0.35">
      <c r="A1222">
        <v>2221</v>
      </c>
      <c r="B1222" t="s">
        <v>77</v>
      </c>
      <c r="C1222" s="1">
        <v>45494</v>
      </c>
      <c r="D1222" s="1">
        <v>45513</v>
      </c>
      <c r="E1222" s="1">
        <v>45516</v>
      </c>
      <c r="F1222" t="s">
        <v>29</v>
      </c>
      <c r="G1222" t="s">
        <v>22</v>
      </c>
      <c r="H1222" t="s">
        <v>46</v>
      </c>
      <c r="I1222">
        <v>19</v>
      </c>
      <c r="J1222">
        <v>3</v>
      </c>
      <c r="K1222">
        <v>4600</v>
      </c>
      <c r="L1222">
        <v>13800</v>
      </c>
      <c r="M1222" t="s">
        <v>24</v>
      </c>
      <c r="N1222">
        <v>0</v>
      </c>
      <c r="O1222" t="s">
        <v>31</v>
      </c>
    </row>
    <row r="1223" spans="1:15" x14ac:dyDescent="0.35">
      <c r="A1223">
        <v>2222</v>
      </c>
      <c r="B1223" t="s">
        <v>895</v>
      </c>
      <c r="C1223" s="1">
        <v>45600</v>
      </c>
      <c r="D1223" s="1">
        <v>45623</v>
      </c>
      <c r="E1223" s="1">
        <v>45628</v>
      </c>
      <c r="F1223" t="s">
        <v>35</v>
      </c>
      <c r="G1223" t="s">
        <v>22</v>
      </c>
      <c r="H1223" t="s">
        <v>46</v>
      </c>
      <c r="I1223">
        <v>23</v>
      </c>
      <c r="J1223">
        <v>5</v>
      </c>
      <c r="K1223">
        <v>7081</v>
      </c>
      <c r="L1223">
        <v>35405</v>
      </c>
      <c r="M1223" t="s">
        <v>24</v>
      </c>
      <c r="N1223">
        <v>1</v>
      </c>
      <c r="O1223" t="s">
        <v>31</v>
      </c>
    </row>
    <row r="1224" spans="1:15" x14ac:dyDescent="0.35">
      <c r="A1224">
        <v>2223</v>
      </c>
      <c r="B1224" t="s">
        <v>93</v>
      </c>
      <c r="C1224" s="1">
        <v>45518</v>
      </c>
      <c r="D1224" s="1">
        <v>45542</v>
      </c>
      <c r="E1224" s="1">
        <v>45544</v>
      </c>
      <c r="F1224" t="s">
        <v>60</v>
      </c>
      <c r="G1224" t="s">
        <v>39</v>
      </c>
      <c r="H1224" t="s">
        <v>46</v>
      </c>
      <c r="I1224">
        <v>24</v>
      </c>
      <c r="J1224">
        <v>2</v>
      </c>
      <c r="K1224">
        <v>6215</v>
      </c>
      <c r="L1224">
        <v>12430</v>
      </c>
      <c r="M1224" t="s">
        <v>24</v>
      </c>
      <c r="N1224">
        <v>1</v>
      </c>
      <c r="O1224" t="s">
        <v>31</v>
      </c>
    </row>
    <row r="1225" spans="1:15" x14ac:dyDescent="0.35">
      <c r="A1225">
        <v>2224</v>
      </c>
      <c r="B1225" t="s">
        <v>542</v>
      </c>
      <c r="C1225" s="1">
        <v>45625</v>
      </c>
      <c r="D1225" s="1">
        <v>45636</v>
      </c>
      <c r="E1225" s="1">
        <v>45637</v>
      </c>
      <c r="F1225" t="s">
        <v>29</v>
      </c>
      <c r="G1225" t="s">
        <v>39</v>
      </c>
      <c r="H1225" t="s">
        <v>46</v>
      </c>
      <c r="I1225">
        <v>11</v>
      </c>
      <c r="J1225">
        <v>1</v>
      </c>
      <c r="K1225">
        <v>8109</v>
      </c>
      <c r="L1225">
        <v>8109</v>
      </c>
      <c r="M1225" t="s">
        <v>24</v>
      </c>
      <c r="N1225">
        <v>0</v>
      </c>
      <c r="O1225" t="s">
        <v>31</v>
      </c>
    </row>
    <row r="1226" spans="1:15" x14ac:dyDescent="0.35">
      <c r="A1226">
        <v>2225</v>
      </c>
      <c r="B1226" t="s">
        <v>920</v>
      </c>
      <c r="C1226" s="1">
        <v>45513</v>
      </c>
      <c r="D1226" s="1">
        <v>45559</v>
      </c>
      <c r="E1226" s="1">
        <v>45560</v>
      </c>
      <c r="F1226" t="s">
        <v>35</v>
      </c>
      <c r="G1226" t="s">
        <v>22</v>
      </c>
      <c r="H1226" t="s">
        <v>23</v>
      </c>
      <c r="I1226">
        <v>46</v>
      </c>
      <c r="J1226">
        <v>1</v>
      </c>
      <c r="K1226">
        <v>4501</v>
      </c>
      <c r="L1226">
        <v>4501</v>
      </c>
      <c r="M1226" t="s">
        <v>51</v>
      </c>
      <c r="N1226">
        <v>1</v>
      </c>
      <c r="O1226" t="s">
        <v>25</v>
      </c>
    </row>
    <row r="1227" spans="1:15" x14ac:dyDescent="0.35">
      <c r="A1227">
        <v>2226</v>
      </c>
      <c r="B1227" t="s">
        <v>365</v>
      </c>
      <c r="C1227" s="1">
        <v>45332</v>
      </c>
      <c r="D1227" s="1">
        <v>45366</v>
      </c>
      <c r="E1227" s="1">
        <v>45367</v>
      </c>
      <c r="F1227" t="s">
        <v>35</v>
      </c>
      <c r="G1227" t="s">
        <v>39</v>
      </c>
      <c r="H1227" t="s">
        <v>46</v>
      </c>
      <c r="I1227">
        <v>34</v>
      </c>
      <c r="J1227">
        <v>1</v>
      </c>
      <c r="K1227">
        <v>3887</v>
      </c>
      <c r="L1227">
        <v>3887</v>
      </c>
      <c r="M1227" t="s">
        <v>24</v>
      </c>
      <c r="N1227">
        <v>1</v>
      </c>
      <c r="O1227" t="s">
        <v>31</v>
      </c>
    </row>
    <row r="1228" spans="1:15" x14ac:dyDescent="0.35">
      <c r="A1228">
        <v>2227</v>
      </c>
      <c r="B1228" t="s">
        <v>921</v>
      </c>
      <c r="C1228" s="1">
        <v>45487</v>
      </c>
      <c r="D1228" s="1">
        <v>45542</v>
      </c>
      <c r="E1228" s="1">
        <v>45545</v>
      </c>
      <c r="F1228" t="s">
        <v>29</v>
      </c>
      <c r="G1228" t="s">
        <v>22</v>
      </c>
      <c r="H1228" t="s">
        <v>46</v>
      </c>
      <c r="I1228">
        <v>55</v>
      </c>
      <c r="J1228">
        <v>3</v>
      </c>
      <c r="K1228">
        <v>5683</v>
      </c>
      <c r="L1228">
        <v>17049</v>
      </c>
      <c r="M1228" t="s">
        <v>51</v>
      </c>
      <c r="N1228">
        <v>1</v>
      </c>
      <c r="O1228" t="s">
        <v>31</v>
      </c>
    </row>
    <row r="1229" spans="1:15" x14ac:dyDescent="0.35">
      <c r="A1229">
        <v>2228</v>
      </c>
      <c r="B1229" t="s">
        <v>317</v>
      </c>
      <c r="C1229" s="1">
        <v>45359</v>
      </c>
      <c r="D1229" s="1">
        <v>45387</v>
      </c>
      <c r="E1229" s="1">
        <v>45389</v>
      </c>
      <c r="F1229" t="s">
        <v>35</v>
      </c>
      <c r="G1229" t="s">
        <v>22</v>
      </c>
      <c r="H1229" t="s">
        <v>46</v>
      </c>
      <c r="I1229">
        <v>28</v>
      </c>
      <c r="J1229">
        <v>2</v>
      </c>
      <c r="K1229">
        <v>3530</v>
      </c>
      <c r="L1229">
        <v>7060</v>
      </c>
      <c r="M1229" t="s">
        <v>51</v>
      </c>
      <c r="N1229">
        <v>0</v>
      </c>
      <c r="O1229" t="s">
        <v>25</v>
      </c>
    </row>
    <row r="1230" spans="1:15" x14ac:dyDescent="0.35">
      <c r="A1230">
        <v>2229</v>
      </c>
      <c r="B1230" t="s">
        <v>613</v>
      </c>
      <c r="C1230" s="1">
        <v>45555</v>
      </c>
      <c r="D1230" s="1">
        <v>45560</v>
      </c>
      <c r="E1230" s="1">
        <v>45562</v>
      </c>
      <c r="F1230" t="s">
        <v>29</v>
      </c>
      <c r="G1230" t="s">
        <v>39</v>
      </c>
      <c r="H1230" t="s">
        <v>23</v>
      </c>
      <c r="I1230">
        <v>5</v>
      </c>
      <c r="J1230">
        <v>2</v>
      </c>
      <c r="K1230">
        <v>4265</v>
      </c>
      <c r="L1230">
        <v>8530</v>
      </c>
      <c r="M1230" t="s">
        <v>51</v>
      </c>
      <c r="N1230">
        <v>0</v>
      </c>
      <c r="O1230" t="s">
        <v>31</v>
      </c>
    </row>
    <row r="1231" spans="1:15" x14ac:dyDescent="0.35">
      <c r="A1231">
        <v>2230</v>
      </c>
      <c r="B1231" t="s">
        <v>716</v>
      </c>
      <c r="C1231" s="1">
        <v>45293</v>
      </c>
      <c r="D1231" s="1">
        <v>45352</v>
      </c>
      <c r="E1231" s="1">
        <v>45355</v>
      </c>
      <c r="F1231" t="s">
        <v>21</v>
      </c>
      <c r="G1231" t="s">
        <v>22</v>
      </c>
      <c r="H1231" t="s">
        <v>30</v>
      </c>
      <c r="I1231">
        <v>59</v>
      </c>
      <c r="J1231">
        <v>3</v>
      </c>
      <c r="K1231">
        <v>7263</v>
      </c>
      <c r="L1231">
        <v>21789</v>
      </c>
      <c r="M1231" t="s">
        <v>51</v>
      </c>
      <c r="N1231">
        <v>1</v>
      </c>
      <c r="O1231" t="s">
        <v>31</v>
      </c>
    </row>
    <row r="1232" spans="1:15" x14ac:dyDescent="0.35">
      <c r="A1232">
        <v>2231</v>
      </c>
      <c r="B1232" t="s">
        <v>868</v>
      </c>
      <c r="C1232" s="1">
        <v>45652</v>
      </c>
      <c r="D1232" s="1">
        <v>45657</v>
      </c>
      <c r="E1232" s="1">
        <v>45658</v>
      </c>
      <c r="F1232" t="s">
        <v>21</v>
      </c>
      <c r="G1232" t="s">
        <v>22</v>
      </c>
      <c r="H1232" t="s">
        <v>46</v>
      </c>
      <c r="I1232">
        <v>5</v>
      </c>
      <c r="J1232">
        <v>1</v>
      </c>
      <c r="K1232">
        <v>3720</v>
      </c>
      <c r="L1232">
        <v>3720</v>
      </c>
      <c r="M1232" t="s">
        <v>51</v>
      </c>
      <c r="N1232">
        <v>1</v>
      </c>
      <c r="O1232" t="s">
        <v>25</v>
      </c>
    </row>
    <row r="1233" spans="1:15" x14ac:dyDescent="0.35">
      <c r="A1233">
        <v>2232</v>
      </c>
      <c r="B1233" t="s">
        <v>614</v>
      </c>
      <c r="C1233" s="1">
        <v>45416</v>
      </c>
      <c r="D1233" s="1">
        <v>45467</v>
      </c>
      <c r="E1233" s="1">
        <v>45468</v>
      </c>
      <c r="F1233" t="s">
        <v>35</v>
      </c>
      <c r="G1233" t="s">
        <v>39</v>
      </c>
      <c r="H1233" t="s">
        <v>23</v>
      </c>
      <c r="I1233">
        <v>51</v>
      </c>
      <c r="J1233">
        <v>1</v>
      </c>
      <c r="K1233">
        <v>7430</v>
      </c>
      <c r="L1233">
        <v>7430</v>
      </c>
      <c r="M1233" t="s">
        <v>24</v>
      </c>
      <c r="N1233">
        <v>0</v>
      </c>
      <c r="O1233" t="s">
        <v>31</v>
      </c>
    </row>
    <row r="1234" spans="1:15" x14ac:dyDescent="0.35">
      <c r="A1234">
        <v>2233</v>
      </c>
      <c r="B1234" t="s">
        <v>275</v>
      </c>
      <c r="C1234" s="1">
        <v>45401</v>
      </c>
      <c r="D1234" s="1">
        <v>45422</v>
      </c>
      <c r="E1234" s="1">
        <v>45427</v>
      </c>
      <c r="F1234" t="s">
        <v>35</v>
      </c>
      <c r="G1234" t="s">
        <v>22</v>
      </c>
      <c r="H1234" t="s">
        <v>23</v>
      </c>
      <c r="I1234">
        <v>21</v>
      </c>
      <c r="J1234">
        <v>5</v>
      </c>
      <c r="K1234">
        <v>7471</v>
      </c>
      <c r="L1234">
        <v>37355</v>
      </c>
      <c r="M1234" t="s">
        <v>51</v>
      </c>
      <c r="N1234">
        <v>1</v>
      </c>
      <c r="O1234" t="s">
        <v>25</v>
      </c>
    </row>
    <row r="1235" spans="1:15" x14ac:dyDescent="0.35">
      <c r="A1235">
        <v>2234</v>
      </c>
      <c r="B1235" t="s">
        <v>797</v>
      </c>
      <c r="C1235" s="1">
        <v>45377</v>
      </c>
      <c r="D1235" s="1">
        <v>45389</v>
      </c>
      <c r="E1235" s="1">
        <v>45393</v>
      </c>
      <c r="F1235" t="s">
        <v>29</v>
      </c>
      <c r="G1235" t="s">
        <v>39</v>
      </c>
      <c r="H1235" t="s">
        <v>46</v>
      </c>
      <c r="I1235">
        <v>12</v>
      </c>
      <c r="J1235">
        <v>4</v>
      </c>
      <c r="K1235">
        <v>6306</v>
      </c>
      <c r="L1235">
        <v>25224</v>
      </c>
      <c r="M1235" t="s">
        <v>51</v>
      </c>
      <c r="N1235">
        <v>1</v>
      </c>
      <c r="O1235" t="s">
        <v>31</v>
      </c>
    </row>
    <row r="1236" spans="1:15" x14ac:dyDescent="0.35">
      <c r="A1236">
        <v>2235</v>
      </c>
      <c r="B1236" t="s">
        <v>511</v>
      </c>
      <c r="C1236" s="1">
        <v>45411</v>
      </c>
      <c r="D1236" s="1">
        <v>45461</v>
      </c>
      <c r="E1236" s="1">
        <v>45463</v>
      </c>
      <c r="F1236" t="s">
        <v>35</v>
      </c>
      <c r="G1236" t="s">
        <v>22</v>
      </c>
      <c r="H1236" t="s">
        <v>30</v>
      </c>
      <c r="I1236">
        <v>50</v>
      </c>
      <c r="J1236">
        <v>2</v>
      </c>
      <c r="K1236">
        <v>4914</v>
      </c>
      <c r="L1236">
        <v>9828</v>
      </c>
      <c r="M1236" t="s">
        <v>51</v>
      </c>
      <c r="N1236">
        <v>1</v>
      </c>
      <c r="O1236" t="s">
        <v>25</v>
      </c>
    </row>
    <row r="1237" spans="1:15" x14ac:dyDescent="0.35">
      <c r="A1237">
        <v>2236</v>
      </c>
      <c r="B1237" t="s">
        <v>269</v>
      </c>
      <c r="C1237" s="1">
        <v>45418</v>
      </c>
      <c r="D1237" s="1">
        <v>45422</v>
      </c>
      <c r="E1237" s="1">
        <v>45424</v>
      </c>
      <c r="F1237" t="s">
        <v>38</v>
      </c>
      <c r="G1237" t="s">
        <v>22</v>
      </c>
      <c r="H1237" t="s">
        <v>30</v>
      </c>
      <c r="I1237">
        <v>4</v>
      </c>
      <c r="J1237">
        <v>2</v>
      </c>
      <c r="K1237">
        <v>7597</v>
      </c>
      <c r="L1237">
        <v>15194</v>
      </c>
      <c r="M1237" t="s">
        <v>24</v>
      </c>
      <c r="N1237">
        <v>0</v>
      </c>
      <c r="O1237" t="s">
        <v>25</v>
      </c>
    </row>
    <row r="1238" spans="1:15" x14ac:dyDescent="0.35">
      <c r="A1238">
        <v>2237</v>
      </c>
      <c r="B1238" t="s">
        <v>83</v>
      </c>
      <c r="C1238" s="1">
        <v>45546</v>
      </c>
      <c r="D1238" s="1">
        <v>45600</v>
      </c>
      <c r="E1238" s="1">
        <v>45602</v>
      </c>
      <c r="F1238" t="s">
        <v>21</v>
      </c>
      <c r="G1238" t="s">
        <v>39</v>
      </c>
      <c r="H1238" t="s">
        <v>30</v>
      </c>
      <c r="I1238">
        <v>54</v>
      </c>
      <c r="J1238">
        <v>2</v>
      </c>
      <c r="K1238">
        <v>6845</v>
      </c>
      <c r="L1238">
        <v>13690</v>
      </c>
      <c r="M1238" t="s">
        <v>51</v>
      </c>
      <c r="N1238">
        <v>0</v>
      </c>
      <c r="O1238" t="s">
        <v>31</v>
      </c>
    </row>
    <row r="1239" spans="1:15" x14ac:dyDescent="0.35">
      <c r="A1239">
        <v>2238</v>
      </c>
      <c r="B1239" t="s">
        <v>567</v>
      </c>
      <c r="C1239" s="1">
        <v>45474</v>
      </c>
      <c r="D1239" s="1">
        <v>45523</v>
      </c>
      <c r="E1239" s="1">
        <v>45527</v>
      </c>
      <c r="F1239" t="s">
        <v>35</v>
      </c>
      <c r="G1239" t="s">
        <v>39</v>
      </c>
      <c r="H1239" t="s">
        <v>23</v>
      </c>
      <c r="I1239">
        <v>49</v>
      </c>
      <c r="J1239">
        <v>4</v>
      </c>
      <c r="K1239">
        <v>8535</v>
      </c>
      <c r="L1239">
        <v>34140</v>
      </c>
      <c r="M1239" t="s">
        <v>51</v>
      </c>
      <c r="N1239">
        <v>0</v>
      </c>
      <c r="O1239" t="s">
        <v>25</v>
      </c>
    </row>
    <row r="1240" spans="1:15" x14ac:dyDescent="0.35">
      <c r="A1240">
        <v>2239</v>
      </c>
      <c r="B1240" t="s">
        <v>531</v>
      </c>
      <c r="C1240" s="1">
        <v>45307</v>
      </c>
      <c r="D1240" s="1">
        <v>45349</v>
      </c>
      <c r="E1240" s="1">
        <v>45354</v>
      </c>
      <c r="F1240" t="s">
        <v>35</v>
      </c>
      <c r="G1240" t="s">
        <v>39</v>
      </c>
      <c r="H1240" t="s">
        <v>46</v>
      </c>
      <c r="I1240">
        <v>42</v>
      </c>
      <c r="J1240">
        <v>5</v>
      </c>
      <c r="K1240">
        <v>4118</v>
      </c>
      <c r="L1240">
        <v>20590</v>
      </c>
      <c r="M1240" t="s">
        <v>51</v>
      </c>
      <c r="N1240">
        <v>1</v>
      </c>
      <c r="O1240" t="s">
        <v>25</v>
      </c>
    </row>
    <row r="1241" spans="1:15" x14ac:dyDescent="0.35">
      <c r="A1241">
        <v>2240</v>
      </c>
      <c r="B1241" t="s">
        <v>688</v>
      </c>
      <c r="C1241" s="1">
        <v>45353</v>
      </c>
      <c r="D1241" s="1">
        <v>45373</v>
      </c>
      <c r="E1241" s="1">
        <v>45377</v>
      </c>
      <c r="F1241" t="s">
        <v>60</v>
      </c>
      <c r="G1241" t="s">
        <v>39</v>
      </c>
      <c r="H1241" t="s">
        <v>46</v>
      </c>
      <c r="I1241">
        <v>20</v>
      </c>
      <c r="J1241">
        <v>4</v>
      </c>
      <c r="K1241">
        <v>3763</v>
      </c>
      <c r="L1241">
        <v>15052</v>
      </c>
      <c r="M1241" t="s">
        <v>24</v>
      </c>
      <c r="N1241">
        <v>0</v>
      </c>
      <c r="O1241" t="s">
        <v>31</v>
      </c>
    </row>
    <row r="1242" spans="1:15" x14ac:dyDescent="0.35">
      <c r="A1242">
        <v>2241</v>
      </c>
      <c r="B1242" t="s">
        <v>448</v>
      </c>
      <c r="C1242" s="1">
        <v>45449</v>
      </c>
      <c r="D1242" s="1">
        <v>45487</v>
      </c>
      <c r="E1242" s="1">
        <v>45488</v>
      </c>
      <c r="F1242" t="s">
        <v>35</v>
      </c>
      <c r="G1242" t="s">
        <v>39</v>
      </c>
      <c r="H1242" t="s">
        <v>23</v>
      </c>
      <c r="I1242">
        <v>38</v>
      </c>
      <c r="J1242">
        <v>1</v>
      </c>
      <c r="K1242">
        <v>3371</v>
      </c>
      <c r="L1242">
        <v>3371</v>
      </c>
      <c r="M1242" t="s">
        <v>51</v>
      </c>
      <c r="N1242">
        <v>0</v>
      </c>
      <c r="O1242" t="s">
        <v>31</v>
      </c>
    </row>
    <row r="1243" spans="1:15" x14ac:dyDescent="0.35">
      <c r="A1243">
        <v>2242</v>
      </c>
      <c r="B1243" t="s">
        <v>809</v>
      </c>
      <c r="C1243" s="1">
        <v>45559</v>
      </c>
      <c r="D1243" s="1">
        <v>45584</v>
      </c>
      <c r="E1243" s="1">
        <v>45585</v>
      </c>
      <c r="F1243" t="s">
        <v>38</v>
      </c>
      <c r="G1243" t="s">
        <v>39</v>
      </c>
      <c r="H1243" t="s">
        <v>46</v>
      </c>
      <c r="I1243">
        <v>25</v>
      </c>
      <c r="J1243">
        <v>1</v>
      </c>
      <c r="K1243">
        <v>3334</v>
      </c>
      <c r="L1243">
        <v>3334</v>
      </c>
      <c r="M1243" t="s">
        <v>24</v>
      </c>
      <c r="N1243">
        <v>0</v>
      </c>
      <c r="O1243" t="s">
        <v>25</v>
      </c>
    </row>
    <row r="1244" spans="1:15" x14ac:dyDescent="0.35">
      <c r="A1244">
        <v>2243</v>
      </c>
      <c r="B1244" t="s">
        <v>787</v>
      </c>
      <c r="C1244" s="1">
        <v>45326</v>
      </c>
      <c r="D1244" s="1">
        <v>45340</v>
      </c>
      <c r="E1244" s="1">
        <v>45342</v>
      </c>
      <c r="F1244" t="s">
        <v>21</v>
      </c>
      <c r="G1244" t="s">
        <v>22</v>
      </c>
      <c r="H1244" t="s">
        <v>46</v>
      </c>
      <c r="I1244">
        <v>14</v>
      </c>
      <c r="J1244">
        <v>2</v>
      </c>
      <c r="K1244">
        <v>5322</v>
      </c>
      <c r="L1244">
        <v>10644</v>
      </c>
      <c r="M1244" t="s">
        <v>24</v>
      </c>
      <c r="N1244">
        <v>1</v>
      </c>
      <c r="O1244" t="s">
        <v>31</v>
      </c>
    </row>
    <row r="1245" spans="1:15" x14ac:dyDescent="0.35">
      <c r="A1245">
        <v>2244</v>
      </c>
      <c r="B1245" t="s">
        <v>922</v>
      </c>
      <c r="C1245" s="1">
        <v>45558</v>
      </c>
      <c r="D1245" s="1">
        <v>45569</v>
      </c>
      <c r="E1245" s="1">
        <v>45572</v>
      </c>
      <c r="F1245" t="s">
        <v>60</v>
      </c>
      <c r="G1245" t="s">
        <v>39</v>
      </c>
      <c r="H1245" t="s">
        <v>30</v>
      </c>
      <c r="I1245">
        <v>11</v>
      </c>
      <c r="J1245">
        <v>3</v>
      </c>
      <c r="K1245">
        <v>3418</v>
      </c>
      <c r="L1245">
        <v>10254</v>
      </c>
      <c r="M1245" t="s">
        <v>51</v>
      </c>
      <c r="N1245">
        <v>0</v>
      </c>
      <c r="O1245" t="s">
        <v>25</v>
      </c>
    </row>
    <row r="1246" spans="1:15" x14ac:dyDescent="0.35">
      <c r="A1246">
        <v>2245</v>
      </c>
      <c r="B1246" t="s">
        <v>581</v>
      </c>
      <c r="C1246" s="1">
        <v>45355</v>
      </c>
      <c r="D1246" s="1">
        <v>45387</v>
      </c>
      <c r="E1246" s="1">
        <v>45389</v>
      </c>
      <c r="F1246" t="s">
        <v>29</v>
      </c>
      <c r="G1246" t="s">
        <v>22</v>
      </c>
      <c r="H1246" t="s">
        <v>46</v>
      </c>
      <c r="I1246">
        <v>32</v>
      </c>
      <c r="J1246">
        <v>2</v>
      </c>
      <c r="K1246">
        <v>4224</v>
      </c>
      <c r="L1246">
        <v>8448</v>
      </c>
      <c r="M1246" t="s">
        <v>24</v>
      </c>
      <c r="N1246">
        <v>1</v>
      </c>
      <c r="O1246" t="s">
        <v>25</v>
      </c>
    </row>
    <row r="1247" spans="1:15" x14ac:dyDescent="0.35">
      <c r="A1247">
        <v>2246</v>
      </c>
      <c r="B1247" t="s">
        <v>383</v>
      </c>
      <c r="C1247" s="1">
        <v>45341</v>
      </c>
      <c r="D1247" s="1">
        <v>45352</v>
      </c>
      <c r="E1247" s="1">
        <v>45355</v>
      </c>
      <c r="F1247" t="s">
        <v>29</v>
      </c>
      <c r="G1247" t="s">
        <v>39</v>
      </c>
      <c r="H1247" t="s">
        <v>46</v>
      </c>
      <c r="I1247">
        <v>11</v>
      </c>
      <c r="J1247">
        <v>3</v>
      </c>
      <c r="K1247">
        <v>4913</v>
      </c>
      <c r="L1247">
        <v>14739</v>
      </c>
      <c r="M1247" t="s">
        <v>24</v>
      </c>
      <c r="N1247">
        <v>0</v>
      </c>
      <c r="O1247" t="s">
        <v>31</v>
      </c>
    </row>
    <row r="1248" spans="1:15" x14ac:dyDescent="0.35">
      <c r="A1248">
        <v>2247</v>
      </c>
      <c r="B1248" t="s">
        <v>923</v>
      </c>
      <c r="C1248" s="1">
        <v>45546</v>
      </c>
      <c r="D1248" s="1">
        <v>45564</v>
      </c>
      <c r="E1248" s="1">
        <v>45568</v>
      </c>
      <c r="F1248" t="s">
        <v>21</v>
      </c>
      <c r="G1248" t="s">
        <v>22</v>
      </c>
      <c r="H1248" t="s">
        <v>23</v>
      </c>
      <c r="I1248">
        <v>18</v>
      </c>
      <c r="J1248">
        <v>4</v>
      </c>
      <c r="K1248">
        <v>3813</v>
      </c>
      <c r="L1248">
        <v>15252</v>
      </c>
      <c r="M1248" t="s">
        <v>51</v>
      </c>
      <c r="N1248">
        <v>1</v>
      </c>
      <c r="O1248" t="s">
        <v>31</v>
      </c>
    </row>
    <row r="1249" spans="1:15" x14ac:dyDescent="0.35">
      <c r="A1249">
        <v>2248</v>
      </c>
      <c r="B1249" t="s">
        <v>538</v>
      </c>
      <c r="C1249" s="1">
        <v>45440</v>
      </c>
      <c r="D1249" s="1">
        <v>45467</v>
      </c>
      <c r="E1249" s="1">
        <v>45468</v>
      </c>
      <c r="F1249" t="s">
        <v>29</v>
      </c>
      <c r="G1249" t="s">
        <v>22</v>
      </c>
      <c r="H1249" t="s">
        <v>23</v>
      </c>
      <c r="I1249">
        <v>27</v>
      </c>
      <c r="J1249">
        <v>1</v>
      </c>
      <c r="K1249">
        <v>8493</v>
      </c>
      <c r="L1249">
        <v>8493</v>
      </c>
      <c r="M1249" t="s">
        <v>51</v>
      </c>
      <c r="N1249">
        <v>0</v>
      </c>
      <c r="O1249" t="s">
        <v>25</v>
      </c>
    </row>
    <row r="1250" spans="1:15" x14ac:dyDescent="0.35">
      <c r="A1250">
        <v>2249</v>
      </c>
      <c r="B1250" t="s">
        <v>924</v>
      </c>
      <c r="C1250" s="1">
        <v>45616</v>
      </c>
      <c r="D1250" s="1">
        <v>45671</v>
      </c>
      <c r="E1250" s="1">
        <v>45674</v>
      </c>
      <c r="F1250" t="s">
        <v>38</v>
      </c>
      <c r="G1250" t="s">
        <v>39</v>
      </c>
      <c r="H1250" t="s">
        <v>30</v>
      </c>
      <c r="I1250">
        <v>55</v>
      </c>
      <c r="J1250">
        <v>3</v>
      </c>
      <c r="K1250">
        <v>6998</v>
      </c>
      <c r="L1250">
        <v>20994</v>
      </c>
      <c r="M1250" t="s">
        <v>51</v>
      </c>
      <c r="N1250">
        <v>1</v>
      </c>
      <c r="O1250" t="s">
        <v>31</v>
      </c>
    </row>
    <row r="1251" spans="1:15" x14ac:dyDescent="0.35">
      <c r="A1251">
        <v>2250</v>
      </c>
      <c r="B1251" t="s">
        <v>625</v>
      </c>
      <c r="C1251" s="1">
        <v>45595</v>
      </c>
      <c r="D1251" s="1">
        <v>45649</v>
      </c>
      <c r="E1251" s="1">
        <v>45653</v>
      </c>
      <c r="F1251" t="s">
        <v>35</v>
      </c>
      <c r="G1251" t="s">
        <v>22</v>
      </c>
      <c r="H1251" t="s">
        <v>23</v>
      </c>
      <c r="I1251">
        <v>54</v>
      </c>
      <c r="J1251">
        <v>4</v>
      </c>
      <c r="K1251">
        <v>4605</v>
      </c>
      <c r="L1251">
        <v>18420</v>
      </c>
      <c r="M1251" t="s">
        <v>51</v>
      </c>
      <c r="N1251">
        <v>1</v>
      </c>
      <c r="O1251" t="s">
        <v>31</v>
      </c>
    </row>
    <row r="1252" spans="1:15" x14ac:dyDescent="0.35">
      <c r="A1252">
        <v>2251</v>
      </c>
      <c r="B1252" t="s">
        <v>691</v>
      </c>
      <c r="C1252" s="1">
        <v>45567</v>
      </c>
      <c r="D1252" s="1">
        <v>45585</v>
      </c>
      <c r="E1252" s="1">
        <v>45586</v>
      </c>
      <c r="F1252" t="s">
        <v>21</v>
      </c>
      <c r="G1252" t="s">
        <v>22</v>
      </c>
      <c r="H1252" t="s">
        <v>30</v>
      </c>
      <c r="I1252">
        <v>18</v>
      </c>
      <c r="J1252">
        <v>1</v>
      </c>
      <c r="K1252">
        <v>5068</v>
      </c>
      <c r="L1252">
        <v>5068</v>
      </c>
      <c r="M1252" t="s">
        <v>24</v>
      </c>
      <c r="N1252">
        <v>0</v>
      </c>
      <c r="O1252" t="s">
        <v>25</v>
      </c>
    </row>
    <row r="1253" spans="1:15" x14ac:dyDescent="0.35">
      <c r="A1253">
        <v>2252</v>
      </c>
      <c r="B1253" t="s">
        <v>925</v>
      </c>
      <c r="C1253" s="1">
        <v>45648</v>
      </c>
      <c r="D1253" s="1">
        <v>45704</v>
      </c>
      <c r="E1253" s="1">
        <v>45707</v>
      </c>
      <c r="F1253" t="s">
        <v>60</v>
      </c>
      <c r="G1253" t="s">
        <v>22</v>
      </c>
      <c r="H1253" t="s">
        <v>30</v>
      </c>
      <c r="I1253">
        <v>56</v>
      </c>
      <c r="J1253">
        <v>3</v>
      </c>
      <c r="K1253">
        <v>7923</v>
      </c>
      <c r="L1253">
        <v>23769</v>
      </c>
      <c r="M1253" t="s">
        <v>24</v>
      </c>
      <c r="N1253">
        <v>0</v>
      </c>
      <c r="O1253" t="s">
        <v>25</v>
      </c>
    </row>
    <row r="1254" spans="1:15" x14ac:dyDescent="0.35">
      <c r="A1254">
        <v>2253</v>
      </c>
      <c r="B1254" t="s">
        <v>926</v>
      </c>
      <c r="C1254" s="1">
        <v>45463</v>
      </c>
      <c r="D1254" s="1">
        <v>45486</v>
      </c>
      <c r="E1254" s="1">
        <v>45488</v>
      </c>
      <c r="F1254" t="s">
        <v>35</v>
      </c>
      <c r="G1254" t="s">
        <v>39</v>
      </c>
      <c r="H1254" t="s">
        <v>46</v>
      </c>
      <c r="I1254">
        <v>23</v>
      </c>
      <c r="J1254">
        <v>2</v>
      </c>
      <c r="K1254">
        <v>3638</v>
      </c>
      <c r="L1254">
        <v>7276</v>
      </c>
      <c r="M1254" t="s">
        <v>51</v>
      </c>
      <c r="N1254">
        <v>0</v>
      </c>
      <c r="O1254" t="s">
        <v>25</v>
      </c>
    </row>
    <row r="1255" spans="1:15" x14ac:dyDescent="0.35">
      <c r="A1255">
        <v>2254</v>
      </c>
      <c r="B1255" t="s">
        <v>622</v>
      </c>
      <c r="C1255" s="1">
        <v>45492</v>
      </c>
      <c r="D1255" s="1">
        <v>45503</v>
      </c>
      <c r="E1255" s="1">
        <v>45505</v>
      </c>
      <c r="F1255" t="s">
        <v>29</v>
      </c>
      <c r="G1255" t="s">
        <v>39</v>
      </c>
      <c r="H1255" t="s">
        <v>30</v>
      </c>
      <c r="I1255">
        <v>11</v>
      </c>
      <c r="J1255">
        <v>2</v>
      </c>
      <c r="K1255">
        <v>2709</v>
      </c>
      <c r="L1255">
        <v>5418</v>
      </c>
      <c r="M1255" t="s">
        <v>51</v>
      </c>
      <c r="N1255">
        <v>0</v>
      </c>
      <c r="O1255" t="s">
        <v>25</v>
      </c>
    </row>
    <row r="1256" spans="1:15" x14ac:dyDescent="0.35">
      <c r="A1256">
        <v>2255</v>
      </c>
      <c r="B1256" t="s">
        <v>193</v>
      </c>
      <c r="C1256" s="1">
        <v>45615</v>
      </c>
      <c r="D1256" s="1">
        <v>45636</v>
      </c>
      <c r="E1256" s="1">
        <v>45638</v>
      </c>
      <c r="F1256" t="s">
        <v>29</v>
      </c>
      <c r="G1256" t="s">
        <v>22</v>
      </c>
      <c r="H1256" t="s">
        <v>46</v>
      </c>
      <c r="I1256">
        <v>21</v>
      </c>
      <c r="J1256">
        <v>2</v>
      </c>
      <c r="K1256">
        <v>3564</v>
      </c>
      <c r="L1256">
        <v>7128</v>
      </c>
      <c r="M1256" t="s">
        <v>51</v>
      </c>
      <c r="N1256">
        <v>1</v>
      </c>
      <c r="O1256" t="s">
        <v>25</v>
      </c>
    </row>
    <row r="1257" spans="1:15" x14ac:dyDescent="0.35">
      <c r="A1257">
        <v>2256</v>
      </c>
      <c r="B1257" t="s">
        <v>927</v>
      </c>
      <c r="C1257" s="1">
        <v>45326</v>
      </c>
      <c r="D1257" s="1">
        <v>45370</v>
      </c>
      <c r="E1257" s="1">
        <v>45374</v>
      </c>
      <c r="F1257" t="s">
        <v>60</v>
      </c>
      <c r="G1257" t="s">
        <v>39</v>
      </c>
      <c r="H1257" t="s">
        <v>30</v>
      </c>
      <c r="I1257">
        <v>44</v>
      </c>
      <c r="J1257">
        <v>4</v>
      </c>
      <c r="K1257">
        <v>7411</v>
      </c>
      <c r="L1257">
        <v>29644</v>
      </c>
      <c r="M1257" t="s">
        <v>24</v>
      </c>
      <c r="N1257">
        <v>1</v>
      </c>
      <c r="O1257" t="s">
        <v>25</v>
      </c>
    </row>
    <row r="1258" spans="1:15" x14ac:dyDescent="0.35">
      <c r="A1258">
        <v>2257</v>
      </c>
      <c r="B1258" t="s">
        <v>928</v>
      </c>
      <c r="C1258" s="1">
        <v>45507</v>
      </c>
      <c r="D1258" s="1">
        <v>45512</v>
      </c>
      <c r="E1258" s="1">
        <v>45514</v>
      </c>
      <c r="F1258" t="s">
        <v>38</v>
      </c>
      <c r="G1258" t="s">
        <v>39</v>
      </c>
      <c r="H1258" t="s">
        <v>23</v>
      </c>
      <c r="I1258">
        <v>5</v>
      </c>
      <c r="J1258">
        <v>2</v>
      </c>
      <c r="K1258">
        <v>4720</v>
      </c>
      <c r="L1258">
        <v>9440</v>
      </c>
      <c r="M1258" t="s">
        <v>51</v>
      </c>
      <c r="N1258">
        <v>0</v>
      </c>
      <c r="O1258" t="s">
        <v>31</v>
      </c>
    </row>
    <row r="1259" spans="1:15" x14ac:dyDescent="0.35">
      <c r="A1259">
        <v>2258</v>
      </c>
      <c r="B1259" t="s">
        <v>929</v>
      </c>
      <c r="C1259" s="1">
        <v>45356</v>
      </c>
      <c r="D1259" s="1">
        <v>45379</v>
      </c>
      <c r="E1259" s="1">
        <v>45384</v>
      </c>
      <c r="F1259" t="s">
        <v>60</v>
      </c>
      <c r="G1259" t="s">
        <v>22</v>
      </c>
      <c r="H1259" t="s">
        <v>23</v>
      </c>
      <c r="I1259">
        <v>23</v>
      </c>
      <c r="J1259">
        <v>5</v>
      </c>
      <c r="K1259">
        <v>2733</v>
      </c>
      <c r="L1259">
        <v>13665</v>
      </c>
      <c r="M1259" t="s">
        <v>24</v>
      </c>
      <c r="N1259">
        <v>1</v>
      </c>
      <c r="O1259" t="s">
        <v>25</v>
      </c>
    </row>
    <row r="1260" spans="1:15" x14ac:dyDescent="0.35">
      <c r="A1260">
        <v>2259</v>
      </c>
      <c r="B1260" t="s">
        <v>930</v>
      </c>
      <c r="C1260" s="1">
        <v>45299</v>
      </c>
      <c r="D1260" s="1">
        <v>45340</v>
      </c>
      <c r="E1260" s="1">
        <v>45341</v>
      </c>
      <c r="F1260" t="s">
        <v>21</v>
      </c>
      <c r="G1260" t="s">
        <v>22</v>
      </c>
      <c r="H1260" t="s">
        <v>23</v>
      </c>
      <c r="I1260">
        <v>41</v>
      </c>
      <c r="J1260">
        <v>1</v>
      </c>
      <c r="K1260">
        <v>3292</v>
      </c>
      <c r="L1260">
        <v>3292</v>
      </c>
      <c r="M1260" t="s">
        <v>24</v>
      </c>
      <c r="N1260">
        <v>1</v>
      </c>
      <c r="O1260" t="s">
        <v>31</v>
      </c>
    </row>
    <row r="1261" spans="1:15" x14ac:dyDescent="0.35">
      <c r="A1261">
        <v>2260</v>
      </c>
      <c r="B1261" t="s">
        <v>715</v>
      </c>
      <c r="C1261" s="1">
        <v>45592</v>
      </c>
      <c r="D1261" s="1">
        <v>45651</v>
      </c>
      <c r="E1261" s="1">
        <v>45655</v>
      </c>
      <c r="F1261" t="s">
        <v>60</v>
      </c>
      <c r="G1261" t="s">
        <v>39</v>
      </c>
      <c r="H1261" t="s">
        <v>30</v>
      </c>
      <c r="I1261">
        <v>59</v>
      </c>
      <c r="J1261">
        <v>4</v>
      </c>
      <c r="K1261">
        <v>8503</v>
      </c>
      <c r="L1261">
        <v>34012</v>
      </c>
      <c r="M1261" t="s">
        <v>24</v>
      </c>
      <c r="N1261">
        <v>1</v>
      </c>
      <c r="O1261" t="s">
        <v>31</v>
      </c>
    </row>
    <row r="1262" spans="1:15" x14ac:dyDescent="0.35">
      <c r="A1262">
        <v>2261</v>
      </c>
      <c r="B1262" t="s">
        <v>931</v>
      </c>
      <c r="C1262" s="1">
        <v>45634</v>
      </c>
      <c r="D1262" s="1">
        <v>45659</v>
      </c>
      <c r="E1262" s="1">
        <v>45661</v>
      </c>
      <c r="F1262" t="s">
        <v>29</v>
      </c>
      <c r="G1262" t="s">
        <v>39</v>
      </c>
      <c r="H1262" t="s">
        <v>30</v>
      </c>
      <c r="I1262">
        <v>25</v>
      </c>
      <c r="J1262">
        <v>2</v>
      </c>
      <c r="K1262">
        <v>8209</v>
      </c>
      <c r="L1262">
        <v>16418</v>
      </c>
      <c r="M1262" t="s">
        <v>24</v>
      </c>
      <c r="N1262">
        <v>0</v>
      </c>
      <c r="O1262" t="s">
        <v>25</v>
      </c>
    </row>
    <row r="1263" spans="1:15" x14ac:dyDescent="0.35">
      <c r="A1263">
        <v>2262</v>
      </c>
      <c r="B1263" t="s">
        <v>721</v>
      </c>
      <c r="C1263" s="1">
        <v>45623</v>
      </c>
      <c r="D1263" s="1">
        <v>45664</v>
      </c>
      <c r="E1263" s="1">
        <v>45665</v>
      </c>
      <c r="F1263" t="s">
        <v>38</v>
      </c>
      <c r="G1263" t="s">
        <v>39</v>
      </c>
      <c r="H1263" t="s">
        <v>46</v>
      </c>
      <c r="I1263">
        <v>41</v>
      </c>
      <c r="J1263">
        <v>1</v>
      </c>
      <c r="K1263">
        <v>5610</v>
      </c>
      <c r="L1263">
        <v>5610</v>
      </c>
      <c r="M1263" t="s">
        <v>51</v>
      </c>
      <c r="N1263">
        <v>0</v>
      </c>
      <c r="O1263" t="s">
        <v>31</v>
      </c>
    </row>
    <row r="1264" spans="1:15" x14ac:dyDescent="0.35">
      <c r="A1264">
        <v>2263</v>
      </c>
      <c r="B1264" t="s">
        <v>284</v>
      </c>
      <c r="C1264" s="1">
        <v>45367</v>
      </c>
      <c r="D1264" s="1">
        <v>45421</v>
      </c>
      <c r="E1264" s="1">
        <v>45424</v>
      </c>
      <c r="F1264" t="s">
        <v>38</v>
      </c>
      <c r="G1264" t="s">
        <v>22</v>
      </c>
      <c r="H1264" t="s">
        <v>46</v>
      </c>
      <c r="I1264">
        <v>54</v>
      </c>
      <c r="J1264">
        <v>3</v>
      </c>
      <c r="K1264">
        <v>4666</v>
      </c>
      <c r="L1264">
        <v>13998</v>
      </c>
      <c r="M1264" t="s">
        <v>51</v>
      </c>
      <c r="N1264">
        <v>1</v>
      </c>
      <c r="O1264" t="s">
        <v>25</v>
      </c>
    </row>
    <row r="1265" spans="1:15" x14ac:dyDescent="0.35">
      <c r="A1265">
        <v>2264</v>
      </c>
      <c r="B1265" t="s">
        <v>932</v>
      </c>
      <c r="C1265" s="1">
        <v>45465</v>
      </c>
      <c r="D1265" s="1">
        <v>45475</v>
      </c>
      <c r="E1265" s="1">
        <v>45477</v>
      </c>
      <c r="F1265" t="s">
        <v>60</v>
      </c>
      <c r="G1265" t="s">
        <v>39</v>
      </c>
      <c r="H1265" t="s">
        <v>46</v>
      </c>
      <c r="I1265">
        <v>10</v>
      </c>
      <c r="J1265">
        <v>2</v>
      </c>
      <c r="K1265">
        <v>2834</v>
      </c>
      <c r="L1265">
        <v>5668</v>
      </c>
      <c r="M1265" t="s">
        <v>51</v>
      </c>
      <c r="N1265">
        <v>1</v>
      </c>
      <c r="O1265" t="s">
        <v>31</v>
      </c>
    </row>
    <row r="1266" spans="1:15" x14ac:dyDescent="0.35">
      <c r="A1266">
        <v>2265</v>
      </c>
      <c r="B1266" t="s">
        <v>933</v>
      </c>
      <c r="C1266" s="1">
        <v>45338</v>
      </c>
      <c r="D1266" s="1">
        <v>45360</v>
      </c>
      <c r="E1266" s="1">
        <v>45361</v>
      </c>
      <c r="F1266" t="s">
        <v>21</v>
      </c>
      <c r="G1266" t="s">
        <v>39</v>
      </c>
      <c r="H1266" t="s">
        <v>46</v>
      </c>
      <c r="I1266">
        <v>22</v>
      </c>
      <c r="J1266">
        <v>1</v>
      </c>
      <c r="K1266">
        <v>3859</v>
      </c>
      <c r="L1266">
        <v>3859</v>
      </c>
      <c r="M1266" t="s">
        <v>24</v>
      </c>
      <c r="N1266">
        <v>1</v>
      </c>
      <c r="O1266" t="s">
        <v>25</v>
      </c>
    </row>
    <row r="1267" spans="1:15" x14ac:dyDescent="0.35">
      <c r="A1267">
        <v>2266</v>
      </c>
      <c r="B1267" t="s">
        <v>934</v>
      </c>
      <c r="C1267" s="1">
        <v>45306</v>
      </c>
      <c r="D1267" s="1">
        <v>45325</v>
      </c>
      <c r="E1267" s="1">
        <v>45330</v>
      </c>
      <c r="F1267" t="s">
        <v>29</v>
      </c>
      <c r="G1267" t="s">
        <v>39</v>
      </c>
      <c r="H1267" t="s">
        <v>30</v>
      </c>
      <c r="I1267">
        <v>19</v>
      </c>
      <c r="J1267">
        <v>5</v>
      </c>
      <c r="K1267">
        <v>8235</v>
      </c>
      <c r="L1267">
        <v>41175</v>
      </c>
      <c r="M1267" t="s">
        <v>24</v>
      </c>
      <c r="N1267">
        <v>0</v>
      </c>
      <c r="O1267" t="s">
        <v>25</v>
      </c>
    </row>
    <row r="1268" spans="1:15" x14ac:dyDescent="0.35">
      <c r="A1268">
        <v>2267</v>
      </c>
      <c r="B1268" t="s">
        <v>935</v>
      </c>
      <c r="C1268" s="1">
        <v>45652</v>
      </c>
      <c r="D1268" s="1">
        <v>45653</v>
      </c>
      <c r="E1268" s="1">
        <v>45656</v>
      </c>
      <c r="F1268" t="s">
        <v>35</v>
      </c>
      <c r="G1268" t="s">
        <v>22</v>
      </c>
      <c r="H1268" t="s">
        <v>30</v>
      </c>
      <c r="I1268">
        <v>1</v>
      </c>
      <c r="J1268">
        <v>3</v>
      </c>
      <c r="K1268">
        <v>7693</v>
      </c>
      <c r="L1268">
        <v>23079</v>
      </c>
      <c r="M1268" t="s">
        <v>51</v>
      </c>
      <c r="N1268">
        <v>0</v>
      </c>
      <c r="O1268" t="s">
        <v>25</v>
      </c>
    </row>
    <row r="1269" spans="1:15" x14ac:dyDescent="0.35">
      <c r="A1269">
        <v>2268</v>
      </c>
      <c r="B1269" t="s">
        <v>531</v>
      </c>
      <c r="C1269" s="1">
        <v>45438</v>
      </c>
      <c r="D1269" s="1">
        <v>45445</v>
      </c>
      <c r="E1269" s="1">
        <v>45450</v>
      </c>
      <c r="F1269" t="s">
        <v>38</v>
      </c>
      <c r="G1269" t="s">
        <v>22</v>
      </c>
      <c r="H1269" t="s">
        <v>46</v>
      </c>
      <c r="I1269">
        <v>7</v>
      </c>
      <c r="J1269">
        <v>5</v>
      </c>
      <c r="K1269">
        <v>3714</v>
      </c>
      <c r="L1269">
        <v>18570</v>
      </c>
      <c r="M1269" t="s">
        <v>24</v>
      </c>
      <c r="N1269">
        <v>1</v>
      </c>
      <c r="O1269" t="s">
        <v>25</v>
      </c>
    </row>
    <row r="1270" spans="1:15" x14ac:dyDescent="0.35">
      <c r="A1270">
        <v>2269</v>
      </c>
      <c r="B1270" t="s">
        <v>646</v>
      </c>
      <c r="C1270" s="1">
        <v>45317</v>
      </c>
      <c r="D1270" s="1">
        <v>45321</v>
      </c>
      <c r="E1270" s="1">
        <v>45322</v>
      </c>
      <c r="F1270" t="s">
        <v>60</v>
      </c>
      <c r="G1270" t="s">
        <v>22</v>
      </c>
      <c r="H1270" t="s">
        <v>30</v>
      </c>
      <c r="I1270">
        <v>4</v>
      </c>
      <c r="J1270">
        <v>1</v>
      </c>
      <c r="K1270">
        <v>6919</v>
      </c>
      <c r="L1270">
        <v>6919</v>
      </c>
      <c r="M1270" t="s">
        <v>24</v>
      </c>
      <c r="N1270">
        <v>0</v>
      </c>
      <c r="O1270" t="s">
        <v>31</v>
      </c>
    </row>
    <row r="1271" spans="1:15" x14ac:dyDescent="0.35">
      <c r="A1271">
        <v>2270</v>
      </c>
      <c r="B1271" t="s">
        <v>936</v>
      </c>
      <c r="C1271" s="1">
        <v>45599</v>
      </c>
      <c r="D1271" s="1">
        <v>45600</v>
      </c>
      <c r="E1271" s="1">
        <v>45605</v>
      </c>
      <c r="F1271" t="s">
        <v>21</v>
      </c>
      <c r="G1271" t="s">
        <v>39</v>
      </c>
      <c r="H1271" t="s">
        <v>30</v>
      </c>
      <c r="I1271">
        <v>1</v>
      </c>
      <c r="J1271">
        <v>5</v>
      </c>
      <c r="K1271">
        <v>8386</v>
      </c>
      <c r="L1271">
        <v>41930</v>
      </c>
      <c r="M1271" t="s">
        <v>24</v>
      </c>
      <c r="N1271">
        <v>0</v>
      </c>
      <c r="O1271" t="s">
        <v>31</v>
      </c>
    </row>
    <row r="1272" spans="1:15" x14ac:dyDescent="0.35">
      <c r="A1272">
        <v>2271</v>
      </c>
      <c r="B1272" t="s">
        <v>937</v>
      </c>
      <c r="C1272" s="1">
        <v>45384</v>
      </c>
      <c r="D1272" s="1">
        <v>45399</v>
      </c>
      <c r="E1272" s="1">
        <v>45400</v>
      </c>
      <c r="F1272" t="s">
        <v>21</v>
      </c>
      <c r="G1272" t="s">
        <v>39</v>
      </c>
      <c r="H1272" t="s">
        <v>30</v>
      </c>
      <c r="I1272">
        <v>15</v>
      </c>
      <c r="J1272">
        <v>1</v>
      </c>
      <c r="K1272">
        <v>2783</v>
      </c>
      <c r="L1272">
        <v>2783</v>
      </c>
      <c r="M1272" t="s">
        <v>51</v>
      </c>
      <c r="N1272">
        <v>1</v>
      </c>
      <c r="O1272" t="s">
        <v>31</v>
      </c>
    </row>
    <row r="1273" spans="1:15" x14ac:dyDescent="0.35">
      <c r="A1273">
        <v>2272</v>
      </c>
      <c r="B1273" t="s">
        <v>583</v>
      </c>
      <c r="C1273" s="1">
        <v>45523</v>
      </c>
      <c r="D1273" s="1">
        <v>45563</v>
      </c>
      <c r="E1273" s="1">
        <v>45564</v>
      </c>
      <c r="F1273" t="s">
        <v>29</v>
      </c>
      <c r="G1273" t="s">
        <v>22</v>
      </c>
      <c r="H1273" t="s">
        <v>30</v>
      </c>
      <c r="I1273">
        <v>40</v>
      </c>
      <c r="J1273">
        <v>1</v>
      </c>
      <c r="K1273">
        <v>2712</v>
      </c>
      <c r="L1273">
        <v>2712</v>
      </c>
      <c r="M1273" t="s">
        <v>51</v>
      </c>
      <c r="N1273">
        <v>0</v>
      </c>
      <c r="O1273" t="s">
        <v>31</v>
      </c>
    </row>
    <row r="1274" spans="1:15" x14ac:dyDescent="0.35">
      <c r="A1274">
        <v>2273</v>
      </c>
      <c r="B1274" t="s">
        <v>938</v>
      </c>
      <c r="C1274" s="1">
        <v>45312</v>
      </c>
      <c r="D1274" s="1">
        <v>45324</v>
      </c>
      <c r="E1274" s="1">
        <v>45329</v>
      </c>
      <c r="F1274" t="s">
        <v>38</v>
      </c>
      <c r="G1274" t="s">
        <v>39</v>
      </c>
      <c r="H1274" t="s">
        <v>46</v>
      </c>
      <c r="I1274">
        <v>12</v>
      </c>
      <c r="J1274">
        <v>5</v>
      </c>
      <c r="K1274">
        <v>4158</v>
      </c>
      <c r="L1274">
        <v>20790</v>
      </c>
      <c r="M1274" t="s">
        <v>51</v>
      </c>
      <c r="N1274">
        <v>0</v>
      </c>
      <c r="O1274" t="s">
        <v>31</v>
      </c>
    </row>
    <row r="1275" spans="1:15" x14ac:dyDescent="0.35">
      <c r="A1275">
        <v>2274</v>
      </c>
      <c r="B1275" t="s">
        <v>566</v>
      </c>
      <c r="C1275" s="1">
        <v>45598</v>
      </c>
      <c r="D1275" s="1">
        <v>45620</v>
      </c>
      <c r="E1275" s="1">
        <v>45621</v>
      </c>
      <c r="F1275" t="s">
        <v>29</v>
      </c>
      <c r="G1275" t="s">
        <v>39</v>
      </c>
      <c r="H1275" t="s">
        <v>46</v>
      </c>
      <c r="I1275">
        <v>22</v>
      </c>
      <c r="J1275">
        <v>1</v>
      </c>
      <c r="K1275">
        <v>6578</v>
      </c>
      <c r="L1275">
        <v>6578</v>
      </c>
      <c r="M1275" t="s">
        <v>24</v>
      </c>
      <c r="N1275">
        <v>1</v>
      </c>
      <c r="O1275" t="s">
        <v>25</v>
      </c>
    </row>
    <row r="1276" spans="1:15" x14ac:dyDescent="0.35">
      <c r="A1276">
        <v>2275</v>
      </c>
      <c r="B1276" t="s">
        <v>403</v>
      </c>
      <c r="C1276" s="1">
        <v>45329</v>
      </c>
      <c r="D1276" s="1">
        <v>45351</v>
      </c>
      <c r="E1276" s="1">
        <v>45353</v>
      </c>
      <c r="F1276" t="s">
        <v>35</v>
      </c>
      <c r="G1276" t="s">
        <v>39</v>
      </c>
      <c r="H1276" t="s">
        <v>30</v>
      </c>
      <c r="I1276">
        <v>22</v>
      </c>
      <c r="J1276">
        <v>2</v>
      </c>
      <c r="K1276">
        <v>8337</v>
      </c>
      <c r="L1276">
        <v>16674</v>
      </c>
      <c r="M1276" t="s">
        <v>51</v>
      </c>
      <c r="N1276">
        <v>0</v>
      </c>
      <c r="O1276" t="s">
        <v>25</v>
      </c>
    </row>
    <row r="1277" spans="1:15" x14ac:dyDescent="0.35">
      <c r="A1277">
        <v>2276</v>
      </c>
      <c r="B1277" t="s">
        <v>514</v>
      </c>
      <c r="C1277" s="1">
        <v>45567</v>
      </c>
      <c r="D1277" s="1">
        <v>45617</v>
      </c>
      <c r="E1277" s="1">
        <v>45618</v>
      </c>
      <c r="F1277" t="s">
        <v>35</v>
      </c>
      <c r="G1277" t="s">
        <v>22</v>
      </c>
      <c r="H1277" t="s">
        <v>23</v>
      </c>
      <c r="I1277">
        <v>50</v>
      </c>
      <c r="J1277">
        <v>1</v>
      </c>
      <c r="K1277">
        <v>7524</v>
      </c>
      <c r="L1277">
        <v>7524</v>
      </c>
      <c r="M1277" t="s">
        <v>51</v>
      </c>
      <c r="N1277">
        <v>1</v>
      </c>
      <c r="O1277" t="s">
        <v>25</v>
      </c>
    </row>
    <row r="1278" spans="1:15" x14ac:dyDescent="0.35">
      <c r="A1278">
        <v>2277</v>
      </c>
      <c r="B1278" t="s">
        <v>939</v>
      </c>
      <c r="C1278" s="1">
        <v>45448</v>
      </c>
      <c r="D1278" s="1">
        <v>45495</v>
      </c>
      <c r="E1278" s="1">
        <v>45499</v>
      </c>
      <c r="F1278" t="s">
        <v>35</v>
      </c>
      <c r="G1278" t="s">
        <v>39</v>
      </c>
      <c r="H1278" t="s">
        <v>46</v>
      </c>
      <c r="I1278">
        <v>47</v>
      </c>
      <c r="J1278">
        <v>4</v>
      </c>
      <c r="K1278">
        <v>7347</v>
      </c>
      <c r="L1278">
        <v>29388</v>
      </c>
      <c r="M1278" t="s">
        <v>51</v>
      </c>
      <c r="N1278">
        <v>1</v>
      </c>
      <c r="O1278" t="s">
        <v>25</v>
      </c>
    </row>
    <row r="1279" spans="1:15" x14ac:dyDescent="0.35">
      <c r="A1279">
        <v>2278</v>
      </c>
      <c r="B1279" t="s">
        <v>940</v>
      </c>
      <c r="C1279" s="1">
        <v>45470</v>
      </c>
      <c r="D1279" s="1">
        <v>45487</v>
      </c>
      <c r="E1279" s="1">
        <v>45488</v>
      </c>
      <c r="F1279" t="s">
        <v>21</v>
      </c>
      <c r="G1279" t="s">
        <v>39</v>
      </c>
      <c r="H1279" t="s">
        <v>46</v>
      </c>
      <c r="I1279">
        <v>17</v>
      </c>
      <c r="J1279">
        <v>1</v>
      </c>
      <c r="K1279">
        <v>3917</v>
      </c>
      <c r="L1279">
        <v>3917</v>
      </c>
      <c r="M1279" t="s">
        <v>24</v>
      </c>
      <c r="N1279">
        <v>0</v>
      </c>
      <c r="O1279" t="s">
        <v>25</v>
      </c>
    </row>
    <row r="1280" spans="1:15" x14ac:dyDescent="0.35">
      <c r="A1280">
        <v>2279</v>
      </c>
      <c r="B1280" t="s">
        <v>941</v>
      </c>
      <c r="C1280" s="1">
        <v>45423</v>
      </c>
      <c r="D1280" s="1">
        <v>45452</v>
      </c>
      <c r="E1280" s="1">
        <v>45456</v>
      </c>
      <c r="F1280" t="s">
        <v>38</v>
      </c>
      <c r="G1280" t="s">
        <v>22</v>
      </c>
      <c r="H1280" t="s">
        <v>23</v>
      </c>
      <c r="I1280">
        <v>29</v>
      </c>
      <c r="J1280">
        <v>4</v>
      </c>
      <c r="K1280">
        <v>4886</v>
      </c>
      <c r="L1280">
        <v>19544</v>
      </c>
      <c r="M1280" t="s">
        <v>24</v>
      </c>
      <c r="N1280">
        <v>1</v>
      </c>
      <c r="O1280" t="s">
        <v>31</v>
      </c>
    </row>
    <row r="1281" spans="1:15" x14ac:dyDescent="0.35">
      <c r="A1281">
        <v>2280</v>
      </c>
      <c r="B1281" t="s">
        <v>942</v>
      </c>
      <c r="C1281" s="1">
        <v>45602</v>
      </c>
      <c r="D1281" s="1">
        <v>45648</v>
      </c>
      <c r="E1281" s="1">
        <v>45649</v>
      </c>
      <c r="F1281" t="s">
        <v>29</v>
      </c>
      <c r="G1281" t="s">
        <v>39</v>
      </c>
      <c r="H1281" t="s">
        <v>46</v>
      </c>
      <c r="I1281">
        <v>46</v>
      </c>
      <c r="J1281">
        <v>1</v>
      </c>
      <c r="K1281">
        <v>8417</v>
      </c>
      <c r="L1281">
        <v>8417</v>
      </c>
      <c r="M1281" t="s">
        <v>24</v>
      </c>
      <c r="N1281">
        <v>1</v>
      </c>
      <c r="O1281" t="s">
        <v>25</v>
      </c>
    </row>
    <row r="1282" spans="1:15" x14ac:dyDescent="0.35">
      <c r="A1282">
        <v>2281</v>
      </c>
      <c r="B1282" t="s">
        <v>825</v>
      </c>
      <c r="C1282" s="1">
        <v>45639</v>
      </c>
      <c r="D1282" s="1">
        <v>45653</v>
      </c>
      <c r="E1282" s="1">
        <v>45654</v>
      </c>
      <c r="F1282" t="s">
        <v>29</v>
      </c>
      <c r="G1282" t="s">
        <v>22</v>
      </c>
      <c r="H1282" t="s">
        <v>23</v>
      </c>
      <c r="I1282">
        <v>14</v>
      </c>
      <c r="J1282">
        <v>1</v>
      </c>
      <c r="K1282">
        <v>7641</v>
      </c>
      <c r="L1282">
        <v>7641</v>
      </c>
      <c r="M1282" t="s">
        <v>24</v>
      </c>
      <c r="N1282">
        <v>1</v>
      </c>
      <c r="O1282" t="s">
        <v>25</v>
      </c>
    </row>
    <row r="1283" spans="1:15" x14ac:dyDescent="0.35">
      <c r="A1283">
        <v>2282</v>
      </c>
      <c r="B1283" t="s">
        <v>666</v>
      </c>
      <c r="C1283" s="1">
        <v>45319</v>
      </c>
      <c r="D1283" s="1">
        <v>45369</v>
      </c>
      <c r="E1283" s="1">
        <v>45374</v>
      </c>
      <c r="F1283" t="s">
        <v>35</v>
      </c>
      <c r="G1283" t="s">
        <v>39</v>
      </c>
      <c r="H1283" t="s">
        <v>23</v>
      </c>
      <c r="I1283">
        <v>50</v>
      </c>
      <c r="J1283">
        <v>5</v>
      </c>
      <c r="K1283">
        <v>4294</v>
      </c>
      <c r="L1283">
        <v>21470</v>
      </c>
      <c r="M1283" t="s">
        <v>24</v>
      </c>
      <c r="N1283">
        <v>0</v>
      </c>
      <c r="O1283" t="s">
        <v>31</v>
      </c>
    </row>
    <row r="1284" spans="1:15" x14ac:dyDescent="0.35">
      <c r="A1284">
        <v>2283</v>
      </c>
      <c r="B1284" t="s">
        <v>943</v>
      </c>
      <c r="C1284" s="1">
        <v>45551</v>
      </c>
      <c r="D1284" s="1">
        <v>45571</v>
      </c>
      <c r="E1284" s="1">
        <v>45573</v>
      </c>
      <c r="F1284" t="s">
        <v>38</v>
      </c>
      <c r="G1284" t="s">
        <v>22</v>
      </c>
      <c r="H1284" t="s">
        <v>30</v>
      </c>
      <c r="I1284">
        <v>20</v>
      </c>
      <c r="J1284">
        <v>2</v>
      </c>
      <c r="K1284">
        <v>8488</v>
      </c>
      <c r="L1284">
        <v>16976</v>
      </c>
      <c r="M1284" t="s">
        <v>51</v>
      </c>
      <c r="N1284">
        <v>0</v>
      </c>
      <c r="O1284" t="s">
        <v>31</v>
      </c>
    </row>
    <row r="1285" spans="1:15" x14ac:dyDescent="0.35">
      <c r="A1285">
        <v>2284</v>
      </c>
      <c r="B1285" t="s">
        <v>279</v>
      </c>
      <c r="C1285" s="1">
        <v>45367</v>
      </c>
      <c r="D1285" s="1">
        <v>45417</v>
      </c>
      <c r="E1285" s="1">
        <v>45419</v>
      </c>
      <c r="F1285" t="s">
        <v>38</v>
      </c>
      <c r="G1285" t="s">
        <v>22</v>
      </c>
      <c r="H1285" t="s">
        <v>46</v>
      </c>
      <c r="I1285">
        <v>50</v>
      </c>
      <c r="J1285">
        <v>2</v>
      </c>
      <c r="K1285">
        <v>2604</v>
      </c>
      <c r="L1285">
        <v>5208</v>
      </c>
      <c r="M1285" t="s">
        <v>51</v>
      </c>
      <c r="N1285">
        <v>1</v>
      </c>
      <c r="O1285" t="s">
        <v>25</v>
      </c>
    </row>
    <row r="1286" spans="1:15" x14ac:dyDescent="0.35">
      <c r="A1286">
        <v>2285</v>
      </c>
      <c r="B1286" t="s">
        <v>944</v>
      </c>
      <c r="C1286" s="1">
        <v>45358</v>
      </c>
      <c r="D1286" s="1">
        <v>45406</v>
      </c>
      <c r="E1286" s="1">
        <v>45409</v>
      </c>
      <c r="F1286" t="s">
        <v>60</v>
      </c>
      <c r="G1286" t="s">
        <v>39</v>
      </c>
      <c r="H1286" t="s">
        <v>23</v>
      </c>
      <c r="I1286">
        <v>48</v>
      </c>
      <c r="J1286">
        <v>3</v>
      </c>
      <c r="K1286">
        <v>8085</v>
      </c>
      <c r="L1286">
        <v>24255</v>
      </c>
      <c r="M1286" t="s">
        <v>24</v>
      </c>
      <c r="N1286">
        <v>1</v>
      </c>
      <c r="O1286" t="s">
        <v>25</v>
      </c>
    </row>
    <row r="1287" spans="1:15" x14ac:dyDescent="0.35">
      <c r="A1287">
        <v>2286</v>
      </c>
      <c r="B1287" t="s">
        <v>945</v>
      </c>
      <c r="C1287" s="1">
        <v>45633</v>
      </c>
      <c r="D1287" s="1">
        <v>45666</v>
      </c>
      <c r="E1287" s="1">
        <v>45671</v>
      </c>
      <c r="F1287" t="s">
        <v>38</v>
      </c>
      <c r="G1287" t="s">
        <v>39</v>
      </c>
      <c r="H1287" t="s">
        <v>30</v>
      </c>
      <c r="I1287">
        <v>33</v>
      </c>
      <c r="J1287">
        <v>5</v>
      </c>
      <c r="K1287">
        <v>8078</v>
      </c>
      <c r="L1287">
        <v>40390</v>
      </c>
      <c r="M1287" t="s">
        <v>24</v>
      </c>
      <c r="N1287">
        <v>1</v>
      </c>
      <c r="O1287" t="s">
        <v>31</v>
      </c>
    </row>
    <row r="1288" spans="1:15" x14ac:dyDescent="0.35">
      <c r="A1288">
        <v>2287</v>
      </c>
      <c r="B1288" t="s">
        <v>823</v>
      </c>
      <c r="C1288" s="1">
        <v>45485</v>
      </c>
      <c r="D1288" s="1">
        <v>45540</v>
      </c>
      <c r="E1288" s="1">
        <v>45545</v>
      </c>
      <c r="F1288" t="s">
        <v>38</v>
      </c>
      <c r="G1288" t="s">
        <v>22</v>
      </c>
      <c r="H1288" t="s">
        <v>46</v>
      </c>
      <c r="I1288">
        <v>55</v>
      </c>
      <c r="J1288">
        <v>5</v>
      </c>
      <c r="K1288">
        <v>8051</v>
      </c>
      <c r="L1288">
        <v>40255</v>
      </c>
      <c r="M1288" t="s">
        <v>51</v>
      </c>
      <c r="N1288">
        <v>1</v>
      </c>
      <c r="O1288" t="s">
        <v>25</v>
      </c>
    </row>
    <row r="1289" spans="1:15" x14ac:dyDescent="0.35">
      <c r="A1289">
        <v>2288</v>
      </c>
      <c r="B1289" t="s">
        <v>468</v>
      </c>
      <c r="C1289" s="1">
        <v>45453</v>
      </c>
      <c r="D1289" s="1">
        <v>45512</v>
      </c>
      <c r="E1289" s="1">
        <v>45514</v>
      </c>
      <c r="F1289" t="s">
        <v>29</v>
      </c>
      <c r="G1289" t="s">
        <v>39</v>
      </c>
      <c r="H1289" t="s">
        <v>30</v>
      </c>
      <c r="I1289">
        <v>59</v>
      </c>
      <c r="J1289">
        <v>2</v>
      </c>
      <c r="K1289">
        <v>7365</v>
      </c>
      <c r="L1289">
        <v>14730</v>
      </c>
      <c r="M1289" t="s">
        <v>24</v>
      </c>
      <c r="N1289">
        <v>1</v>
      </c>
      <c r="O1289" t="s">
        <v>25</v>
      </c>
    </row>
    <row r="1290" spans="1:15" x14ac:dyDescent="0.35">
      <c r="A1290">
        <v>2289</v>
      </c>
      <c r="B1290" t="s">
        <v>946</v>
      </c>
      <c r="C1290" s="1">
        <v>45638</v>
      </c>
      <c r="D1290" s="1">
        <v>45681</v>
      </c>
      <c r="E1290" s="1">
        <v>45686</v>
      </c>
      <c r="F1290" t="s">
        <v>38</v>
      </c>
      <c r="G1290" t="s">
        <v>22</v>
      </c>
      <c r="H1290" t="s">
        <v>30</v>
      </c>
      <c r="I1290">
        <v>43</v>
      </c>
      <c r="J1290">
        <v>5</v>
      </c>
      <c r="K1290">
        <v>6393</v>
      </c>
      <c r="L1290">
        <v>31965</v>
      </c>
      <c r="M1290" t="s">
        <v>24</v>
      </c>
      <c r="N1290">
        <v>1</v>
      </c>
      <c r="O1290" t="s">
        <v>25</v>
      </c>
    </row>
    <row r="1291" spans="1:15" x14ac:dyDescent="0.35">
      <c r="A1291">
        <v>2290</v>
      </c>
      <c r="B1291" t="s">
        <v>670</v>
      </c>
      <c r="C1291" s="1">
        <v>45652</v>
      </c>
      <c r="D1291" s="1">
        <v>45667</v>
      </c>
      <c r="E1291" s="1">
        <v>45669</v>
      </c>
      <c r="F1291" t="s">
        <v>38</v>
      </c>
      <c r="G1291" t="s">
        <v>39</v>
      </c>
      <c r="H1291" t="s">
        <v>23</v>
      </c>
      <c r="I1291">
        <v>15</v>
      </c>
      <c r="J1291">
        <v>2</v>
      </c>
      <c r="K1291">
        <v>6345</v>
      </c>
      <c r="L1291">
        <v>12690</v>
      </c>
      <c r="M1291" t="s">
        <v>24</v>
      </c>
      <c r="N1291">
        <v>0</v>
      </c>
      <c r="O1291" t="s">
        <v>31</v>
      </c>
    </row>
    <row r="1292" spans="1:15" x14ac:dyDescent="0.35">
      <c r="A1292">
        <v>2291</v>
      </c>
      <c r="B1292" t="s">
        <v>947</v>
      </c>
      <c r="C1292" s="1">
        <v>45548</v>
      </c>
      <c r="D1292" s="1">
        <v>45560</v>
      </c>
      <c r="E1292" s="1">
        <v>45565</v>
      </c>
      <c r="F1292" t="s">
        <v>29</v>
      </c>
      <c r="G1292" t="s">
        <v>39</v>
      </c>
      <c r="H1292" t="s">
        <v>46</v>
      </c>
      <c r="I1292">
        <v>12</v>
      </c>
      <c r="J1292">
        <v>5</v>
      </c>
      <c r="K1292">
        <v>6190</v>
      </c>
      <c r="L1292">
        <v>30950</v>
      </c>
      <c r="M1292" t="s">
        <v>24</v>
      </c>
      <c r="N1292">
        <v>1</v>
      </c>
      <c r="O1292" t="s">
        <v>25</v>
      </c>
    </row>
    <row r="1293" spans="1:15" x14ac:dyDescent="0.35">
      <c r="A1293">
        <v>2292</v>
      </c>
      <c r="B1293" t="s">
        <v>860</v>
      </c>
      <c r="C1293" s="1">
        <v>45363</v>
      </c>
      <c r="D1293" s="1">
        <v>45403</v>
      </c>
      <c r="E1293" s="1">
        <v>45404</v>
      </c>
      <c r="F1293" t="s">
        <v>38</v>
      </c>
      <c r="G1293" t="s">
        <v>39</v>
      </c>
      <c r="H1293" t="s">
        <v>30</v>
      </c>
      <c r="I1293">
        <v>40</v>
      </c>
      <c r="J1293">
        <v>1</v>
      </c>
      <c r="K1293">
        <v>8555</v>
      </c>
      <c r="L1293">
        <v>8555</v>
      </c>
      <c r="M1293" t="s">
        <v>24</v>
      </c>
      <c r="N1293">
        <v>0</v>
      </c>
      <c r="O1293" t="s">
        <v>25</v>
      </c>
    </row>
    <row r="1294" spans="1:15" x14ac:dyDescent="0.35">
      <c r="A1294">
        <v>2293</v>
      </c>
      <c r="B1294" t="s">
        <v>948</v>
      </c>
      <c r="C1294" s="1">
        <v>45378</v>
      </c>
      <c r="D1294" s="1">
        <v>45432</v>
      </c>
      <c r="E1294" s="1">
        <v>45434</v>
      </c>
      <c r="F1294" t="s">
        <v>29</v>
      </c>
      <c r="G1294" t="s">
        <v>39</v>
      </c>
      <c r="H1294" t="s">
        <v>23</v>
      </c>
      <c r="I1294">
        <v>54</v>
      </c>
      <c r="J1294">
        <v>2</v>
      </c>
      <c r="K1294">
        <v>8623</v>
      </c>
      <c r="L1294">
        <v>17246</v>
      </c>
      <c r="M1294" t="s">
        <v>51</v>
      </c>
      <c r="N1294">
        <v>1</v>
      </c>
      <c r="O1294" t="s">
        <v>31</v>
      </c>
    </row>
    <row r="1295" spans="1:15" x14ac:dyDescent="0.35">
      <c r="A1295">
        <v>2294</v>
      </c>
      <c r="B1295" t="s">
        <v>698</v>
      </c>
      <c r="C1295" s="1">
        <v>45553</v>
      </c>
      <c r="D1295" s="1">
        <v>45573</v>
      </c>
      <c r="E1295" s="1">
        <v>45575</v>
      </c>
      <c r="F1295" t="s">
        <v>60</v>
      </c>
      <c r="G1295" t="s">
        <v>22</v>
      </c>
      <c r="H1295" t="s">
        <v>23</v>
      </c>
      <c r="I1295">
        <v>20</v>
      </c>
      <c r="J1295">
        <v>2</v>
      </c>
      <c r="K1295">
        <v>5792</v>
      </c>
      <c r="L1295">
        <v>11584</v>
      </c>
      <c r="M1295" t="s">
        <v>51</v>
      </c>
      <c r="N1295">
        <v>0</v>
      </c>
      <c r="O1295" t="s">
        <v>31</v>
      </c>
    </row>
    <row r="1296" spans="1:15" x14ac:dyDescent="0.35">
      <c r="A1296">
        <v>2295</v>
      </c>
      <c r="B1296" t="s">
        <v>160</v>
      </c>
      <c r="C1296" s="1">
        <v>45505</v>
      </c>
      <c r="D1296" s="1">
        <v>45535</v>
      </c>
      <c r="E1296" s="1">
        <v>45539</v>
      </c>
      <c r="F1296" t="s">
        <v>21</v>
      </c>
      <c r="G1296" t="s">
        <v>22</v>
      </c>
      <c r="H1296" t="s">
        <v>30</v>
      </c>
      <c r="I1296">
        <v>30</v>
      </c>
      <c r="J1296">
        <v>4</v>
      </c>
      <c r="K1296">
        <v>2878</v>
      </c>
      <c r="L1296">
        <v>11512</v>
      </c>
      <c r="M1296" t="s">
        <v>24</v>
      </c>
      <c r="N1296">
        <v>0</v>
      </c>
      <c r="O1296" t="s">
        <v>31</v>
      </c>
    </row>
    <row r="1297" spans="1:15" x14ac:dyDescent="0.35">
      <c r="A1297">
        <v>2296</v>
      </c>
      <c r="B1297" t="s">
        <v>949</v>
      </c>
      <c r="C1297" s="1">
        <v>45444</v>
      </c>
      <c r="D1297" s="1">
        <v>45482</v>
      </c>
      <c r="E1297" s="1">
        <v>45487</v>
      </c>
      <c r="F1297" t="s">
        <v>29</v>
      </c>
      <c r="G1297" t="s">
        <v>39</v>
      </c>
      <c r="H1297" t="s">
        <v>30</v>
      </c>
      <c r="I1297">
        <v>38</v>
      </c>
      <c r="J1297">
        <v>5</v>
      </c>
      <c r="K1297">
        <v>5793</v>
      </c>
      <c r="L1297">
        <v>28965</v>
      </c>
      <c r="M1297" t="s">
        <v>24</v>
      </c>
      <c r="N1297">
        <v>1</v>
      </c>
      <c r="O1297" t="s">
        <v>25</v>
      </c>
    </row>
    <row r="1298" spans="1:15" x14ac:dyDescent="0.35">
      <c r="A1298">
        <v>2297</v>
      </c>
      <c r="B1298" t="s">
        <v>950</v>
      </c>
      <c r="C1298" s="1">
        <v>45501</v>
      </c>
      <c r="D1298" s="1">
        <v>45504</v>
      </c>
      <c r="E1298" s="1">
        <v>45509</v>
      </c>
      <c r="F1298" t="s">
        <v>29</v>
      </c>
      <c r="G1298" t="s">
        <v>39</v>
      </c>
      <c r="H1298" t="s">
        <v>23</v>
      </c>
      <c r="I1298">
        <v>3</v>
      </c>
      <c r="J1298">
        <v>5</v>
      </c>
      <c r="K1298">
        <v>5829</v>
      </c>
      <c r="L1298">
        <v>29145</v>
      </c>
      <c r="M1298" t="s">
        <v>51</v>
      </c>
      <c r="N1298">
        <v>0</v>
      </c>
      <c r="O1298" t="s">
        <v>31</v>
      </c>
    </row>
    <row r="1299" spans="1:15" x14ac:dyDescent="0.35">
      <c r="A1299">
        <v>2298</v>
      </c>
      <c r="B1299" t="s">
        <v>947</v>
      </c>
      <c r="C1299" s="1">
        <v>45352</v>
      </c>
      <c r="D1299" s="1">
        <v>45380</v>
      </c>
      <c r="E1299" s="1">
        <v>45382</v>
      </c>
      <c r="F1299" t="s">
        <v>38</v>
      </c>
      <c r="G1299" t="s">
        <v>39</v>
      </c>
      <c r="H1299" t="s">
        <v>30</v>
      </c>
      <c r="I1299">
        <v>28</v>
      </c>
      <c r="J1299">
        <v>2</v>
      </c>
      <c r="K1299">
        <v>7308</v>
      </c>
      <c r="L1299">
        <v>14616</v>
      </c>
      <c r="M1299" t="s">
        <v>24</v>
      </c>
      <c r="N1299">
        <v>1</v>
      </c>
      <c r="O1299" t="s">
        <v>25</v>
      </c>
    </row>
    <row r="1300" spans="1:15" x14ac:dyDescent="0.35">
      <c r="A1300">
        <v>2299</v>
      </c>
      <c r="B1300" t="s">
        <v>661</v>
      </c>
      <c r="C1300" s="1">
        <v>45559</v>
      </c>
      <c r="D1300" s="1">
        <v>45615</v>
      </c>
      <c r="E1300" s="1">
        <v>45616</v>
      </c>
      <c r="F1300" t="s">
        <v>29</v>
      </c>
      <c r="G1300" t="s">
        <v>39</v>
      </c>
      <c r="H1300" t="s">
        <v>30</v>
      </c>
      <c r="I1300">
        <v>56</v>
      </c>
      <c r="J1300">
        <v>1</v>
      </c>
      <c r="K1300">
        <v>5938</v>
      </c>
      <c r="L1300">
        <v>5938</v>
      </c>
      <c r="M1300" t="s">
        <v>51</v>
      </c>
      <c r="N1300">
        <v>1</v>
      </c>
      <c r="O1300" t="s">
        <v>31</v>
      </c>
    </row>
    <row r="1301" spans="1:15" x14ac:dyDescent="0.35">
      <c r="A1301">
        <v>2300</v>
      </c>
      <c r="B1301" t="s">
        <v>951</v>
      </c>
      <c r="C1301" s="1">
        <v>45553</v>
      </c>
      <c r="D1301" s="1">
        <v>45579</v>
      </c>
      <c r="E1301" s="1">
        <v>45580</v>
      </c>
      <c r="F1301" t="s">
        <v>35</v>
      </c>
      <c r="G1301" t="s">
        <v>39</v>
      </c>
      <c r="H1301" t="s">
        <v>46</v>
      </c>
      <c r="I1301">
        <v>26</v>
      </c>
      <c r="J1301">
        <v>1</v>
      </c>
      <c r="K1301">
        <v>7968</v>
      </c>
      <c r="L1301">
        <v>7968</v>
      </c>
      <c r="M1301" t="s">
        <v>24</v>
      </c>
      <c r="N1301">
        <v>1</v>
      </c>
      <c r="O1301" t="s">
        <v>25</v>
      </c>
    </row>
    <row r="1302" spans="1:15" x14ac:dyDescent="0.35">
      <c r="A1302">
        <v>2301</v>
      </c>
      <c r="B1302" t="s">
        <v>315</v>
      </c>
      <c r="C1302" s="1">
        <v>45509</v>
      </c>
      <c r="D1302" s="1">
        <v>45539</v>
      </c>
      <c r="E1302" s="1">
        <v>45540</v>
      </c>
      <c r="F1302" t="s">
        <v>35</v>
      </c>
      <c r="G1302" t="s">
        <v>22</v>
      </c>
      <c r="H1302" t="s">
        <v>23</v>
      </c>
      <c r="I1302">
        <v>30</v>
      </c>
      <c r="J1302">
        <v>1</v>
      </c>
      <c r="K1302">
        <v>2724</v>
      </c>
      <c r="L1302">
        <v>2724</v>
      </c>
      <c r="M1302" t="s">
        <v>51</v>
      </c>
      <c r="N1302">
        <v>1</v>
      </c>
      <c r="O1302" t="s">
        <v>31</v>
      </c>
    </row>
    <row r="1303" spans="1:15" x14ac:dyDescent="0.35">
      <c r="A1303">
        <v>2302</v>
      </c>
      <c r="B1303" t="s">
        <v>657</v>
      </c>
      <c r="C1303" s="1">
        <v>45574</v>
      </c>
      <c r="D1303" s="1">
        <v>45587</v>
      </c>
      <c r="E1303" s="1">
        <v>45592</v>
      </c>
      <c r="F1303" t="s">
        <v>60</v>
      </c>
      <c r="G1303" t="s">
        <v>22</v>
      </c>
      <c r="H1303" t="s">
        <v>30</v>
      </c>
      <c r="I1303">
        <v>13</v>
      </c>
      <c r="J1303">
        <v>5</v>
      </c>
      <c r="K1303">
        <v>8333</v>
      </c>
      <c r="L1303">
        <v>41665</v>
      </c>
      <c r="M1303" t="s">
        <v>51</v>
      </c>
      <c r="N1303">
        <v>0</v>
      </c>
      <c r="O1303" t="s">
        <v>25</v>
      </c>
    </row>
    <row r="1304" spans="1:15" x14ac:dyDescent="0.35">
      <c r="A1304">
        <v>2303</v>
      </c>
      <c r="B1304" t="s">
        <v>952</v>
      </c>
      <c r="C1304" s="1">
        <v>45427</v>
      </c>
      <c r="D1304" s="1">
        <v>45440</v>
      </c>
      <c r="E1304" s="1">
        <v>45444</v>
      </c>
      <c r="F1304" t="s">
        <v>29</v>
      </c>
      <c r="G1304" t="s">
        <v>39</v>
      </c>
      <c r="H1304" t="s">
        <v>23</v>
      </c>
      <c r="I1304">
        <v>13</v>
      </c>
      <c r="J1304">
        <v>4</v>
      </c>
      <c r="K1304">
        <v>3237</v>
      </c>
      <c r="L1304">
        <v>12948</v>
      </c>
      <c r="M1304" t="s">
        <v>24</v>
      </c>
      <c r="N1304">
        <v>0</v>
      </c>
      <c r="O1304" t="s">
        <v>25</v>
      </c>
    </row>
    <row r="1305" spans="1:15" x14ac:dyDescent="0.35">
      <c r="A1305">
        <v>2304</v>
      </c>
      <c r="B1305" t="s">
        <v>917</v>
      </c>
      <c r="C1305" s="1">
        <v>45653</v>
      </c>
      <c r="D1305" s="1">
        <v>45655</v>
      </c>
      <c r="E1305" s="1">
        <v>45657</v>
      </c>
      <c r="F1305" t="s">
        <v>38</v>
      </c>
      <c r="G1305" t="s">
        <v>22</v>
      </c>
      <c r="H1305" t="s">
        <v>46</v>
      </c>
      <c r="I1305">
        <v>2</v>
      </c>
      <c r="J1305">
        <v>2</v>
      </c>
      <c r="K1305">
        <v>2735</v>
      </c>
      <c r="L1305">
        <v>5470</v>
      </c>
      <c r="M1305" t="s">
        <v>24</v>
      </c>
      <c r="N1305">
        <v>0</v>
      </c>
      <c r="O1305" t="s">
        <v>31</v>
      </c>
    </row>
    <row r="1306" spans="1:15" x14ac:dyDescent="0.35">
      <c r="A1306">
        <v>2305</v>
      </c>
      <c r="B1306" t="s">
        <v>418</v>
      </c>
      <c r="C1306" s="1">
        <v>45384</v>
      </c>
      <c r="D1306" s="1">
        <v>45421</v>
      </c>
      <c r="E1306" s="1">
        <v>45424</v>
      </c>
      <c r="F1306" t="s">
        <v>38</v>
      </c>
      <c r="G1306" t="s">
        <v>22</v>
      </c>
      <c r="H1306" t="s">
        <v>23</v>
      </c>
      <c r="I1306">
        <v>37</v>
      </c>
      <c r="J1306">
        <v>3</v>
      </c>
      <c r="K1306">
        <v>6778</v>
      </c>
      <c r="L1306">
        <v>20334</v>
      </c>
      <c r="M1306" t="s">
        <v>51</v>
      </c>
      <c r="N1306">
        <v>1</v>
      </c>
      <c r="O1306" t="s">
        <v>31</v>
      </c>
    </row>
    <row r="1307" spans="1:15" x14ac:dyDescent="0.35">
      <c r="A1307">
        <v>2306</v>
      </c>
      <c r="B1307" t="s">
        <v>953</v>
      </c>
      <c r="C1307" s="1">
        <v>45400</v>
      </c>
      <c r="D1307" s="1">
        <v>45449</v>
      </c>
      <c r="E1307" s="1">
        <v>45453</v>
      </c>
      <c r="F1307" t="s">
        <v>21</v>
      </c>
      <c r="G1307" t="s">
        <v>39</v>
      </c>
      <c r="H1307" t="s">
        <v>23</v>
      </c>
      <c r="I1307">
        <v>49</v>
      </c>
      <c r="J1307">
        <v>4</v>
      </c>
      <c r="K1307">
        <v>3211</v>
      </c>
      <c r="L1307">
        <v>12844</v>
      </c>
      <c r="M1307" t="s">
        <v>24</v>
      </c>
      <c r="N1307">
        <v>1</v>
      </c>
      <c r="O1307" t="s">
        <v>25</v>
      </c>
    </row>
    <row r="1308" spans="1:15" x14ac:dyDescent="0.35">
      <c r="A1308">
        <v>2307</v>
      </c>
      <c r="B1308" t="s">
        <v>954</v>
      </c>
      <c r="C1308" s="1">
        <v>45532</v>
      </c>
      <c r="D1308" s="1">
        <v>45570</v>
      </c>
      <c r="E1308" s="1">
        <v>45573</v>
      </c>
      <c r="F1308" t="s">
        <v>60</v>
      </c>
      <c r="G1308" t="s">
        <v>22</v>
      </c>
      <c r="H1308" t="s">
        <v>23</v>
      </c>
      <c r="I1308">
        <v>38</v>
      </c>
      <c r="J1308">
        <v>3</v>
      </c>
      <c r="K1308">
        <v>8488</v>
      </c>
      <c r="L1308">
        <v>25464</v>
      </c>
      <c r="M1308" t="s">
        <v>51</v>
      </c>
      <c r="N1308">
        <v>1</v>
      </c>
      <c r="O1308" t="s">
        <v>31</v>
      </c>
    </row>
    <row r="1309" spans="1:15" x14ac:dyDescent="0.35">
      <c r="A1309">
        <v>2308</v>
      </c>
      <c r="B1309" t="s">
        <v>447</v>
      </c>
      <c r="C1309" s="1">
        <v>45646</v>
      </c>
      <c r="D1309" s="1">
        <v>45648</v>
      </c>
      <c r="E1309" s="1">
        <v>45652</v>
      </c>
      <c r="F1309" t="s">
        <v>38</v>
      </c>
      <c r="G1309" t="s">
        <v>22</v>
      </c>
      <c r="H1309" t="s">
        <v>46</v>
      </c>
      <c r="I1309">
        <v>2</v>
      </c>
      <c r="J1309">
        <v>4</v>
      </c>
      <c r="K1309">
        <v>4388</v>
      </c>
      <c r="L1309">
        <v>17552</v>
      </c>
      <c r="M1309" t="s">
        <v>24</v>
      </c>
      <c r="N1309">
        <v>1</v>
      </c>
      <c r="O1309" t="s">
        <v>25</v>
      </c>
    </row>
    <row r="1310" spans="1:15" x14ac:dyDescent="0.35">
      <c r="A1310">
        <v>2309</v>
      </c>
      <c r="B1310" t="s">
        <v>550</v>
      </c>
      <c r="C1310" s="1">
        <v>45433</v>
      </c>
      <c r="D1310" s="1">
        <v>45469</v>
      </c>
      <c r="E1310" s="1">
        <v>45470</v>
      </c>
      <c r="F1310" t="s">
        <v>21</v>
      </c>
      <c r="G1310" t="s">
        <v>22</v>
      </c>
      <c r="H1310" t="s">
        <v>46</v>
      </c>
      <c r="I1310">
        <v>36</v>
      </c>
      <c r="J1310">
        <v>1</v>
      </c>
      <c r="K1310">
        <v>7218</v>
      </c>
      <c r="L1310">
        <v>7218</v>
      </c>
      <c r="M1310" t="s">
        <v>24</v>
      </c>
      <c r="N1310">
        <v>1</v>
      </c>
      <c r="O1310" t="s">
        <v>31</v>
      </c>
    </row>
    <row r="1311" spans="1:15" x14ac:dyDescent="0.35">
      <c r="A1311">
        <v>2310</v>
      </c>
      <c r="B1311" t="s">
        <v>685</v>
      </c>
      <c r="C1311" s="1">
        <v>45582</v>
      </c>
      <c r="D1311" s="1">
        <v>45636</v>
      </c>
      <c r="E1311" s="1">
        <v>45641</v>
      </c>
      <c r="F1311" t="s">
        <v>38</v>
      </c>
      <c r="G1311" t="s">
        <v>22</v>
      </c>
      <c r="H1311" t="s">
        <v>23</v>
      </c>
      <c r="I1311">
        <v>54</v>
      </c>
      <c r="J1311">
        <v>5</v>
      </c>
      <c r="K1311">
        <v>3759</v>
      </c>
      <c r="L1311">
        <v>18795</v>
      </c>
      <c r="M1311" t="s">
        <v>24</v>
      </c>
      <c r="N1311">
        <v>1</v>
      </c>
      <c r="O1311" t="s">
        <v>31</v>
      </c>
    </row>
    <row r="1312" spans="1:15" x14ac:dyDescent="0.35">
      <c r="A1312">
        <v>2311</v>
      </c>
      <c r="B1312" t="s">
        <v>643</v>
      </c>
      <c r="C1312" s="1">
        <v>45528</v>
      </c>
      <c r="D1312" s="1">
        <v>45554</v>
      </c>
      <c r="E1312" s="1">
        <v>45557</v>
      </c>
      <c r="F1312" t="s">
        <v>21</v>
      </c>
      <c r="G1312" t="s">
        <v>39</v>
      </c>
      <c r="H1312" t="s">
        <v>23</v>
      </c>
      <c r="I1312">
        <v>26</v>
      </c>
      <c r="J1312">
        <v>3</v>
      </c>
      <c r="K1312">
        <v>7746</v>
      </c>
      <c r="L1312">
        <v>23238</v>
      </c>
      <c r="M1312" t="s">
        <v>51</v>
      </c>
      <c r="N1312">
        <v>1</v>
      </c>
      <c r="O1312" t="s">
        <v>25</v>
      </c>
    </row>
    <row r="1313" spans="1:15" x14ac:dyDescent="0.35">
      <c r="A1313">
        <v>2312</v>
      </c>
      <c r="B1313" t="s">
        <v>866</v>
      </c>
      <c r="C1313" s="1">
        <v>45631</v>
      </c>
      <c r="D1313" s="1">
        <v>45642</v>
      </c>
      <c r="E1313" s="1">
        <v>45646</v>
      </c>
      <c r="F1313" t="s">
        <v>35</v>
      </c>
      <c r="G1313" t="s">
        <v>22</v>
      </c>
      <c r="H1313" t="s">
        <v>46</v>
      </c>
      <c r="I1313">
        <v>11</v>
      </c>
      <c r="J1313">
        <v>4</v>
      </c>
      <c r="K1313">
        <v>3248</v>
      </c>
      <c r="L1313">
        <v>12992</v>
      </c>
      <c r="M1313" t="s">
        <v>51</v>
      </c>
      <c r="N1313">
        <v>0</v>
      </c>
      <c r="O1313" t="s">
        <v>31</v>
      </c>
    </row>
    <row r="1314" spans="1:15" x14ac:dyDescent="0.35">
      <c r="A1314">
        <v>2313</v>
      </c>
      <c r="B1314" t="s">
        <v>755</v>
      </c>
      <c r="C1314" s="1">
        <v>45603</v>
      </c>
      <c r="D1314" s="1">
        <v>45611</v>
      </c>
      <c r="E1314" s="1">
        <v>45616</v>
      </c>
      <c r="F1314" t="s">
        <v>35</v>
      </c>
      <c r="G1314" t="s">
        <v>22</v>
      </c>
      <c r="H1314" t="s">
        <v>30</v>
      </c>
      <c r="I1314">
        <v>8</v>
      </c>
      <c r="J1314">
        <v>5</v>
      </c>
      <c r="K1314">
        <v>6486</v>
      </c>
      <c r="L1314">
        <v>32430</v>
      </c>
      <c r="M1314" t="s">
        <v>24</v>
      </c>
      <c r="N1314">
        <v>1</v>
      </c>
      <c r="O1314" t="s">
        <v>31</v>
      </c>
    </row>
    <row r="1315" spans="1:15" x14ac:dyDescent="0.35">
      <c r="A1315">
        <v>2314</v>
      </c>
      <c r="B1315" t="s">
        <v>864</v>
      </c>
      <c r="C1315" s="1">
        <v>45468</v>
      </c>
      <c r="D1315" s="1">
        <v>45512</v>
      </c>
      <c r="E1315" s="1">
        <v>45515</v>
      </c>
      <c r="F1315" t="s">
        <v>38</v>
      </c>
      <c r="G1315" t="s">
        <v>22</v>
      </c>
      <c r="H1315" t="s">
        <v>46</v>
      </c>
      <c r="I1315">
        <v>44</v>
      </c>
      <c r="J1315">
        <v>3</v>
      </c>
      <c r="K1315">
        <v>6051</v>
      </c>
      <c r="L1315">
        <v>18153</v>
      </c>
      <c r="M1315" t="s">
        <v>51</v>
      </c>
      <c r="N1315">
        <v>1</v>
      </c>
      <c r="O1315" t="s">
        <v>25</v>
      </c>
    </row>
    <row r="1316" spans="1:15" x14ac:dyDescent="0.35">
      <c r="A1316">
        <v>2315</v>
      </c>
      <c r="B1316" t="s">
        <v>946</v>
      </c>
      <c r="C1316" s="1">
        <v>45432</v>
      </c>
      <c r="D1316" s="1">
        <v>45472</v>
      </c>
      <c r="E1316" s="1">
        <v>45474</v>
      </c>
      <c r="F1316" t="s">
        <v>60</v>
      </c>
      <c r="G1316" t="s">
        <v>39</v>
      </c>
      <c r="H1316" t="s">
        <v>23</v>
      </c>
      <c r="I1316">
        <v>40</v>
      </c>
      <c r="J1316">
        <v>2</v>
      </c>
      <c r="K1316">
        <v>8798</v>
      </c>
      <c r="L1316">
        <v>17596</v>
      </c>
      <c r="M1316" t="s">
        <v>24</v>
      </c>
      <c r="N1316">
        <v>1</v>
      </c>
      <c r="O1316" t="s">
        <v>25</v>
      </c>
    </row>
    <row r="1317" spans="1:15" x14ac:dyDescent="0.35">
      <c r="A1317">
        <v>2316</v>
      </c>
      <c r="B1317" t="s">
        <v>955</v>
      </c>
      <c r="C1317" s="1">
        <v>45480</v>
      </c>
      <c r="D1317" s="1">
        <v>45523</v>
      </c>
      <c r="E1317" s="1">
        <v>45527</v>
      </c>
      <c r="F1317" t="s">
        <v>29</v>
      </c>
      <c r="G1317" t="s">
        <v>22</v>
      </c>
      <c r="H1317" t="s">
        <v>30</v>
      </c>
      <c r="I1317">
        <v>43</v>
      </c>
      <c r="J1317">
        <v>4</v>
      </c>
      <c r="K1317">
        <v>8900</v>
      </c>
      <c r="L1317">
        <v>35600</v>
      </c>
      <c r="M1317" t="s">
        <v>51</v>
      </c>
      <c r="N1317">
        <v>0</v>
      </c>
      <c r="O1317" t="s">
        <v>31</v>
      </c>
    </row>
    <row r="1318" spans="1:15" x14ac:dyDescent="0.35">
      <c r="A1318">
        <v>2317</v>
      </c>
      <c r="B1318" t="s">
        <v>239</v>
      </c>
      <c r="C1318" s="1">
        <v>45340</v>
      </c>
      <c r="D1318" s="1">
        <v>45362</v>
      </c>
      <c r="E1318" s="1">
        <v>45364</v>
      </c>
      <c r="F1318" t="s">
        <v>60</v>
      </c>
      <c r="G1318" t="s">
        <v>22</v>
      </c>
      <c r="H1318" t="s">
        <v>30</v>
      </c>
      <c r="I1318">
        <v>22</v>
      </c>
      <c r="J1318">
        <v>2</v>
      </c>
      <c r="K1318">
        <v>8878</v>
      </c>
      <c r="L1318">
        <v>17756</v>
      </c>
      <c r="M1318" t="s">
        <v>24</v>
      </c>
      <c r="N1318">
        <v>0</v>
      </c>
      <c r="O1318" t="s">
        <v>25</v>
      </c>
    </row>
    <row r="1319" spans="1:15" x14ac:dyDescent="0.35">
      <c r="A1319">
        <v>2318</v>
      </c>
      <c r="B1319" t="s">
        <v>956</v>
      </c>
      <c r="C1319" s="1">
        <v>45593</v>
      </c>
      <c r="D1319" s="1">
        <v>45613</v>
      </c>
      <c r="E1319" s="1">
        <v>45614</v>
      </c>
      <c r="F1319" t="s">
        <v>60</v>
      </c>
      <c r="G1319" t="s">
        <v>22</v>
      </c>
      <c r="H1319" t="s">
        <v>30</v>
      </c>
      <c r="I1319">
        <v>20</v>
      </c>
      <c r="J1319">
        <v>1</v>
      </c>
      <c r="K1319">
        <v>8932</v>
      </c>
      <c r="L1319">
        <v>8932</v>
      </c>
      <c r="M1319" t="s">
        <v>51</v>
      </c>
      <c r="N1319">
        <v>1</v>
      </c>
      <c r="O1319" t="s">
        <v>31</v>
      </c>
    </row>
    <row r="1320" spans="1:15" x14ac:dyDescent="0.35">
      <c r="A1320">
        <v>2319</v>
      </c>
      <c r="B1320" t="s">
        <v>701</v>
      </c>
      <c r="C1320" s="1">
        <v>45481</v>
      </c>
      <c r="D1320" s="1">
        <v>45489</v>
      </c>
      <c r="E1320" s="1">
        <v>45491</v>
      </c>
      <c r="F1320" t="s">
        <v>29</v>
      </c>
      <c r="G1320" t="s">
        <v>39</v>
      </c>
      <c r="H1320" t="s">
        <v>46</v>
      </c>
      <c r="I1320">
        <v>8</v>
      </c>
      <c r="J1320">
        <v>2</v>
      </c>
      <c r="K1320">
        <v>3009</v>
      </c>
      <c r="L1320">
        <v>6018</v>
      </c>
      <c r="M1320" t="s">
        <v>51</v>
      </c>
      <c r="N1320">
        <v>0</v>
      </c>
      <c r="O1320" t="s">
        <v>31</v>
      </c>
    </row>
    <row r="1321" spans="1:15" x14ac:dyDescent="0.35">
      <c r="A1321">
        <v>2320</v>
      </c>
      <c r="B1321" t="s">
        <v>407</v>
      </c>
      <c r="C1321" s="1">
        <v>45427</v>
      </c>
      <c r="D1321" s="1">
        <v>45456</v>
      </c>
      <c r="E1321" s="1">
        <v>45458</v>
      </c>
      <c r="F1321" t="s">
        <v>35</v>
      </c>
      <c r="G1321" t="s">
        <v>39</v>
      </c>
      <c r="H1321" t="s">
        <v>46</v>
      </c>
      <c r="I1321">
        <v>29</v>
      </c>
      <c r="J1321">
        <v>2</v>
      </c>
      <c r="K1321">
        <v>8171</v>
      </c>
      <c r="L1321">
        <v>16342</v>
      </c>
      <c r="M1321" t="s">
        <v>51</v>
      </c>
      <c r="N1321">
        <v>1</v>
      </c>
      <c r="O1321" t="s">
        <v>25</v>
      </c>
    </row>
    <row r="1322" spans="1:15" x14ac:dyDescent="0.35">
      <c r="A1322">
        <v>2321</v>
      </c>
      <c r="B1322" t="s">
        <v>345</v>
      </c>
      <c r="C1322" s="1">
        <v>45334</v>
      </c>
      <c r="D1322" s="1">
        <v>45374</v>
      </c>
      <c r="E1322" s="1">
        <v>45378</v>
      </c>
      <c r="F1322" t="s">
        <v>35</v>
      </c>
      <c r="G1322" t="s">
        <v>39</v>
      </c>
      <c r="H1322" t="s">
        <v>46</v>
      </c>
      <c r="I1322">
        <v>40</v>
      </c>
      <c r="J1322">
        <v>4</v>
      </c>
      <c r="K1322">
        <v>4323</v>
      </c>
      <c r="L1322">
        <v>17292</v>
      </c>
      <c r="M1322" t="s">
        <v>51</v>
      </c>
      <c r="N1322">
        <v>1</v>
      </c>
      <c r="O1322" t="s">
        <v>25</v>
      </c>
    </row>
    <row r="1323" spans="1:15" x14ac:dyDescent="0.35">
      <c r="A1323">
        <v>2322</v>
      </c>
      <c r="B1323" t="s">
        <v>909</v>
      </c>
      <c r="C1323" s="1">
        <v>45644</v>
      </c>
      <c r="D1323" s="1">
        <v>45670</v>
      </c>
      <c r="E1323" s="1">
        <v>45671</v>
      </c>
      <c r="F1323" t="s">
        <v>29</v>
      </c>
      <c r="G1323" t="s">
        <v>39</v>
      </c>
      <c r="H1323" t="s">
        <v>46</v>
      </c>
      <c r="I1323">
        <v>26</v>
      </c>
      <c r="J1323">
        <v>1</v>
      </c>
      <c r="K1323">
        <v>7380</v>
      </c>
      <c r="L1323">
        <v>7380</v>
      </c>
      <c r="M1323" t="s">
        <v>51</v>
      </c>
      <c r="N1323">
        <v>1</v>
      </c>
      <c r="O1323" t="s">
        <v>25</v>
      </c>
    </row>
    <row r="1324" spans="1:15" x14ac:dyDescent="0.35">
      <c r="A1324">
        <v>2323</v>
      </c>
      <c r="B1324" t="s">
        <v>957</v>
      </c>
      <c r="C1324" s="1">
        <v>45381</v>
      </c>
      <c r="D1324" s="1">
        <v>45411</v>
      </c>
      <c r="E1324" s="1">
        <v>45413</v>
      </c>
      <c r="F1324" t="s">
        <v>21</v>
      </c>
      <c r="G1324" t="s">
        <v>39</v>
      </c>
      <c r="H1324" t="s">
        <v>23</v>
      </c>
      <c r="I1324">
        <v>30</v>
      </c>
      <c r="J1324">
        <v>2</v>
      </c>
      <c r="K1324">
        <v>5441</v>
      </c>
      <c r="L1324">
        <v>10882</v>
      </c>
      <c r="M1324" t="s">
        <v>51</v>
      </c>
      <c r="N1324">
        <v>0</v>
      </c>
      <c r="O1324" t="s">
        <v>25</v>
      </c>
    </row>
    <row r="1325" spans="1:15" x14ac:dyDescent="0.35">
      <c r="A1325">
        <v>2324</v>
      </c>
      <c r="B1325" t="s">
        <v>958</v>
      </c>
      <c r="C1325" s="1">
        <v>45586</v>
      </c>
      <c r="D1325" s="1">
        <v>45603</v>
      </c>
      <c r="E1325" s="1">
        <v>45608</v>
      </c>
      <c r="F1325" t="s">
        <v>60</v>
      </c>
      <c r="G1325" t="s">
        <v>22</v>
      </c>
      <c r="H1325" t="s">
        <v>30</v>
      </c>
      <c r="I1325">
        <v>17</v>
      </c>
      <c r="J1325">
        <v>5</v>
      </c>
      <c r="K1325">
        <v>8941</v>
      </c>
      <c r="L1325">
        <v>44705</v>
      </c>
      <c r="M1325" t="s">
        <v>24</v>
      </c>
      <c r="N1325">
        <v>0</v>
      </c>
      <c r="O1325" t="s">
        <v>25</v>
      </c>
    </row>
    <row r="1326" spans="1:15" x14ac:dyDescent="0.35">
      <c r="A1326">
        <v>2325</v>
      </c>
      <c r="B1326" t="s">
        <v>959</v>
      </c>
      <c r="C1326" s="1">
        <v>45632</v>
      </c>
      <c r="D1326" s="1">
        <v>45652</v>
      </c>
      <c r="E1326" s="1">
        <v>45655</v>
      </c>
      <c r="F1326" t="s">
        <v>38</v>
      </c>
      <c r="G1326" t="s">
        <v>39</v>
      </c>
      <c r="H1326" t="s">
        <v>23</v>
      </c>
      <c r="I1326">
        <v>20</v>
      </c>
      <c r="J1326">
        <v>3</v>
      </c>
      <c r="K1326">
        <v>6732</v>
      </c>
      <c r="L1326">
        <v>20196</v>
      </c>
      <c r="M1326" t="s">
        <v>24</v>
      </c>
      <c r="N1326">
        <v>1</v>
      </c>
      <c r="O1326" t="s">
        <v>25</v>
      </c>
    </row>
    <row r="1327" spans="1:15" x14ac:dyDescent="0.35">
      <c r="A1327">
        <v>2326</v>
      </c>
      <c r="B1327" t="s">
        <v>960</v>
      </c>
      <c r="C1327" s="1">
        <v>45536</v>
      </c>
      <c r="D1327" s="1">
        <v>45588</v>
      </c>
      <c r="E1327" s="1">
        <v>45590</v>
      </c>
      <c r="F1327" t="s">
        <v>35</v>
      </c>
      <c r="G1327" t="s">
        <v>22</v>
      </c>
      <c r="H1327" t="s">
        <v>46</v>
      </c>
      <c r="I1327">
        <v>52</v>
      </c>
      <c r="J1327">
        <v>2</v>
      </c>
      <c r="K1327">
        <v>4634</v>
      </c>
      <c r="L1327">
        <v>9268</v>
      </c>
      <c r="M1327" t="s">
        <v>51</v>
      </c>
      <c r="N1327">
        <v>1</v>
      </c>
      <c r="O1327" t="s">
        <v>31</v>
      </c>
    </row>
    <row r="1328" spans="1:15" x14ac:dyDescent="0.35">
      <c r="A1328">
        <v>2327</v>
      </c>
      <c r="B1328" t="s">
        <v>961</v>
      </c>
      <c r="C1328" s="1">
        <v>45483</v>
      </c>
      <c r="D1328" s="1">
        <v>45538</v>
      </c>
      <c r="E1328" s="1">
        <v>45539</v>
      </c>
      <c r="F1328" t="s">
        <v>38</v>
      </c>
      <c r="G1328" t="s">
        <v>39</v>
      </c>
      <c r="H1328" t="s">
        <v>46</v>
      </c>
      <c r="I1328">
        <v>55</v>
      </c>
      <c r="J1328">
        <v>1</v>
      </c>
      <c r="K1328">
        <v>4277</v>
      </c>
      <c r="L1328">
        <v>4277</v>
      </c>
      <c r="M1328" t="s">
        <v>24</v>
      </c>
      <c r="N1328">
        <v>1</v>
      </c>
      <c r="O1328" t="s">
        <v>31</v>
      </c>
    </row>
    <row r="1329" spans="1:15" x14ac:dyDescent="0.35">
      <c r="A1329">
        <v>2328</v>
      </c>
      <c r="B1329" t="s">
        <v>962</v>
      </c>
      <c r="C1329" s="1">
        <v>45609</v>
      </c>
      <c r="D1329" s="1">
        <v>45625</v>
      </c>
      <c r="E1329" s="1">
        <v>45627</v>
      </c>
      <c r="F1329" t="s">
        <v>29</v>
      </c>
      <c r="G1329" t="s">
        <v>39</v>
      </c>
      <c r="H1329" t="s">
        <v>23</v>
      </c>
      <c r="I1329">
        <v>16</v>
      </c>
      <c r="J1329">
        <v>2</v>
      </c>
      <c r="K1329">
        <v>3722</v>
      </c>
      <c r="L1329">
        <v>7444</v>
      </c>
      <c r="M1329" t="s">
        <v>51</v>
      </c>
      <c r="N1329">
        <v>0</v>
      </c>
      <c r="O1329" t="s">
        <v>25</v>
      </c>
    </row>
    <row r="1330" spans="1:15" x14ac:dyDescent="0.35">
      <c r="A1330">
        <v>2329</v>
      </c>
      <c r="B1330" t="s">
        <v>574</v>
      </c>
      <c r="C1330" s="1">
        <v>45397</v>
      </c>
      <c r="D1330" s="1">
        <v>45443</v>
      </c>
      <c r="E1330" s="1">
        <v>45446</v>
      </c>
      <c r="F1330" t="s">
        <v>38</v>
      </c>
      <c r="G1330" t="s">
        <v>39</v>
      </c>
      <c r="H1330" t="s">
        <v>30</v>
      </c>
      <c r="I1330">
        <v>46</v>
      </c>
      <c r="J1330">
        <v>3</v>
      </c>
      <c r="K1330">
        <v>7929</v>
      </c>
      <c r="L1330">
        <v>23787</v>
      </c>
      <c r="M1330" t="s">
        <v>24</v>
      </c>
      <c r="N1330">
        <v>1</v>
      </c>
      <c r="O1330" t="s">
        <v>31</v>
      </c>
    </row>
    <row r="1331" spans="1:15" x14ac:dyDescent="0.35">
      <c r="A1331">
        <v>2330</v>
      </c>
      <c r="B1331" t="s">
        <v>460</v>
      </c>
      <c r="C1331" s="1">
        <v>45654</v>
      </c>
      <c r="D1331" s="1">
        <v>45697</v>
      </c>
      <c r="E1331" s="1">
        <v>45698</v>
      </c>
      <c r="F1331" t="s">
        <v>38</v>
      </c>
      <c r="G1331" t="s">
        <v>22</v>
      </c>
      <c r="H1331" t="s">
        <v>30</v>
      </c>
      <c r="I1331">
        <v>43</v>
      </c>
      <c r="J1331">
        <v>1</v>
      </c>
      <c r="K1331">
        <v>6167</v>
      </c>
      <c r="L1331">
        <v>6167</v>
      </c>
      <c r="M1331" t="s">
        <v>24</v>
      </c>
      <c r="N1331">
        <v>0</v>
      </c>
      <c r="O1331" t="s">
        <v>31</v>
      </c>
    </row>
    <row r="1332" spans="1:15" x14ac:dyDescent="0.35">
      <c r="A1332">
        <v>2331</v>
      </c>
      <c r="B1332" t="s">
        <v>963</v>
      </c>
      <c r="C1332" s="1">
        <v>45601</v>
      </c>
      <c r="D1332" s="1">
        <v>45608</v>
      </c>
      <c r="E1332" s="1">
        <v>45612</v>
      </c>
      <c r="F1332" t="s">
        <v>60</v>
      </c>
      <c r="G1332" t="s">
        <v>22</v>
      </c>
      <c r="H1332" t="s">
        <v>46</v>
      </c>
      <c r="I1332">
        <v>7</v>
      </c>
      <c r="J1332">
        <v>4</v>
      </c>
      <c r="K1332">
        <v>4277</v>
      </c>
      <c r="L1332">
        <v>17108</v>
      </c>
      <c r="M1332" t="s">
        <v>24</v>
      </c>
      <c r="N1332">
        <v>1</v>
      </c>
      <c r="O1332" t="s">
        <v>31</v>
      </c>
    </row>
    <row r="1333" spans="1:15" x14ac:dyDescent="0.35">
      <c r="A1333">
        <v>2332</v>
      </c>
      <c r="B1333" t="s">
        <v>964</v>
      </c>
      <c r="C1333" s="1">
        <v>45524</v>
      </c>
      <c r="D1333" s="1">
        <v>45540</v>
      </c>
      <c r="E1333" s="1">
        <v>45541</v>
      </c>
      <c r="F1333" t="s">
        <v>29</v>
      </c>
      <c r="G1333" t="s">
        <v>22</v>
      </c>
      <c r="H1333" t="s">
        <v>46</v>
      </c>
      <c r="I1333">
        <v>16</v>
      </c>
      <c r="J1333">
        <v>1</v>
      </c>
      <c r="K1333">
        <v>3804</v>
      </c>
      <c r="L1333">
        <v>3804</v>
      </c>
      <c r="M1333" t="s">
        <v>24</v>
      </c>
      <c r="N1333">
        <v>0</v>
      </c>
      <c r="O1333" t="s">
        <v>31</v>
      </c>
    </row>
    <row r="1334" spans="1:15" x14ac:dyDescent="0.35">
      <c r="A1334">
        <v>2333</v>
      </c>
      <c r="B1334" t="s">
        <v>965</v>
      </c>
      <c r="C1334" s="1">
        <v>45556</v>
      </c>
      <c r="D1334" s="1">
        <v>45601</v>
      </c>
      <c r="E1334" s="1">
        <v>45605</v>
      </c>
      <c r="F1334" t="s">
        <v>38</v>
      </c>
      <c r="G1334" t="s">
        <v>39</v>
      </c>
      <c r="H1334" t="s">
        <v>46</v>
      </c>
      <c r="I1334">
        <v>45</v>
      </c>
      <c r="J1334">
        <v>4</v>
      </c>
      <c r="K1334">
        <v>7359</v>
      </c>
      <c r="L1334">
        <v>29436</v>
      </c>
      <c r="M1334" t="s">
        <v>51</v>
      </c>
      <c r="N1334">
        <v>0</v>
      </c>
      <c r="O1334" t="s">
        <v>25</v>
      </c>
    </row>
    <row r="1335" spans="1:15" x14ac:dyDescent="0.35">
      <c r="A1335">
        <v>2334</v>
      </c>
      <c r="B1335" t="s">
        <v>966</v>
      </c>
      <c r="C1335" s="1">
        <v>45635</v>
      </c>
      <c r="D1335" s="1">
        <v>45694</v>
      </c>
      <c r="E1335" s="1">
        <v>45695</v>
      </c>
      <c r="F1335" t="s">
        <v>35</v>
      </c>
      <c r="G1335" t="s">
        <v>39</v>
      </c>
      <c r="H1335" t="s">
        <v>46</v>
      </c>
      <c r="I1335">
        <v>59</v>
      </c>
      <c r="J1335">
        <v>1</v>
      </c>
      <c r="K1335">
        <v>3201</v>
      </c>
      <c r="L1335">
        <v>3201</v>
      </c>
      <c r="M1335" t="s">
        <v>24</v>
      </c>
      <c r="N1335">
        <v>1</v>
      </c>
      <c r="O1335" t="s">
        <v>31</v>
      </c>
    </row>
    <row r="1336" spans="1:15" x14ac:dyDescent="0.35">
      <c r="A1336">
        <v>2335</v>
      </c>
      <c r="B1336" t="s">
        <v>326</v>
      </c>
      <c r="C1336" s="1">
        <v>45328</v>
      </c>
      <c r="D1336" s="1">
        <v>45375</v>
      </c>
      <c r="E1336" s="1">
        <v>45378</v>
      </c>
      <c r="F1336" t="s">
        <v>29</v>
      </c>
      <c r="G1336" t="s">
        <v>39</v>
      </c>
      <c r="H1336" t="s">
        <v>30</v>
      </c>
      <c r="I1336">
        <v>47</v>
      </c>
      <c r="J1336">
        <v>3</v>
      </c>
      <c r="K1336">
        <v>5489</v>
      </c>
      <c r="L1336">
        <v>16467</v>
      </c>
      <c r="M1336" t="s">
        <v>24</v>
      </c>
      <c r="N1336">
        <v>1</v>
      </c>
      <c r="O1336" t="s">
        <v>31</v>
      </c>
    </row>
    <row r="1337" spans="1:15" x14ac:dyDescent="0.35">
      <c r="A1337">
        <v>2336</v>
      </c>
      <c r="B1337" t="s">
        <v>700</v>
      </c>
      <c r="C1337" s="1">
        <v>45596</v>
      </c>
      <c r="D1337" s="1">
        <v>45652</v>
      </c>
      <c r="E1337" s="1">
        <v>45655</v>
      </c>
      <c r="F1337" t="s">
        <v>35</v>
      </c>
      <c r="G1337" t="s">
        <v>39</v>
      </c>
      <c r="H1337" t="s">
        <v>23</v>
      </c>
      <c r="I1337">
        <v>56</v>
      </c>
      <c r="J1337">
        <v>3</v>
      </c>
      <c r="K1337">
        <v>2651</v>
      </c>
      <c r="L1337">
        <v>7953</v>
      </c>
      <c r="M1337" t="s">
        <v>24</v>
      </c>
      <c r="N1337">
        <v>1</v>
      </c>
      <c r="O1337" t="s">
        <v>25</v>
      </c>
    </row>
    <row r="1338" spans="1:15" x14ac:dyDescent="0.35">
      <c r="A1338">
        <v>2337</v>
      </c>
      <c r="B1338" t="s">
        <v>319</v>
      </c>
      <c r="C1338" s="1">
        <v>45332</v>
      </c>
      <c r="D1338" s="1">
        <v>45380</v>
      </c>
      <c r="E1338" s="1">
        <v>45381</v>
      </c>
      <c r="F1338" t="s">
        <v>21</v>
      </c>
      <c r="G1338" t="s">
        <v>39</v>
      </c>
      <c r="H1338" t="s">
        <v>30</v>
      </c>
      <c r="I1338">
        <v>48</v>
      </c>
      <c r="J1338">
        <v>1</v>
      </c>
      <c r="K1338">
        <v>3825</v>
      </c>
      <c r="L1338">
        <v>3825</v>
      </c>
      <c r="M1338" t="s">
        <v>51</v>
      </c>
      <c r="N1338">
        <v>0</v>
      </c>
      <c r="O1338" t="s">
        <v>25</v>
      </c>
    </row>
    <row r="1339" spans="1:15" x14ac:dyDescent="0.35">
      <c r="A1339">
        <v>2338</v>
      </c>
      <c r="B1339" t="s">
        <v>967</v>
      </c>
      <c r="C1339" s="1">
        <v>45308</v>
      </c>
      <c r="D1339" s="1">
        <v>45335</v>
      </c>
      <c r="E1339" s="1">
        <v>45337</v>
      </c>
      <c r="F1339" t="s">
        <v>38</v>
      </c>
      <c r="G1339" t="s">
        <v>39</v>
      </c>
      <c r="H1339" t="s">
        <v>23</v>
      </c>
      <c r="I1339">
        <v>27</v>
      </c>
      <c r="J1339">
        <v>2</v>
      </c>
      <c r="K1339">
        <v>3801</v>
      </c>
      <c r="L1339">
        <v>7602</v>
      </c>
      <c r="M1339" t="s">
        <v>24</v>
      </c>
      <c r="N1339">
        <v>1</v>
      </c>
      <c r="O1339" t="s">
        <v>25</v>
      </c>
    </row>
    <row r="1340" spans="1:15" x14ac:dyDescent="0.35">
      <c r="A1340">
        <v>2339</v>
      </c>
      <c r="B1340" t="s">
        <v>968</v>
      </c>
      <c r="C1340" s="1">
        <v>45635</v>
      </c>
      <c r="D1340" s="1">
        <v>45688</v>
      </c>
      <c r="E1340" s="1">
        <v>45691</v>
      </c>
      <c r="F1340" t="s">
        <v>29</v>
      </c>
      <c r="G1340" t="s">
        <v>22</v>
      </c>
      <c r="H1340" t="s">
        <v>46</v>
      </c>
      <c r="I1340">
        <v>53</v>
      </c>
      <c r="J1340">
        <v>3</v>
      </c>
      <c r="K1340">
        <v>6222</v>
      </c>
      <c r="L1340">
        <v>18666</v>
      </c>
      <c r="M1340" t="s">
        <v>51</v>
      </c>
      <c r="N1340">
        <v>1</v>
      </c>
      <c r="O1340" t="s">
        <v>25</v>
      </c>
    </row>
    <row r="1341" spans="1:15" x14ac:dyDescent="0.35">
      <c r="A1341">
        <v>2340</v>
      </c>
      <c r="B1341" t="s">
        <v>494</v>
      </c>
      <c r="C1341" s="1">
        <v>45568</v>
      </c>
      <c r="D1341" s="1">
        <v>45591</v>
      </c>
      <c r="E1341" s="1">
        <v>45595</v>
      </c>
      <c r="F1341" t="s">
        <v>35</v>
      </c>
      <c r="G1341" t="s">
        <v>22</v>
      </c>
      <c r="H1341" t="s">
        <v>46</v>
      </c>
      <c r="I1341">
        <v>23</v>
      </c>
      <c r="J1341">
        <v>4</v>
      </c>
      <c r="K1341">
        <v>4211</v>
      </c>
      <c r="L1341">
        <v>16844</v>
      </c>
      <c r="M1341" t="s">
        <v>51</v>
      </c>
      <c r="N1341">
        <v>1</v>
      </c>
      <c r="O1341" t="s">
        <v>31</v>
      </c>
    </row>
    <row r="1342" spans="1:15" x14ac:dyDescent="0.35">
      <c r="A1342">
        <v>2341</v>
      </c>
      <c r="B1342" t="s">
        <v>99</v>
      </c>
      <c r="C1342" s="1">
        <v>45598</v>
      </c>
      <c r="D1342" s="1">
        <v>45622</v>
      </c>
      <c r="E1342" s="1">
        <v>45626</v>
      </c>
      <c r="F1342" t="s">
        <v>38</v>
      </c>
      <c r="G1342" t="s">
        <v>39</v>
      </c>
      <c r="H1342" t="s">
        <v>23</v>
      </c>
      <c r="I1342">
        <v>24</v>
      </c>
      <c r="J1342">
        <v>4</v>
      </c>
      <c r="K1342">
        <v>7627</v>
      </c>
      <c r="L1342">
        <v>30508</v>
      </c>
      <c r="M1342" t="s">
        <v>24</v>
      </c>
      <c r="N1342">
        <v>1</v>
      </c>
      <c r="O1342" t="s">
        <v>25</v>
      </c>
    </row>
    <row r="1343" spans="1:15" x14ac:dyDescent="0.35">
      <c r="A1343">
        <v>2342</v>
      </c>
      <c r="B1343" t="s">
        <v>969</v>
      </c>
      <c r="C1343" s="1">
        <v>45350</v>
      </c>
      <c r="D1343" s="1">
        <v>45359</v>
      </c>
      <c r="E1343" s="1">
        <v>45364</v>
      </c>
      <c r="F1343" t="s">
        <v>60</v>
      </c>
      <c r="G1343" t="s">
        <v>22</v>
      </c>
      <c r="H1343" t="s">
        <v>46</v>
      </c>
      <c r="I1343">
        <v>9</v>
      </c>
      <c r="J1343">
        <v>5</v>
      </c>
      <c r="K1343">
        <v>3306</v>
      </c>
      <c r="L1343">
        <v>16530</v>
      </c>
      <c r="M1343" t="s">
        <v>51</v>
      </c>
      <c r="N1343">
        <v>0</v>
      </c>
      <c r="O1343" t="s">
        <v>31</v>
      </c>
    </row>
    <row r="1344" spans="1:15" x14ac:dyDescent="0.35">
      <c r="A1344">
        <v>2343</v>
      </c>
      <c r="B1344" t="s">
        <v>970</v>
      </c>
      <c r="C1344" s="1">
        <v>45474</v>
      </c>
      <c r="D1344" s="1">
        <v>45509</v>
      </c>
      <c r="E1344" s="1">
        <v>45513</v>
      </c>
      <c r="F1344" t="s">
        <v>35</v>
      </c>
      <c r="G1344" t="s">
        <v>22</v>
      </c>
      <c r="H1344" t="s">
        <v>30</v>
      </c>
      <c r="I1344">
        <v>35</v>
      </c>
      <c r="J1344">
        <v>4</v>
      </c>
      <c r="K1344">
        <v>6830</v>
      </c>
      <c r="L1344">
        <v>27320</v>
      </c>
      <c r="M1344" t="s">
        <v>24</v>
      </c>
      <c r="N1344">
        <v>0</v>
      </c>
      <c r="O1344" t="s">
        <v>31</v>
      </c>
    </row>
    <row r="1345" spans="1:15" x14ac:dyDescent="0.35">
      <c r="A1345">
        <v>2344</v>
      </c>
      <c r="B1345" t="s">
        <v>638</v>
      </c>
      <c r="C1345" s="1">
        <v>45332</v>
      </c>
      <c r="D1345" s="1">
        <v>45383</v>
      </c>
      <c r="E1345" s="1">
        <v>45388</v>
      </c>
      <c r="F1345" t="s">
        <v>35</v>
      </c>
      <c r="G1345" t="s">
        <v>22</v>
      </c>
      <c r="H1345" t="s">
        <v>46</v>
      </c>
      <c r="I1345">
        <v>51</v>
      </c>
      <c r="J1345">
        <v>5</v>
      </c>
      <c r="K1345">
        <v>5222</v>
      </c>
      <c r="L1345">
        <v>26110</v>
      </c>
      <c r="M1345" t="s">
        <v>24</v>
      </c>
      <c r="N1345">
        <v>1</v>
      </c>
      <c r="O1345" t="s">
        <v>25</v>
      </c>
    </row>
    <row r="1346" spans="1:15" x14ac:dyDescent="0.35">
      <c r="A1346">
        <v>2345</v>
      </c>
      <c r="B1346" t="s">
        <v>675</v>
      </c>
      <c r="C1346" s="1">
        <v>45330</v>
      </c>
      <c r="D1346" s="1">
        <v>45350</v>
      </c>
      <c r="E1346" s="1">
        <v>45351</v>
      </c>
      <c r="F1346" t="s">
        <v>21</v>
      </c>
      <c r="G1346" t="s">
        <v>39</v>
      </c>
      <c r="H1346" t="s">
        <v>46</v>
      </c>
      <c r="I1346">
        <v>20</v>
      </c>
      <c r="J1346">
        <v>1</v>
      </c>
      <c r="K1346">
        <v>7156</v>
      </c>
      <c r="L1346">
        <v>7156</v>
      </c>
      <c r="M1346" t="s">
        <v>24</v>
      </c>
      <c r="N1346">
        <v>0</v>
      </c>
      <c r="O1346" t="s">
        <v>25</v>
      </c>
    </row>
    <row r="1347" spans="1:15" x14ac:dyDescent="0.35">
      <c r="A1347">
        <v>2346</v>
      </c>
      <c r="B1347" t="s">
        <v>971</v>
      </c>
      <c r="C1347" s="1">
        <v>45483</v>
      </c>
      <c r="D1347" s="1">
        <v>45520</v>
      </c>
      <c r="E1347" s="1">
        <v>45521</v>
      </c>
      <c r="F1347" t="s">
        <v>60</v>
      </c>
      <c r="G1347" t="s">
        <v>39</v>
      </c>
      <c r="H1347" t="s">
        <v>46</v>
      </c>
      <c r="I1347">
        <v>37</v>
      </c>
      <c r="J1347">
        <v>1</v>
      </c>
      <c r="K1347">
        <v>3825</v>
      </c>
      <c r="L1347">
        <v>3825</v>
      </c>
      <c r="M1347" t="s">
        <v>24</v>
      </c>
      <c r="N1347">
        <v>1</v>
      </c>
      <c r="O1347" t="s">
        <v>25</v>
      </c>
    </row>
    <row r="1348" spans="1:15" x14ac:dyDescent="0.35">
      <c r="A1348">
        <v>2347</v>
      </c>
      <c r="B1348" t="s">
        <v>972</v>
      </c>
      <c r="C1348" s="1">
        <v>45558</v>
      </c>
      <c r="D1348" s="1">
        <v>45600</v>
      </c>
      <c r="E1348" s="1">
        <v>45601</v>
      </c>
      <c r="F1348" t="s">
        <v>21</v>
      </c>
      <c r="G1348" t="s">
        <v>39</v>
      </c>
      <c r="H1348" t="s">
        <v>46</v>
      </c>
      <c r="I1348">
        <v>42</v>
      </c>
      <c r="J1348">
        <v>1</v>
      </c>
      <c r="K1348">
        <v>6633</v>
      </c>
      <c r="L1348">
        <v>6633</v>
      </c>
      <c r="M1348" t="s">
        <v>24</v>
      </c>
      <c r="N1348">
        <v>1</v>
      </c>
      <c r="O1348" t="s">
        <v>25</v>
      </c>
    </row>
    <row r="1349" spans="1:15" x14ac:dyDescent="0.35">
      <c r="A1349">
        <v>2348</v>
      </c>
      <c r="B1349" t="s">
        <v>282</v>
      </c>
      <c r="C1349" s="1">
        <v>45438</v>
      </c>
      <c r="D1349" s="1">
        <v>45455</v>
      </c>
      <c r="E1349" s="1">
        <v>45457</v>
      </c>
      <c r="F1349" t="s">
        <v>60</v>
      </c>
      <c r="G1349" t="s">
        <v>39</v>
      </c>
      <c r="H1349" t="s">
        <v>30</v>
      </c>
      <c r="I1349">
        <v>17</v>
      </c>
      <c r="J1349">
        <v>2</v>
      </c>
      <c r="K1349">
        <v>3659</v>
      </c>
      <c r="L1349">
        <v>7318</v>
      </c>
      <c r="M1349" t="s">
        <v>24</v>
      </c>
      <c r="N1349">
        <v>1</v>
      </c>
      <c r="O1349" t="s">
        <v>25</v>
      </c>
    </row>
    <row r="1350" spans="1:15" x14ac:dyDescent="0.35">
      <c r="A1350">
        <v>2349</v>
      </c>
      <c r="B1350" t="s">
        <v>973</v>
      </c>
      <c r="C1350" s="1">
        <v>45624</v>
      </c>
      <c r="D1350" s="1">
        <v>45671</v>
      </c>
      <c r="E1350" s="1">
        <v>45673</v>
      </c>
      <c r="F1350" t="s">
        <v>35</v>
      </c>
      <c r="G1350" t="s">
        <v>22</v>
      </c>
      <c r="H1350" t="s">
        <v>23</v>
      </c>
      <c r="I1350">
        <v>47</v>
      </c>
      <c r="J1350">
        <v>2</v>
      </c>
      <c r="K1350">
        <v>5369</v>
      </c>
      <c r="L1350">
        <v>10738</v>
      </c>
      <c r="M1350" t="s">
        <v>24</v>
      </c>
      <c r="N1350">
        <v>1</v>
      </c>
      <c r="O1350" t="s">
        <v>25</v>
      </c>
    </row>
    <row r="1351" spans="1:15" x14ac:dyDescent="0.35">
      <c r="A1351">
        <v>2350</v>
      </c>
      <c r="B1351" t="s">
        <v>432</v>
      </c>
      <c r="C1351" s="1">
        <v>45418</v>
      </c>
      <c r="D1351" s="1">
        <v>45449</v>
      </c>
      <c r="E1351" s="1">
        <v>45454</v>
      </c>
      <c r="F1351" t="s">
        <v>21</v>
      </c>
      <c r="G1351" t="s">
        <v>39</v>
      </c>
      <c r="H1351" t="s">
        <v>46</v>
      </c>
      <c r="I1351">
        <v>31</v>
      </c>
      <c r="J1351">
        <v>5</v>
      </c>
      <c r="K1351">
        <v>7016</v>
      </c>
      <c r="L1351">
        <v>35080</v>
      </c>
      <c r="M1351" t="s">
        <v>51</v>
      </c>
      <c r="N1351">
        <v>0</v>
      </c>
      <c r="O1351" t="s">
        <v>31</v>
      </c>
    </row>
    <row r="1352" spans="1:15" x14ac:dyDescent="0.35">
      <c r="A1352">
        <v>2351</v>
      </c>
      <c r="B1352" t="s">
        <v>680</v>
      </c>
      <c r="C1352" s="1">
        <v>45337</v>
      </c>
      <c r="D1352" s="1">
        <v>45392</v>
      </c>
      <c r="E1352" s="1">
        <v>45396</v>
      </c>
      <c r="F1352" t="s">
        <v>38</v>
      </c>
      <c r="G1352" t="s">
        <v>39</v>
      </c>
      <c r="H1352" t="s">
        <v>46</v>
      </c>
      <c r="I1352">
        <v>55</v>
      </c>
      <c r="J1352">
        <v>4</v>
      </c>
      <c r="K1352">
        <v>3742</v>
      </c>
      <c r="L1352">
        <v>14968</v>
      </c>
      <c r="M1352" t="s">
        <v>51</v>
      </c>
      <c r="N1352">
        <v>0</v>
      </c>
      <c r="O1352" t="s">
        <v>31</v>
      </c>
    </row>
    <row r="1353" spans="1:15" x14ac:dyDescent="0.35">
      <c r="A1353">
        <v>2352</v>
      </c>
      <c r="B1353" t="s">
        <v>568</v>
      </c>
      <c r="C1353" s="1">
        <v>45336</v>
      </c>
      <c r="D1353" s="1">
        <v>45393</v>
      </c>
      <c r="E1353" s="1">
        <v>45397</v>
      </c>
      <c r="F1353" t="s">
        <v>60</v>
      </c>
      <c r="G1353" t="s">
        <v>39</v>
      </c>
      <c r="H1353" t="s">
        <v>30</v>
      </c>
      <c r="I1353">
        <v>57</v>
      </c>
      <c r="J1353">
        <v>4</v>
      </c>
      <c r="K1353">
        <v>2847</v>
      </c>
      <c r="L1353">
        <v>11388</v>
      </c>
      <c r="M1353" t="s">
        <v>24</v>
      </c>
      <c r="N1353">
        <v>1</v>
      </c>
      <c r="O1353" t="s">
        <v>31</v>
      </c>
    </row>
    <row r="1354" spans="1:15" x14ac:dyDescent="0.35">
      <c r="A1354">
        <v>2353</v>
      </c>
      <c r="B1354" t="s">
        <v>841</v>
      </c>
      <c r="C1354" s="1">
        <v>45292</v>
      </c>
      <c r="D1354" s="1">
        <v>45300</v>
      </c>
      <c r="E1354" s="1">
        <v>45301</v>
      </c>
      <c r="F1354" t="s">
        <v>35</v>
      </c>
      <c r="G1354" t="s">
        <v>22</v>
      </c>
      <c r="H1354" t="s">
        <v>30</v>
      </c>
      <c r="I1354">
        <v>8</v>
      </c>
      <c r="J1354">
        <v>1</v>
      </c>
      <c r="K1354">
        <v>4331</v>
      </c>
      <c r="L1354">
        <v>4331</v>
      </c>
      <c r="M1354" t="s">
        <v>24</v>
      </c>
      <c r="N1354">
        <v>1</v>
      </c>
      <c r="O1354" t="s">
        <v>31</v>
      </c>
    </row>
    <row r="1355" spans="1:15" x14ac:dyDescent="0.35">
      <c r="A1355">
        <v>2354</v>
      </c>
      <c r="B1355" t="s">
        <v>214</v>
      </c>
      <c r="C1355" s="1">
        <v>45459</v>
      </c>
      <c r="D1355" s="1">
        <v>45474</v>
      </c>
      <c r="E1355" s="1">
        <v>45477</v>
      </c>
      <c r="F1355" t="s">
        <v>29</v>
      </c>
      <c r="G1355" t="s">
        <v>22</v>
      </c>
      <c r="H1355" t="s">
        <v>30</v>
      </c>
      <c r="I1355">
        <v>15</v>
      </c>
      <c r="J1355">
        <v>3</v>
      </c>
      <c r="K1355">
        <v>4069</v>
      </c>
      <c r="L1355">
        <v>12207</v>
      </c>
      <c r="M1355" t="s">
        <v>51</v>
      </c>
      <c r="N1355">
        <v>1</v>
      </c>
      <c r="O1355" t="s">
        <v>25</v>
      </c>
    </row>
    <row r="1356" spans="1:15" x14ac:dyDescent="0.35">
      <c r="A1356">
        <v>2355</v>
      </c>
      <c r="B1356" t="s">
        <v>633</v>
      </c>
      <c r="C1356" s="1">
        <v>45399</v>
      </c>
      <c r="D1356" s="1">
        <v>45430</v>
      </c>
      <c r="E1356" s="1">
        <v>45432</v>
      </c>
      <c r="F1356" t="s">
        <v>60</v>
      </c>
      <c r="G1356" t="s">
        <v>22</v>
      </c>
      <c r="H1356" t="s">
        <v>46</v>
      </c>
      <c r="I1356">
        <v>31</v>
      </c>
      <c r="J1356">
        <v>2</v>
      </c>
      <c r="K1356">
        <v>6435</v>
      </c>
      <c r="L1356">
        <v>12870</v>
      </c>
      <c r="M1356" t="s">
        <v>24</v>
      </c>
      <c r="N1356">
        <v>0</v>
      </c>
      <c r="O1356" t="s">
        <v>25</v>
      </c>
    </row>
    <row r="1357" spans="1:15" x14ac:dyDescent="0.35">
      <c r="A1357">
        <v>2356</v>
      </c>
      <c r="B1357" t="s">
        <v>400</v>
      </c>
      <c r="C1357" s="1">
        <v>45310</v>
      </c>
      <c r="D1357" s="1">
        <v>45363</v>
      </c>
      <c r="E1357" s="1">
        <v>45365</v>
      </c>
      <c r="F1357" t="s">
        <v>60</v>
      </c>
      <c r="G1357" t="s">
        <v>22</v>
      </c>
      <c r="H1357" t="s">
        <v>23</v>
      </c>
      <c r="I1357">
        <v>53</v>
      </c>
      <c r="J1357">
        <v>2</v>
      </c>
      <c r="K1357">
        <v>4418</v>
      </c>
      <c r="L1357">
        <v>8836</v>
      </c>
      <c r="M1357" t="s">
        <v>51</v>
      </c>
      <c r="N1357">
        <v>0</v>
      </c>
      <c r="O1357" t="s">
        <v>31</v>
      </c>
    </row>
    <row r="1358" spans="1:15" x14ac:dyDescent="0.35">
      <c r="A1358">
        <v>2357</v>
      </c>
      <c r="B1358" t="s">
        <v>974</v>
      </c>
      <c r="C1358" s="1">
        <v>45623</v>
      </c>
      <c r="D1358" s="1">
        <v>45653</v>
      </c>
      <c r="E1358" s="1">
        <v>45654</v>
      </c>
      <c r="F1358" t="s">
        <v>38</v>
      </c>
      <c r="G1358" t="s">
        <v>22</v>
      </c>
      <c r="H1358" t="s">
        <v>30</v>
      </c>
      <c r="I1358">
        <v>30</v>
      </c>
      <c r="J1358">
        <v>1</v>
      </c>
      <c r="K1358">
        <v>8916</v>
      </c>
      <c r="L1358">
        <v>8916</v>
      </c>
      <c r="M1358" t="s">
        <v>51</v>
      </c>
      <c r="N1358">
        <v>0</v>
      </c>
      <c r="O1358" t="s">
        <v>31</v>
      </c>
    </row>
    <row r="1359" spans="1:15" x14ac:dyDescent="0.35">
      <c r="A1359">
        <v>2358</v>
      </c>
      <c r="B1359" t="s">
        <v>975</v>
      </c>
      <c r="C1359" s="1">
        <v>45363</v>
      </c>
      <c r="D1359" s="1">
        <v>45409</v>
      </c>
      <c r="E1359" s="1">
        <v>45411</v>
      </c>
      <c r="F1359" t="s">
        <v>60</v>
      </c>
      <c r="G1359" t="s">
        <v>39</v>
      </c>
      <c r="H1359" t="s">
        <v>30</v>
      </c>
      <c r="I1359">
        <v>46</v>
      </c>
      <c r="J1359">
        <v>2</v>
      </c>
      <c r="K1359">
        <v>5732</v>
      </c>
      <c r="L1359">
        <v>11464</v>
      </c>
      <c r="M1359" t="s">
        <v>24</v>
      </c>
      <c r="N1359">
        <v>1</v>
      </c>
      <c r="O1359" t="s">
        <v>31</v>
      </c>
    </row>
    <row r="1360" spans="1:15" x14ac:dyDescent="0.35">
      <c r="A1360">
        <v>2359</v>
      </c>
      <c r="B1360" t="s">
        <v>174</v>
      </c>
      <c r="C1360" s="1">
        <v>45400</v>
      </c>
      <c r="D1360" s="1">
        <v>45420</v>
      </c>
      <c r="E1360" s="1">
        <v>45421</v>
      </c>
      <c r="F1360" t="s">
        <v>60</v>
      </c>
      <c r="G1360" t="s">
        <v>22</v>
      </c>
      <c r="H1360" t="s">
        <v>30</v>
      </c>
      <c r="I1360">
        <v>20</v>
      </c>
      <c r="J1360">
        <v>1</v>
      </c>
      <c r="K1360">
        <v>6258</v>
      </c>
      <c r="L1360">
        <v>6258</v>
      </c>
      <c r="M1360" t="s">
        <v>24</v>
      </c>
      <c r="N1360">
        <v>0</v>
      </c>
      <c r="O1360" t="s">
        <v>25</v>
      </c>
    </row>
    <row r="1361" spans="1:15" x14ac:dyDescent="0.35">
      <c r="A1361">
        <v>2360</v>
      </c>
      <c r="B1361" t="s">
        <v>976</v>
      </c>
      <c r="C1361" s="1">
        <v>45559</v>
      </c>
      <c r="D1361" s="1">
        <v>45598</v>
      </c>
      <c r="E1361" s="1">
        <v>45603</v>
      </c>
      <c r="F1361" t="s">
        <v>38</v>
      </c>
      <c r="G1361" t="s">
        <v>22</v>
      </c>
      <c r="H1361" t="s">
        <v>23</v>
      </c>
      <c r="I1361">
        <v>39</v>
      </c>
      <c r="J1361">
        <v>5</v>
      </c>
      <c r="K1361">
        <v>8497</v>
      </c>
      <c r="L1361">
        <v>42485</v>
      </c>
      <c r="M1361" t="s">
        <v>51</v>
      </c>
      <c r="N1361">
        <v>1</v>
      </c>
      <c r="O1361" t="s">
        <v>25</v>
      </c>
    </row>
    <row r="1362" spans="1:15" x14ac:dyDescent="0.35">
      <c r="A1362">
        <v>2361</v>
      </c>
      <c r="B1362" t="s">
        <v>408</v>
      </c>
      <c r="C1362" s="1">
        <v>45531</v>
      </c>
      <c r="D1362" s="1">
        <v>45584</v>
      </c>
      <c r="E1362" s="1">
        <v>45588</v>
      </c>
      <c r="F1362" t="s">
        <v>38</v>
      </c>
      <c r="G1362" t="s">
        <v>39</v>
      </c>
      <c r="H1362" t="s">
        <v>46</v>
      </c>
      <c r="I1362">
        <v>53</v>
      </c>
      <c r="J1362">
        <v>4</v>
      </c>
      <c r="K1362">
        <v>4855</v>
      </c>
      <c r="L1362">
        <v>19420</v>
      </c>
      <c r="M1362" t="s">
        <v>51</v>
      </c>
      <c r="N1362">
        <v>1</v>
      </c>
      <c r="O1362" t="s">
        <v>25</v>
      </c>
    </row>
    <row r="1363" spans="1:15" x14ac:dyDescent="0.35">
      <c r="A1363">
        <v>2362</v>
      </c>
      <c r="B1363" t="s">
        <v>977</v>
      </c>
      <c r="C1363" s="1">
        <v>45592</v>
      </c>
      <c r="D1363" s="1">
        <v>45647</v>
      </c>
      <c r="E1363" s="1">
        <v>45650</v>
      </c>
      <c r="F1363" t="s">
        <v>21</v>
      </c>
      <c r="G1363" t="s">
        <v>39</v>
      </c>
      <c r="H1363" t="s">
        <v>46</v>
      </c>
      <c r="I1363">
        <v>55</v>
      </c>
      <c r="J1363">
        <v>3</v>
      </c>
      <c r="K1363">
        <v>3897</v>
      </c>
      <c r="L1363">
        <v>11691</v>
      </c>
      <c r="M1363" t="s">
        <v>24</v>
      </c>
      <c r="N1363">
        <v>1</v>
      </c>
      <c r="O1363" t="s">
        <v>31</v>
      </c>
    </row>
    <row r="1364" spans="1:15" x14ac:dyDescent="0.35">
      <c r="A1364">
        <v>2363</v>
      </c>
      <c r="B1364" t="s">
        <v>978</v>
      </c>
      <c r="C1364" s="1">
        <v>45381</v>
      </c>
      <c r="D1364" s="1">
        <v>45393</v>
      </c>
      <c r="E1364" s="1">
        <v>45397</v>
      </c>
      <c r="F1364" t="s">
        <v>35</v>
      </c>
      <c r="G1364" t="s">
        <v>39</v>
      </c>
      <c r="H1364" t="s">
        <v>46</v>
      </c>
      <c r="I1364">
        <v>12</v>
      </c>
      <c r="J1364">
        <v>4</v>
      </c>
      <c r="K1364">
        <v>5280</v>
      </c>
      <c r="L1364">
        <v>21120</v>
      </c>
      <c r="M1364" t="s">
        <v>24</v>
      </c>
      <c r="N1364">
        <v>1</v>
      </c>
      <c r="O1364" t="s">
        <v>31</v>
      </c>
    </row>
    <row r="1365" spans="1:15" x14ac:dyDescent="0.35">
      <c r="A1365">
        <v>2364</v>
      </c>
      <c r="B1365" t="s">
        <v>195</v>
      </c>
      <c r="C1365" s="1">
        <v>45394</v>
      </c>
      <c r="D1365" s="1">
        <v>45443</v>
      </c>
      <c r="E1365" s="1">
        <v>45447</v>
      </c>
      <c r="F1365" t="s">
        <v>35</v>
      </c>
      <c r="G1365" t="s">
        <v>22</v>
      </c>
      <c r="H1365" t="s">
        <v>30</v>
      </c>
      <c r="I1365">
        <v>49</v>
      </c>
      <c r="J1365">
        <v>4</v>
      </c>
      <c r="K1365">
        <v>4324</v>
      </c>
      <c r="L1365">
        <v>17296</v>
      </c>
      <c r="M1365" t="s">
        <v>51</v>
      </c>
      <c r="N1365">
        <v>1</v>
      </c>
      <c r="O1365" t="s">
        <v>25</v>
      </c>
    </row>
    <row r="1366" spans="1:15" x14ac:dyDescent="0.35">
      <c r="A1366">
        <v>2365</v>
      </c>
      <c r="B1366" t="s">
        <v>616</v>
      </c>
      <c r="C1366" s="1">
        <v>45541</v>
      </c>
      <c r="D1366" s="1">
        <v>45558</v>
      </c>
      <c r="E1366" s="1">
        <v>45563</v>
      </c>
      <c r="F1366" t="s">
        <v>21</v>
      </c>
      <c r="G1366" t="s">
        <v>39</v>
      </c>
      <c r="H1366" t="s">
        <v>46</v>
      </c>
      <c r="I1366">
        <v>17</v>
      </c>
      <c r="J1366">
        <v>5</v>
      </c>
      <c r="K1366">
        <v>4991</v>
      </c>
      <c r="L1366">
        <v>24955</v>
      </c>
      <c r="M1366" t="s">
        <v>51</v>
      </c>
      <c r="N1366">
        <v>0</v>
      </c>
      <c r="O1366" t="s">
        <v>25</v>
      </c>
    </row>
    <row r="1367" spans="1:15" x14ac:dyDescent="0.35">
      <c r="A1367">
        <v>2366</v>
      </c>
      <c r="B1367" t="s">
        <v>979</v>
      </c>
      <c r="C1367" s="1">
        <v>45299</v>
      </c>
      <c r="D1367" s="1">
        <v>45341</v>
      </c>
      <c r="E1367" s="1">
        <v>45343</v>
      </c>
      <c r="F1367" t="s">
        <v>35</v>
      </c>
      <c r="G1367" t="s">
        <v>22</v>
      </c>
      <c r="H1367" t="s">
        <v>30</v>
      </c>
      <c r="I1367">
        <v>42</v>
      </c>
      <c r="J1367">
        <v>2</v>
      </c>
      <c r="K1367">
        <v>6560</v>
      </c>
      <c r="L1367">
        <v>13120</v>
      </c>
      <c r="M1367" t="s">
        <v>51</v>
      </c>
      <c r="N1367">
        <v>0</v>
      </c>
      <c r="O1367" t="s">
        <v>31</v>
      </c>
    </row>
    <row r="1368" spans="1:15" x14ac:dyDescent="0.35">
      <c r="A1368">
        <v>2367</v>
      </c>
      <c r="B1368" t="s">
        <v>980</v>
      </c>
      <c r="C1368" s="1">
        <v>45444</v>
      </c>
      <c r="D1368" s="1">
        <v>45474</v>
      </c>
      <c r="E1368" s="1">
        <v>45477</v>
      </c>
      <c r="F1368" t="s">
        <v>60</v>
      </c>
      <c r="G1368" t="s">
        <v>39</v>
      </c>
      <c r="H1368" t="s">
        <v>23</v>
      </c>
      <c r="I1368">
        <v>30</v>
      </c>
      <c r="J1368">
        <v>3</v>
      </c>
      <c r="K1368">
        <v>7824</v>
      </c>
      <c r="L1368">
        <v>23472</v>
      </c>
      <c r="M1368" t="s">
        <v>24</v>
      </c>
      <c r="N1368">
        <v>1</v>
      </c>
      <c r="O1368" t="s">
        <v>31</v>
      </c>
    </row>
    <row r="1369" spans="1:15" x14ac:dyDescent="0.35">
      <c r="A1369">
        <v>2368</v>
      </c>
      <c r="B1369" t="s">
        <v>981</v>
      </c>
      <c r="C1369" s="1">
        <v>45638</v>
      </c>
      <c r="D1369" s="1">
        <v>45667</v>
      </c>
      <c r="E1369" s="1">
        <v>45669</v>
      </c>
      <c r="F1369" t="s">
        <v>21</v>
      </c>
      <c r="G1369" t="s">
        <v>22</v>
      </c>
      <c r="H1369" t="s">
        <v>23</v>
      </c>
      <c r="I1369">
        <v>29</v>
      </c>
      <c r="J1369">
        <v>2</v>
      </c>
      <c r="K1369">
        <v>2904</v>
      </c>
      <c r="L1369">
        <v>5808</v>
      </c>
      <c r="M1369" t="s">
        <v>24</v>
      </c>
      <c r="N1369">
        <v>1</v>
      </c>
      <c r="O1369" t="s">
        <v>25</v>
      </c>
    </row>
    <row r="1370" spans="1:15" x14ac:dyDescent="0.35">
      <c r="A1370">
        <v>2369</v>
      </c>
      <c r="B1370" t="s">
        <v>402</v>
      </c>
      <c r="C1370" s="1">
        <v>45465</v>
      </c>
      <c r="D1370" s="1">
        <v>45484</v>
      </c>
      <c r="E1370" s="1">
        <v>45488</v>
      </c>
      <c r="F1370" t="s">
        <v>21</v>
      </c>
      <c r="G1370" t="s">
        <v>22</v>
      </c>
      <c r="H1370" t="s">
        <v>46</v>
      </c>
      <c r="I1370">
        <v>19</v>
      </c>
      <c r="J1370">
        <v>4</v>
      </c>
      <c r="K1370">
        <v>4221</v>
      </c>
      <c r="L1370">
        <v>16884</v>
      </c>
      <c r="M1370" t="s">
        <v>24</v>
      </c>
      <c r="N1370">
        <v>1</v>
      </c>
      <c r="O1370" t="s">
        <v>31</v>
      </c>
    </row>
    <row r="1371" spans="1:15" x14ac:dyDescent="0.35">
      <c r="A1371">
        <v>2370</v>
      </c>
      <c r="B1371" t="s">
        <v>650</v>
      </c>
      <c r="C1371" s="1">
        <v>45634</v>
      </c>
      <c r="D1371" s="1">
        <v>45680</v>
      </c>
      <c r="E1371" s="1">
        <v>45681</v>
      </c>
      <c r="F1371" t="s">
        <v>35</v>
      </c>
      <c r="G1371" t="s">
        <v>22</v>
      </c>
      <c r="H1371" t="s">
        <v>30</v>
      </c>
      <c r="I1371">
        <v>46</v>
      </c>
      <c r="J1371">
        <v>1</v>
      </c>
      <c r="K1371">
        <v>7816</v>
      </c>
      <c r="L1371">
        <v>7816</v>
      </c>
      <c r="M1371" t="s">
        <v>51</v>
      </c>
      <c r="N1371">
        <v>0</v>
      </c>
      <c r="O1371" t="s">
        <v>25</v>
      </c>
    </row>
    <row r="1372" spans="1:15" x14ac:dyDescent="0.35">
      <c r="A1372">
        <v>2371</v>
      </c>
      <c r="B1372" t="s">
        <v>982</v>
      </c>
      <c r="C1372" s="1">
        <v>45449</v>
      </c>
      <c r="D1372" s="1">
        <v>45460</v>
      </c>
      <c r="E1372" s="1">
        <v>45464</v>
      </c>
      <c r="F1372" t="s">
        <v>29</v>
      </c>
      <c r="G1372" t="s">
        <v>22</v>
      </c>
      <c r="H1372" t="s">
        <v>30</v>
      </c>
      <c r="I1372">
        <v>11</v>
      </c>
      <c r="J1372">
        <v>4</v>
      </c>
      <c r="K1372">
        <v>5325</v>
      </c>
      <c r="L1372">
        <v>21300</v>
      </c>
      <c r="M1372" t="s">
        <v>51</v>
      </c>
      <c r="N1372">
        <v>0</v>
      </c>
      <c r="O1372" t="s">
        <v>25</v>
      </c>
    </row>
    <row r="1373" spans="1:15" x14ac:dyDescent="0.35">
      <c r="A1373">
        <v>2372</v>
      </c>
      <c r="B1373" t="s">
        <v>983</v>
      </c>
      <c r="C1373" s="1">
        <v>45506</v>
      </c>
      <c r="D1373" s="1">
        <v>45540</v>
      </c>
      <c r="E1373" s="1">
        <v>45542</v>
      </c>
      <c r="F1373" t="s">
        <v>35</v>
      </c>
      <c r="G1373" t="s">
        <v>39</v>
      </c>
      <c r="H1373" t="s">
        <v>46</v>
      </c>
      <c r="I1373">
        <v>34</v>
      </c>
      <c r="J1373">
        <v>2</v>
      </c>
      <c r="K1373">
        <v>6345</v>
      </c>
      <c r="L1373">
        <v>12690</v>
      </c>
      <c r="M1373" t="s">
        <v>24</v>
      </c>
      <c r="N1373">
        <v>0</v>
      </c>
      <c r="O1373" t="s">
        <v>31</v>
      </c>
    </row>
    <row r="1374" spans="1:15" x14ac:dyDescent="0.35">
      <c r="A1374">
        <v>2373</v>
      </c>
      <c r="B1374" t="s">
        <v>984</v>
      </c>
      <c r="C1374" s="1">
        <v>45468</v>
      </c>
      <c r="D1374" s="1">
        <v>45518</v>
      </c>
      <c r="E1374" s="1">
        <v>45522</v>
      </c>
      <c r="F1374" t="s">
        <v>29</v>
      </c>
      <c r="G1374" t="s">
        <v>39</v>
      </c>
      <c r="H1374" t="s">
        <v>23</v>
      </c>
      <c r="I1374">
        <v>50</v>
      </c>
      <c r="J1374">
        <v>4</v>
      </c>
      <c r="K1374">
        <v>6710</v>
      </c>
      <c r="L1374">
        <v>26840</v>
      </c>
      <c r="M1374" t="s">
        <v>51</v>
      </c>
      <c r="N1374">
        <v>0</v>
      </c>
      <c r="O1374" t="s">
        <v>31</v>
      </c>
    </row>
    <row r="1375" spans="1:15" x14ac:dyDescent="0.35">
      <c r="A1375">
        <v>2374</v>
      </c>
      <c r="B1375" t="s">
        <v>782</v>
      </c>
      <c r="C1375" s="1">
        <v>45466</v>
      </c>
      <c r="D1375" s="1">
        <v>45473</v>
      </c>
      <c r="E1375" s="1">
        <v>45474</v>
      </c>
      <c r="F1375" t="s">
        <v>21</v>
      </c>
      <c r="G1375" t="s">
        <v>22</v>
      </c>
      <c r="H1375" t="s">
        <v>23</v>
      </c>
      <c r="I1375">
        <v>7</v>
      </c>
      <c r="J1375">
        <v>1</v>
      </c>
      <c r="K1375">
        <v>5692</v>
      </c>
      <c r="L1375">
        <v>5692</v>
      </c>
      <c r="M1375" t="s">
        <v>51</v>
      </c>
      <c r="N1375">
        <v>1</v>
      </c>
      <c r="O1375" t="s">
        <v>31</v>
      </c>
    </row>
    <row r="1376" spans="1:15" x14ac:dyDescent="0.35">
      <c r="A1376">
        <v>2375</v>
      </c>
      <c r="B1376" t="s">
        <v>188</v>
      </c>
      <c r="C1376" s="1">
        <v>45631</v>
      </c>
      <c r="D1376" s="1">
        <v>45675</v>
      </c>
      <c r="E1376" s="1">
        <v>45680</v>
      </c>
      <c r="F1376" t="s">
        <v>29</v>
      </c>
      <c r="G1376" t="s">
        <v>39</v>
      </c>
      <c r="H1376" t="s">
        <v>23</v>
      </c>
      <c r="I1376">
        <v>44</v>
      </c>
      <c r="J1376">
        <v>5</v>
      </c>
      <c r="K1376">
        <v>8272</v>
      </c>
      <c r="L1376">
        <v>41360</v>
      </c>
      <c r="M1376" t="s">
        <v>51</v>
      </c>
      <c r="N1376">
        <v>1</v>
      </c>
      <c r="O1376" t="s">
        <v>25</v>
      </c>
    </row>
    <row r="1377" spans="1:15" x14ac:dyDescent="0.35">
      <c r="A1377">
        <v>2376</v>
      </c>
      <c r="B1377" t="s">
        <v>985</v>
      </c>
      <c r="C1377" s="1">
        <v>45629</v>
      </c>
      <c r="D1377" s="1">
        <v>45687</v>
      </c>
      <c r="E1377" s="1">
        <v>45689</v>
      </c>
      <c r="F1377" t="s">
        <v>60</v>
      </c>
      <c r="G1377" t="s">
        <v>22</v>
      </c>
      <c r="H1377" t="s">
        <v>23</v>
      </c>
      <c r="I1377">
        <v>58</v>
      </c>
      <c r="J1377">
        <v>2</v>
      </c>
      <c r="K1377">
        <v>2564</v>
      </c>
      <c r="L1377">
        <v>5128</v>
      </c>
      <c r="M1377" t="s">
        <v>51</v>
      </c>
      <c r="N1377">
        <v>1</v>
      </c>
      <c r="O1377" t="s">
        <v>31</v>
      </c>
    </row>
    <row r="1378" spans="1:15" x14ac:dyDescent="0.35">
      <c r="A1378">
        <v>2377</v>
      </c>
      <c r="B1378" t="s">
        <v>986</v>
      </c>
      <c r="C1378" s="1">
        <v>45437</v>
      </c>
      <c r="D1378" s="1">
        <v>45471</v>
      </c>
      <c r="E1378" s="1">
        <v>45475</v>
      </c>
      <c r="F1378" t="s">
        <v>38</v>
      </c>
      <c r="G1378" t="s">
        <v>39</v>
      </c>
      <c r="H1378" t="s">
        <v>23</v>
      </c>
      <c r="I1378">
        <v>34</v>
      </c>
      <c r="J1378">
        <v>4</v>
      </c>
      <c r="K1378">
        <v>3799</v>
      </c>
      <c r="L1378">
        <v>15196</v>
      </c>
      <c r="M1378" t="s">
        <v>51</v>
      </c>
      <c r="N1378">
        <v>1</v>
      </c>
      <c r="O1378" t="s">
        <v>31</v>
      </c>
    </row>
    <row r="1379" spans="1:15" x14ac:dyDescent="0.35">
      <c r="A1379">
        <v>2378</v>
      </c>
      <c r="B1379" t="s">
        <v>987</v>
      </c>
      <c r="C1379" s="1">
        <v>45615</v>
      </c>
      <c r="D1379" s="1">
        <v>45674</v>
      </c>
      <c r="E1379" s="1">
        <v>45676</v>
      </c>
      <c r="F1379" t="s">
        <v>29</v>
      </c>
      <c r="G1379" t="s">
        <v>39</v>
      </c>
      <c r="H1379" t="s">
        <v>46</v>
      </c>
      <c r="I1379">
        <v>59</v>
      </c>
      <c r="J1379">
        <v>2</v>
      </c>
      <c r="K1379">
        <v>7420</v>
      </c>
      <c r="L1379">
        <v>14840</v>
      </c>
      <c r="M1379" t="s">
        <v>24</v>
      </c>
      <c r="N1379">
        <v>1</v>
      </c>
      <c r="O1379" t="s">
        <v>25</v>
      </c>
    </row>
    <row r="1380" spans="1:15" x14ac:dyDescent="0.35">
      <c r="A1380">
        <v>2379</v>
      </c>
      <c r="B1380" t="s">
        <v>268</v>
      </c>
      <c r="C1380" s="1">
        <v>45452</v>
      </c>
      <c r="D1380" s="1">
        <v>45472</v>
      </c>
      <c r="E1380" s="1">
        <v>45477</v>
      </c>
      <c r="F1380" t="s">
        <v>38</v>
      </c>
      <c r="G1380" t="s">
        <v>22</v>
      </c>
      <c r="H1380" t="s">
        <v>46</v>
      </c>
      <c r="I1380">
        <v>20</v>
      </c>
      <c r="J1380">
        <v>5</v>
      </c>
      <c r="K1380">
        <v>8882</v>
      </c>
      <c r="L1380">
        <v>44410</v>
      </c>
      <c r="M1380" t="s">
        <v>24</v>
      </c>
      <c r="N1380">
        <v>1</v>
      </c>
      <c r="O1380" t="s">
        <v>25</v>
      </c>
    </row>
    <row r="1381" spans="1:15" x14ac:dyDescent="0.35">
      <c r="A1381">
        <v>2380</v>
      </c>
      <c r="B1381" t="s">
        <v>310</v>
      </c>
      <c r="C1381" s="1">
        <v>45418</v>
      </c>
      <c r="D1381" s="1">
        <v>45468</v>
      </c>
      <c r="E1381" s="1">
        <v>45472</v>
      </c>
      <c r="F1381" t="s">
        <v>60</v>
      </c>
      <c r="G1381" t="s">
        <v>22</v>
      </c>
      <c r="H1381" t="s">
        <v>46</v>
      </c>
      <c r="I1381">
        <v>50</v>
      </c>
      <c r="J1381">
        <v>4</v>
      </c>
      <c r="K1381">
        <v>8945</v>
      </c>
      <c r="L1381">
        <v>35780</v>
      </c>
      <c r="M1381" t="s">
        <v>24</v>
      </c>
      <c r="N1381">
        <v>1</v>
      </c>
      <c r="O1381" t="s">
        <v>31</v>
      </c>
    </row>
    <row r="1382" spans="1:15" x14ac:dyDescent="0.35">
      <c r="A1382">
        <v>2381</v>
      </c>
      <c r="B1382" t="s">
        <v>988</v>
      </c>
      <c r="C1382" s="1">
        <v>45373</v>
      </c>
      <c r="D1382" s="1">
        <v>45411</v>
      </c>
      <c r="E1382" s="1">
        <v>45415</v>
      </c>
      <c r="F1382" t="s">
        <v>38</v>
      </c>
      <c r="G1382" t="s">
        <v>39</v>
      </c>
      <c r="H1382" t="s">
        <v>23</v>
      </c>
      <c r="I1382">
        <v>38</v>
      </c>
      <c r="J1382">
        <v>4</v>
      </c>
      <c r="K1382">
        <v>3915</v>
      </c>
      <c r="L1382">
        <v>15660</v>
      </c>
      <c r="M1382" t="s">
        <v>24</v>
      </c>
      <c r="N1382">
        <v>1</v>
      </c>
      <c r="O1382" t="s">
        <v>25</v>
      </c>
    </row>
    <row r="1383" spans="1:15" x14ac:dyDescent="0.35">
      <c r="A1383">
        <v>2382</v>
      </c>
      <c r="B1383" t="s">
        <v>989</v>
      </c>
      <c r="C1383" s="1">
        <v>45438</v>
      </c>
      <c r="D1383" s="1">
        <v>45462</v>
      </c>
      <c r="E1383" s="1">
        <v>45464</v>
      </c>
      <c r="F1383" t="s">
        <v>60</v>
      </c>
      <c r="G1383" t="s">
        <v>22</v>
      </c>
      <c r="H1383" t="s">
        <v>23</v>
      </c>
      <c r="I1383">
        <v>24</v>
      </c>
      <c r="J1383">
        <v>2</v>
      </c>
      <c r="K1383">
        <v>6093</v>
      </c>
      <c r="L1383">
        <v>12186</v>
      </c>
      <c r="M1383" t="s">
        <v>24</v>
      </c>
      <c r="N1383">
        <v>0</v>
      </c>
      <c r="O1383" t="s">
        <v>25</v>
      </c>
    </row>
    <row r="1384" spans="1:15" x14ac:dyDescent="0.35">
      <c r="A1384">
        <v>2383</v>
      </c>
      <c r="B1384" t="s">
        <v>990</v>
      </c>
      <c r="C1384" s="1">
        <v>45530</v>
      </c>
      <c r="D1384" s="1">
        <v>45540</v>
      </c>
      <c r="E1384" s="1">
        <v>45542</v>
      </c>
      <c r="F1384" t="s">
        <v>38</v>
      </c>
      <c r="G1384" t="s">
        <v>39</v>
      </c>
      <c r="H1384" t="s">
        <v>46</v>
      </c>
      <c r="I1384">
        <v>10</v>
      </c>
      <c r="J1384">
        <v>2</v>
      </c>
      <c r="K1384">
        <v>3468</v>
      </c>
      <c r="L1384">
        <v>6936</v>
      </c>
      <c r="M1384" t="s">
        <v>51</v>
      </c>
      <c r="N1384">
        <v>1</v>
      </c>
      <c r="O1384" t="s">
        <v>25</v>
      </c>
    </row>
    <row r="1385" spans="1:15" x14ac:dyDescent="0.35">
      <c r="A1385">
        <v>2384</v>
      </c>
      <c r="B1385" t="s">
        <v>821</v>
      </c>
      <c r="C1385" s="1">
        <v>45375</v>
      </c>
      <c r="D1385" s="1">
        <v>45407</v>
      </c>
      <c r="E1385" s="1">
        <v>45408</v>
      </c>
      <c r="F1385" t="s">
        <v>38</v>
      </c>
      <c r="G1385" t="s">
        <v>39</v>
      </c>
      <c r="H1385" t="s">
        <v>46</v>
      </c>
      <c r="I1385">
        <v>32</v>
      </c>
      <c r="J1385">
        <v>1</v>
      </c>
      <c r="K1385">
        <v>2868</v>
      </c>
      <c r="L1385">
        <v>2868</v>
      </c>
      <c r="M1385" t="s">
        <v>51</v>
      </c>
      <c r="N1385">
        <v>0</v>
      </c>
      <c r="O1385" t="s">
        <v>31</v>
      </c>
    </row>
    <row r="1386" spans="1:15" x14ac:dyDescent="0.35">
      <c r="A1386">
        <v>2385</v>
      </c>
      <c r="B1386" t="s">
        <v>787</v>
      </c>
      <c r="C1386" s="1">
        <v>45404</v>
      </c>
      <c r="D1386" s="1">
        <v>45456</v>
      </c>
      <c r="E1386" s="1">
        <v>45461</v>
      </c>
      <c r="F1386" t="s">
        <v>35</v>
      </c>
      <c r="G1386" t="s">
        <v>39</v>
      </c>
      <c r="H1386" t="s">
        <v>23</v>
      </c>
      <c r="I1386">
        <v>52</v>
      </c>
      <c r="J1386">
        <v>5</v>
      </c>
      <c r="K1386">
        <v>2732</v>
      </c>
      <c r="L1386">
        <v>13660</v>
      </c>
      <c r="M1386" t="s">
        <v>51</v>
      </c>
      <c r="N1386">
        <v>1</v>
      </c>
      <c r="O1386" t="s">
        <v>31</v>
      </c>
    </row>
    <row r="1387" spans="1:15" x14ac:dyDescent="0.35">
      <c r="A1387">
        <v>2386</v>
      </c>
      <c r="B1387" t="s">
        <v>280</v>
      </c>
      <c r="C1387" s="1">
        <v>45516</v>
      </c>
      <c r="D1387" s="1">
        <v>45531</v>
      </c>
      <c r="E1387" s="1">
        <v>45532</v>
      </c>
      <c r="F1387" t="s">
        <v>29</v>
      </c>
      <c r="G1387" t="s">
        <v>22</v>
      </c>
      <c r="H1387" t="s">
        <v>30</v>
      </c>
      <c r="I1387">
        <v>15</v>
      </c>
      <c r="J1387">
        <v>1</v>
      </c>
      <c r="K1387">
        <v>4742</v>
      </c>
      <c r="L1387">
        <v>4742</v>
      </c>
      <c r="M1387" t="s">
        <v>24</v>
      </c>
      <c r="N1387">
        <v>1</v>
      </c>
      <c r="O1387" t="s">
        <v>25</v>
      </c>
    </row>
    <row r="1388" spans="1:15" x14ac:dyDescent="0.35">
      <c r="A1388">
        <v>2387</v>
      </c>
      <c r="B1388" t="s">
        <v>605</v>
      </c>
      <c r="C1388" s="1">
        <v>45623</v>
      </c>
      <c r="D1388" s="1">
        <v>45660</v>
      </c>
      <c r="E1388" s="1">
        <v>45664</v>
      </c>
      <c r="F1388" t="s">
        <v>38</v>
      </c>
      <c r="G1388" t="s">
        <v>22</v>
      </c>
      <c r="H1388" t="s">
        <v>46</v>
      </c>
      <c r="I1388">
        <v>37</v>
      </c>
      <c r="J1388">
        <v>4</v>
      </c>
      <c r="K1388">
        <v>7502</v>
      </c>
      <c r="L1388">
        <v>30008</v>
      </c>
      <c r="M1388" t="s">
        <v>51</v>
      </c>
      <c r="N1388">
        <v>1</v>
      </c>
      <c r="O1388" t="s">
        <v>25</v>
      </c>
    </row>
    <row r="1389" spans="1:15" x14ac:dyDescent="0.35">
      <c r="A1389">
        <v>2388</v>
      </c>
      <c r="B1389" t="s">
        <v>991</v>
      </c>
      <c r="C1389" s="1">
        <v>45534</v>
      </c>
      <c r="D1389" s="1">
        <v>45554</v>
      </c>
      <c r="E1389" s="1">
        <v>45556</v>
      </c>
      <c r="F1389" t="s">
        <v>21</v>
      </c>
      <c r="G1389" t="s">
        <v>39</v>
      </c>
      <c r="H1389" t="s">
        <v>23</v>
      </c>
      <c r="I1389">
        <v>20</v>
      </c>
      <c r="J1389">
        <v>2</v>
      </c>
      <c r="K1389">
        <v>5583</v>
      </c>
      <c r="L1389">
        <v>11166</v>
      </c>
      <c r="M1389" t="s">
        <v>51</v>
      </c>
      <c r="N1389">
        <v>0</v>
      </c>
      <c r="O1389" t="s">
        <v>25</v>
      </c>
    </row>
    <row r="1390" spans="1:15" x14ac:dyDescent="0.35">
      <c r="A1390">
        <v>2389</v>
      </c>
      <c r="B1390" t="s">
        <v>992</v>
      </c>
      <c r="C1390" s="1">
        <v>45434</v>
      </c>
      <c r="D1390" s="1">
        <v>45437</v>
      </c>
      <c r="E1390" s="1">
        <v>45441</v>
      </c>
      <c r="F1390" t="s">
        <v>35</v>
      </c>
      <c r="G1390" t="s">
        <v>22</v>
      </c>
      <c r="H1390" t="s">
        <v>23</v>
      </c>
      <c r="I1390">
        <v>3</v>
      </c>
      <c r="J1390">
        <v>4</v>
      </c>
      <c r="K1390">
        <v>3420</v>
      </c>
      <c r="L1390">
        <v>13680</v>
      </c>
      <c r="M1390" t="s">
        <v>51</v>
      </c>
      <c r="N1390">
        <v>0</v>
      </c>
      <c r="O1390" t="s">
        <v>31</v>
      </c>
    </row>
    <row r="1391" spans="1:15" x14ac:dyDescent="0.35">
      <c r="A1391">
        <v>2390</v>
      </c>
      <c r="B1391" t="s">
        <v>214</v>
      </c>
      <c r="C1391" s="1">
        <v>45332</v>
      </c>
      <c r="D1391" s="1">
        <v>45369</v>
      </c>
      <c r="E1391" s="1">
        <v>45373</v>
      </c>
      <c r="F1391" t="s">
        <v>29</v>
      </c>
      <c r="G1391" t="s">
        <v>22</v>
      </c>
      <c r="H1391" t="s">
        <v>46</v>
      </c>
      <c r="I1391">
        <v>37</v>
      </c>
      <c r="J1391">
        <v>4</v>
      </c>
      <c r="K1391">
        <v>3188</v>
      </c>
      <c r="L1391">
        <v>12752</v>
      </c>
      <c r="M1391" t="s">
        <v>24</v>
      </c>
      <c r="N1391">
        <v>0</v>
      </c>
      <c r="O1391" t="s">
        <v>25</v>
      </c>
    </row>
    <row r="1392" spans="1:15" x14ac:dyDescent="0.35">
      <c r="A1392">
        <v>2391</v>
      </c>
      <c r="B1392" t="s">
        <v>720</v>
      </c>
      <c r="C1392" s="1">
        <v>45549</v>
      </c>
      <c r="D1392" s="1">
        <v>45606</v>
      </c>
      <c r="E1392" s="1">
        <v>45609</v>
      </c>
      <c r="F1392" t="s">
        <v>35</v>
      </c>
      <c r="G1392" t="s">
        <v>39</v>
      </c>
      <c r="H1392" t="s">
        <v>30</v>
      </c>
      <c r="I1392">
        <v>57</v>
      </c>
      <c r="J1392">
        <v>3</v>
      </c>
      <c r="K1392">
        <v>6772</v>
      </c>
      <c r="L1392">
        <v>20316</v>
      </c>
      <c r="M1392" t="s">
        <v>51</v>
      </c>
      <c r="N1392">
        <v>1</v>
      </c>
      <c r="O1392" t="s">
        <v>25</v>
      </c>
    </row>
    <row r="1393" spans="1:15" x14ac:dyDescent="0.35">
      <c r="A1393">
        <v>2392</v>
      </c>
      <c r="B1393" t="s">
        <v>446</v>
      </c>
      <c r="C1393" s="1">
        <v>45576</v>
      </c>
      <c r="D1393" s="1">
        <v>45616</v>
      </c>
      <c r="E1393" s="1">
        <v>45619</v>
      </c>
      <c r="F1393" t="s">
        <v>29</v>
      </c>
      <c r="G1393" t="s">
        <v>22</v>
      </c>
      <c r="H1393" t="s">
        <v>23</v>
      </c>
      <c r="I1393">
        <v>40</v>
      </c>
      <c r="J1393">
        <v>3</v>
      </c>
      <c r="K1393">
        <v>8860</v>
      </c>
      <c r="L1393">
        <v>26580</v>
      </c>
      <c r="M1393" t="s">
        <v>51</v>
      </c>
      <c r="N1393">
        <v>1</v>
      </c>
      <c r="O1393" t="s">
        <v>31</v>
      </c>
    </row>
    <row r="1394" spans="1:15" x14ac:dyDescent="0.35">
      <c r="A1394">
        <v>2393</v>
      </c>
      <c r="B1394" t="s">
        <v>799</v>
      </c>
      <c r="C1394" s="1">
        <v>45396</v>
      </c>
      <c r="D1394" s="1">
        <v>45404</v>
      </c>
      <c r="E1394" s="1">
        <v>45408</v>
      </c>
      <c r="F1394" t="s">
        <v>60</v>
      </c>
      <c r="G1394" t="s">
        <v>22</v>
      </c>
      <c r="H1394" t="s">
        <v>46</v>
      </c>
      <c r="I1394">
        <v>8</v>
      </c>
      <c r="J1394">
        <v>4</v>
      </c>
      <c r="K1394">
        <v>7630</v>
      </c>
      <c r="L1394">
        <v>30520</v>
      </c>
      <c r="M1394" t="s">
        <v>24</v>
      </c>
      <c r="N1394">
        <v>0</v>
      </c>
      <c r="O1394" t="s">
        <v>25</v>
      </c>
    </row>
    <row r="1395" spans="1:15" x14ac:dyDescent="0.35">
      <c r="A1395">
        <v>2394</v>
      </c>
      <c r="B1395" t="s">
        <v>402</v>
      </c>
      <c r="C1395" s="1">
        <v>45493</v>
      </c>
      <c r="D1395" s="1">
        <v>45533</v>
      </c>
      <c r="E1395" s="1">
        <v>45535</v>
      </c>
      <c r="F1395" t="s">
        <v>38</v>
      </c>
      <c r="G1395" t="s">
        <v>39</v>
      </c>
      <c r="H1395" t="s">
        <v>23</v>
      </c>
      <c r="I1395">
        <v>40</v>
      </c>
      <c r="J1395">
        <v>2</v>
      </c>
      <c r="K1395">
        <v>3969</v>
      </c>
      <c r="L1395">
        <v>7938</v>
      </c>
      <c r="M1395" t="s">
        <v>24</v>
      </c>
      <c r="N1395">
        <v>1</v>
      </c>
      <c r="O1395" t="s">
        <v>31</v>
      </c>
    </row>
    <row r="1396" spans="1:15" x14ac:dyDescent="0.35">
      <c r="A1396">
        <v>2395</v>
      </c>
      <c r="B1396" t="s">
        <v>993</v>
      </c>
      <c r="C1396" s="1">
        <v>45598</v>
      </c>
      <c r="D1396" s="1">
        <v>45642</v>
      </c>
      <c r="E1396" s="1">
        <v>45646</v>
      </c>
      <c r="F1396" t="s">
        <v>21</v>
      </c>
      <c r="G1396" t="s">
        <v>22</v>
      </c>
      <c r="H1396" t="s">
        <v>23</v>
      </c>
      <c r="I1396">
        <v>44</v>
      </c>
      <c r="J1396">
        <v>4</v>
      </c>
      <c r="K1396">
        <v>7225</v>
      </c>
      <c r="L1396">
        <v>28900</v>
      </c>
      <c r="M1396" t="s">
        <v>51</v>
      </c>
      <c r="N1396">
        <v>1</v>
      </c>
      <c r="O1396" t="s">
        <v>31</v>
      </c>
    </row>
    <row r="1397" spans="1:15" x14ac:dyDescent="0.35">
      <c r="A1397">
        <v>2396</v>
      </c>
      <c r="B1397" t="s">
        <v>994</v>
      </c>
      <c r="C1397" s="1">
        <v>45622</v>
      </c>
      <c r="D1397" s="1">
        <v>45678</v>
      </c>
      <c r="E1397" s="1">
        <v>45681</v>
      </c>
      <c r="F1397" t="s">
        <v>35</v>
      </c>
      <c r="G1397" t="s">
        <v>39</v>
      </c>
      <c r="H1397" t="s">
        <v>23</v>
      </c>
      <c r="I1397">
        <v>56</v>
      </c>
      <c r="J1397">
        <v>3</v>
      </c>
      <c r="K1397">
        <v>6759</v>
      </c>
      <c r="L1397">
        <v>20277</v>
      </c>
      <c r="M1397" t="s">
        <v>24</v>
      </c>
      <c r="N1397">
        <v>0</v>
      </c>
      <c r="O1397" t="s">
        <v>31</v>
      </c>
    </row>
    <row r="1398" spans="1:15" x14ac:dyDescent="0.35">
      <c r="A1398">
        <v>2397</v>
      </c>
      <c r="B1398" t="s">
        <v>202</v>
      </c>
      <c r="C1398" s="1">
        <v>45557</v>
      </c>
      <c r="D1398" s="1">
        <v>45580</v>
      </c>
      <c r="E1398" s="1">
        <v>45582</v>
      </c>
      <c r="F1398" t="s">
        <v>35</v>
      </c>
      <c r="G1398" t="s">
        <v>22</v>
      </c>
      <c r="H1398" t="s">
        <v>23</v>
      </c>
      <c r="I1398">
        <v>23</v>
      </c>
      <c r="J1398">
        <v>2</v>
      </c>
      <c r="K1398">
        <v>6122</v>
      </c>
      <c r="L1398">
        <v>12244</v>
      </c>
      <c r="M1398" t="s">
        <v>51</v>
      </c>
      <c r="N1398">
        <v>1</v>
      </c>
      <c r="O1398" t="s">
        <v>25</v>
      </c>
    </row>
    <row r="1399" spans="1:15" x14ac:dyDescent="0.35">
      <c r="A1399">
        <v>2398</v>
      </c>
      <c r="B1399" t="s">
        <v>633</v>
      </c>
      <c r="C1399" s="1">
        <v>45501</v>
      </c>
      <c r="D1399" s="1">
        <v>45541</v>
      </c>
      <c r="E1399" s="1">
        <v>45545</v>
      </c>
      <c r="F1399" t="s">
        <v>35</v>
      </c>
      <c r="G1399" t="s">
        <v>22</v>
      </c>
      <c r="H1399" t="s">
        <v>30</v>
      </c>
      <c r="I1399">
        <v>40</v>
      </c>
      <c r="J1399">
        <v>4</v>
      </c>
      <c r="K1399">
        <v>4600</v>
      </c>
      <c r="L1399">
        <v>18400</v>
      </c>
      <c r="M1399" t="s">
        <v>24</v>
      </c>
      <c r="N1399">
        <v>0</v>
      </c>
      <c r="O1399" t="s">
        <v>25</v>
      </c>
    </row>
    <row r="1400" spans="1:15" x14ac:dyDescent="0.35">
      <c r="A1400">
        <v>2399</v>
      </c>
      <c r="B1400" t="s">
        <v>706</v>
      </c>
      <c r="C1400" s="1">
        <v>45342</v>
      </c>
      <c r="D1400" s="1">
        <v>45353</v>
      </c>
      <c r="E1400" s="1">
        <v>45358</v>
      </c>
      <c r="F1400" t="s">
        <v>35</v>
      </c>
      <c r="G1400" t="s">
        <v>39</v>
      </c>
      <c r="H1400" t="s">
        <v>46</v>
      </c>
      <c r="I1400">
        <v>11</v>
      </c>
      <c r="J1400">
        <v>5</v>
      </c>
      <c r="K1400">
        <v>4765</v>
      </c>
      <c r="L1400">
        <v>23825</v>
      </c>
      <c r="M1400" t="s">
        <v>51</v>
      </c>
      <c r="N1400">
        <v>1</v>
      </c>
      <c r="O1400" t="s">
        <v>31</v>
      </c>
    </row>
    <row r="1401" spans="1:15" x14ac:dyDescent="0.35">
      <c r="A1401">
        <v>2400</v>
      </c>
      <c r="B1401" t="s">
        <v>995</v>
      </c>
      <c r="C1401" s="1">
        <v>45409</v>
      </c>
      <c r="D1401" s="1">
        <v>45455</v>
      </c>
      <c r="E1401" s="1">
        <v>45460</v>
      </c>
      <c r="F1401" t="s">
        <v>38</v>
      </c>
      <c r="G1401" t="s">
        <v>39</v>
      </c>
      <c r="H1401" t="s">
        <v>46</v>
      </c>
      <c r="I1401">
        <v>46</v>
      </c>
      <c r="J1401">
        <v>5</v>
      </c>
      <c r="K1401">
        <v>6289</v>
      </c>
      <c r="L1401">
        <v>31445</v>
      </c>
      <c r="M1401" t="s">
        <v>51</v>
      </c>
      <c r="N1401">
        <v>1</v>
      </c>
      <c r="O1401" t="s">
        <v>25</v>
      </c>
    </row>
    <row r="1402" spans="1:15" x14ac:dyDescent="0.35">
      <c r="A1402">
        <v>2401</v>
      </c>
      <c r="B1402" t="s">
        <v>996</v>
      </c>
      <c r="C1402" s="1">
        <v>45492</v>
      </c>
      <c r="D1402" s="1">
        <v>45500</v>
      </c>
      <c r="E1402" s="1">
        <v>45504</v>
      </c>
      <c r="F1402" t="s">
        <v>29</v>
      </c>
      <c r="G1402" t="s">
        <v>22</v>
      </c>
      <c r="H1402" t="s">
        <v>46</v>
      </c>
      <c r="I1402">
        <v>8</v>
      </c>
      <c r="J1402">
        <v>4</v>
      </c>
      <c r="K1402">
        <v>3323</v>
      </c>
      <c r="L1402">
        <v>13292</v>
      </c>
      <c r="M1402" t="s">
        <v>24</v>
      </c>
      <c r="N1402">
        <v>1</v>
      </c>
      <c r="O1402" t="s">
        <v>31</v>
      </c>
    </row>
    <row r="1403" spans="1:15" x14ac:dyDescent="0.35">
      <c r="A1403">
        <v>2402</v>
      </c>
      <c r="B1403" t="s">
        <v>997</v>
      </c>
      <c r="C1403" s="1">
        <v>45330</v>
      </c>
      <c r="D1403" s="1">
        <v>45359</v>
      </c>
      <c r="E1403" s="1">
        <v>45361</v>
      </c>
      <c r="F1403" t="s">
        <v>38</v>
      </c>
      <c r="G1403" t="s">
        <v>39</v>
      </c>
      <c r="H1403" t="s">
        <v>46</v>
      </c>
      <c r="I1403">
        <v>29</v>
      </c>
      <c r="J1403">
        <v>2</v>
      </c>
      <c r="K1403">
        <v>5931</v>
      </c>
      <c r="L1403">
        <v>11862</v>
      </c>
      <c r="M1403" t="s">
        <v>24</v>
      </c>
      <c r="N1403">
        <v>0</v>
      </c>
      <c r="O1403" t="s">
        <v>25</v>
      </c>
    </row>
    <row r="1404" spans="1:15" x14ac:dyDescent="0.35">
      <c r="A1404">
        <v>2403</v>
      </c>
      <c r="B1404" t="s">
        <v>904</v>
      </c>
      <c r="C1404" s="1">
        <v>45319</v>
      </c>
      <c r="D1404" s="1">
        <v>45349</v>
      </c>
      <c r="E1404" s="1">
        <v>45353</v>
      </c>
      <c r="F1404" t="s">
        <v>60</v>
      </c>
      <c r="G1404" t="s">
        <v>39</v>
      </c>
      <c r="H1404" t="s">
        <v>46</v>
      </c>
      <c r="I1404">
        <v>30</v>
      </c>
      <c r="J1404">
        <v>4</v>
      </c>
      <c r="K1404">
        <v>6651</v>
      </c>
      <c r="L1404">
        <v>26604</v>
      </c>
      <c r="M1404" t="s">
        <v>24</v>
      </c>
      <c r="N1404">
        <v>1</v>
      </c>
      <c r="O1404" t="s">
        <v>31</v>
      </c>
    </row>
    <row r="1405" spans="1:15" x14ac:dyDescent="0.35">
      <c r="A1405">
        <v>2404</v>
      </c>
      <c r="B1405" t="s">
        <v>594</v>
      </c>
      <c r="C1405" s="1">
        <v>45550</v>
      </c>
      <c r="D1405" s="1">
        <v>45606</v>
      </c>
      <c r="E1405" s="1">
        <v>45610</v>
      </c>
      <c r="F1405" t="s">
        <v>38</v>
      </c>
      <c r="G1405" t="s">
        <v>22</v>
      </c>
      <c r="H1405" t="s">
        <v>30</v>
      </c>
      <c r="I1405">
        <v>56</v>
      </c>
      <c r="J1405">
        <v>4</v>
      </c>
      <c r="K1405">
        <v>6713</v>
      </c>
      <c r="L1405">
        <v>26852</v>
      </c>
      <c r="M1405" t="s">
        <v>24</v>
      </c>
      <c r="N1405">
        <v>1</v>
      </c>
      <c r="O1405" t="s">
        <v>31</v>
      </c>
    </row>
    <row r="1406" spans="1:15" x14ac:dyDescent="0.35">
      <c r="A1406">
        <v>2405</v>
      </c>
      <c r="B1406" t="s">
        <v>926</v>
      </c>
      <c r="C1406" s="1">
        <v>45375</v>
      </c>
      <c r="D1406" s="1">
        <v>45385</v>
      </c>
      <c r="E1406" s="1">
        <v>45388</v>
      </c>
      <c r="F1406" t="s">
        <v>38</v>
      </c>
      <c r="G1406" t="s">
        <v>39</v>
      </c>
      <c r="H1406" t="s">
        <v>23</v>
      </c>
      <c r="I1406">
        <v>10</v>
      </c>
      <c r="J1406">
        <v>3</v>
      </c>
      <c r="K1406">
        <v>3297</v>
      </c>
      <c r="L1406">
        <v>9891</v>
      </c>
      <c r="M1406" t="s">
        <v>51</v>
      </c>
      <c r="N1406">
        <v>0</v>
      </c>
      <c r="O1406" t="s">
        <v>25</v>
      </c>
    </row>
    <row r="1407" spans="1:15" x14ac:dyDescent="0.35">
      <c r="A1407">
        <v>2406</v>
      </c>
      <c r="B1407" t="s">
        <v>375</v>
      </c>
      <c r="C1407" s="1">
        <v>45446</v>
      </c>
      <c r="D1407" s="1">
        <v>45485</v>
      </c>
      <c r="E1407" s="1">
        <v>45490</v>
      </c>
      <c r="F1407" t="s">
        <v>60</v>
      </c>
      <c r="G1407" t="s">
        <v>22</v>
      </c>
      <c r="H1407" t="s">
        <v>23</v>
      </c>
      <c r="I1407">
        <v>39</v>
      </c>
      <c r="J1407">
        <v>5</v>
      </c>
      <c r="K1407">
        <v>3279</v>
      </c>
      <c r="L1407">
        <v>16395</v>
      </c>
      <c r="M1407" t="s">
        <v>24</v>
      </c>
      <c r="N1407">
        <v>1</v>
      </c>
      <c r="O1407" t="s">
        <v>25</v>
      </c>
    </row>
    <row r="1408" spans="1:15" x14ac:dyDescent="0.35">
      <c r="A1408">
        <v>2407</v>
      </c>
      <c r="B1408" t="s">
        <v>998</v>
      </c>
      <c r="C1408" s="1">
        <v>45408</v>
      </c>
      <c r="D1408" s="1">
        <v>45436</v>
      </c>
      <c r="E1408" s="1">
        <v>45439</v>
      </c>
      <c r="F1408" t="s">
        <v>38</v>
      </c>
      <c r="G1408" t="s">
        <v>22</v>
      </c>
      <c r="H1408" t="s">
        <v>46</v>
      </c>
      <c r="I1408">
        <v>28</v>
      </c>
      <c r="J1408">
        <v>3</v>
      </c>
      <c r="K1408">
        <v>5350</v>
      </c>
      <c r="L1408">
        <v>16050</v>
      </c>
      <c r="M1408" t="s">
        <v>51</v>
      </c>
      <c r="N1408">
        <v>0</v>
      </c>
      <c r="O1408" t="s">
        <v>25</v>
      </c>
    </row>
    <row r="1409" spans="1:15" x14ac:dyDescent="0.35">
      <c r="A1409">
        <v>2408</v>
      </c>
      <c r="B1409" t="s">
        <v>254</v>
      </c>
      <c r="C1409" s="1">
        <v>45293</v>
      </c>
      <c r="D1409" s="1">
        <v>45342</v>
      </c>
      <c r="E1409" s="1">
        <v>45345</v>
      </c>
      <c r="F1409" t="s">
        <v>29</v>
      </c>
      <c r="G1409" t="s">
        <v>39</v>
      </c>
      <c r="H1409" t="s">
        <v>23</v>
      </c>
      <c r="I1409">
        <v>49</v>
      </c>
      <c r="J1409">
        <v>3</v>
      </c>
      <c r="K1409">
        <v>5392</v>
      </c>
      <c r="L1409">
        <v>16176</v>
      </c>
      <c r="M1409" t="s">
        <v>51</v>
      </c>
      <c r="N1409">
        <v>1</v>
      </c>
      <c r="O1409" t="s">
        <v>25</v>
      </c>
    </row>
    <row r="1410" spans="1:15" x14ac:dyDescent="0.35">
      <c r="A1410">
        <v>2409</v>
      </c>
      <c r="B1410" t="s">
        <v>999</v>
      </c>
      <c r="C1410" s="1">
        <v>45384</v>
      </c>
      <c r="D1410" s="1">
        <v>45420</v>
      </c>
      <c r="E1410" s="1">
        <v>45424</v>
      </c>
      <c r="F1410" t="s">
        <v>21</v>
      </c>
      <c r="G1410" t="s">
        <v>22</v>
      </c>
      <c r="H1410" t="s">
        <v>23</v>
      </c>
      <c r="I1410">
        <v>36</v>
      </c>
      <c r="J1410">
        <v>4</v>
      </c>
      <c r="K1410">
        <v>8034</v>
      </c>
      <c r="L1410">
        <v>32136</v>
      </c>
      <c r="M1410" t="s">
        <v>51</v>
      </c>
      <c r="N1410">
        <v>1</v>
      </c>
      <c r="O1410" t="s">
        <v>31</v>
      </c>
    </row>
    <row r="1411" spans="1:15" x14ac:dyDescent="0.35">
      <c r="A1411">
        <v>2410</v>
      </c>
      <c r="B1411" t="s">
        <v>1000</v>
      </c>
      <c r="C1411" s="1">
        <v>45457</v>
      </c>
      <c r="D1411" s="1">
        <v>45470</v>
      </c>
      <c r="E1411" s="1">
        <v>45473</v>
      </c>
      <c r="F1411" t="s">
        <v>60</v>
      </c>
      <c r="G1411" t="s">
        <v>39</v>
      </c>
      <c r="H1411" t="s">
        <v>23</v>
      </c>
      <c r="I1411">
        <v>13</v>
      </c>
      <c r="J1411">
        <v>3</v>
      </c>
      <c r="K1411">
        <v>4393</v>
      </c>
      <c r="L1411">
        <v>13179</v>
      </c>
      <c r="M1411" t="s">
        <v>24</v>
      </c>
      <c r="N1411">
        <v>0</v>
      </c>
      <c r="O1411" t="s">
        <v>31</v>
      </c>
    </row>
    <row r="1412" spans="1:15" x14ac:dyDescent="0.35">
      <c r="A1412">
        <v>2411</v>
      </c>
      <c r="B1412" t="s">
        <v>992</v>
      </c>
      <c r="C1412" s="1">
        <v>45641</v>
      </c>
      <c r="D1412" s="1">
        <v>45673</v>
      </c>
      <c r="E1412" s="1">
        <v>45678</v>
      </c>
      <c r="F1412" t="s">
        <v>35</v>
      </c>
      <c r="G1412" t="s">
        <v>22</v>
      </c>
      <c r="H1412" t="s">
        <v>46</v>
      </c>
      <c r="I1412">
        <v>32</v>
      </c>
      <c r="J1412">
        <v>5</v>
      </c>
      <c r="K1412">
        <v>5806</v>
      </c>
      <c r="L1412">
        <v>29030</v>
      </c>
      <c r="M1412" t="s">
        <v>51</v>
      </c>
      <c r="N1412">
        <v>0</v>
      </c>
      <c r="O1412" t="s">
        <v>25</v>
      </c>
    </row>
    <row r="1413" spans="1:15" x14ac:dyDescent="0.35">
      <c r="A1413">
        <v>2412</v>
      </c>
      <c r="B1413" t="s">
        <v>712</v>
      </c>
      <c r="C1413" s="1">
        <v>45587</v>
      </c>
      <c r="D1413" s="1">
        <v>45623</v>
      </c>
      <c r="E1413" s="1">
        <v>45626</v>
      </c>
      <c r="F1413" t="s">
        <v>29</v>
      </c>
      <c r="G1413" t="s">
        <v>39</v>
      </c>
      <c r="H1413" t="s">
        <v>46</v>
      </c>
      <c r="I1413">
        <v>36</v>
      </c>
      <c r="J1413">
        <v>3</v>
      </c>
      <c r="K1413">
        <v>5402</v>
      </c>
      <c r="L1413">
        <v>16206</v>
      </c>
      <c r="M1413" t="s">
        <v>51</v>
      </c>
      <c r="N1413">
        <v>0</v>
      </c>
      <c r="O1413" t="s">
        <v>25</v>
      </c>
    </row>
    <row r="1414" spans="1:15" x14ac:dyDescent="0.35">
      <c r="A1414">
        <v>2413</v>
      </c>
      <c r="B1414" t="s">
        <v>865</v>
      </c>
      <c r="C1414" s="1">
        <v>45549</v>
      </c>
      <c r="D1414" s="1">
        <v>45586</v>
      </c>
      <c r="E1414" s="1">
        <v>45591</v>
      </c>
      <c r="F1414" t="s">
        <v>21</v>
      </c>
      <c r="G1414" t="s">
        <v>39</v>
      </c>
      <c r="H1414" t="s">
        <v>30</v>
      </c>
      <c r="I1414">
        <v>37</v>
      </c>
      <c r="J1414">
        <v>5</v>
      </c>
      <c r="K1414">
        <v>7303</v>
      </c>
      <c r="L1414">
        <v>36515</v>
      </c>
      <c r="M1414" t="s">
        <v>24</v>
      </c>
      <c r="N1414">
        <v>0</v>
      </c>
      <c r="O1414" t="s">
        <v>31</v>
      </c>
    </row>
    <row r="1415" spans="1:15" x14ac:dyDescent="0.35">
      <c r="A1415">
        <v>2414</v>
      </c>
      <c r="B1415" t="s">
        <v>572</v>
      </c>
      <c r="C1415" s="1">
        <v>45372</v>
      </c>
      <c r="D1415" s="1">
        <v>45398</v>
      </c>
      <c r="E1415" s="1">
        <v>45401</v>
      </c>
      <c r="F1415" t="s">
        <v>29</v>
      </c>
      <c r="G1415" t="s">
        <v>22</v>
      </c>
      <c r="H1415" t="s">
        <v>46</v>
      </c>
      <c r="I1415">
        <v>26</v>
      </c>
      <c r="J1415">
        <v>3</v>
      </c>
      <c r="K1415">
        <v>7699</v>
      </c>
      <c r="L1415">
        <v>23097</v>
      </c>
      <c r="M1415" t="s">
        <v>51</v>
      </c>
      <c r="N1415">
        <v>0</v>
      </c>
      <c r="O1415" t="s">
        <v>25</v>
      </c>
    </row>
    <row r="1416" spans="1:15" x14ac:dyDescent="0.35">
      <c r="A1416">
        <v>2415</v>
      </c>
      <c r="B1416" t="s">
        <v>1001</v>
      </c>
      <c r="C1416" s="1">
        <v>45559</v>
      </c>
      <c r="D1416" s="1">
        <v>45581</v>
      </c>
      <c r="E1416" s="1">
        <v>45586</v>
      </c>
      <c r="F1416" t="s">
        <v>29</v>
      </c>
      <c r="G1416" t="s">
        <v>39</v>
      </c>
      <c r="H1416" t="s">
        <v>30</v>
      </c>
      <c r="I1416">
        <v>22</v>
      </c>
      <c r="J1416">
        <v>5</v>
      </c>
      <c r="K1416">
        <v>6218</v>
      </c>
      <c r="L1416">
        <v>31090</v>
      </c>
      <c r="M1416" t="s">
        <v>51</v>
      </c>
      <c r="N1416">
        <v>0</v>
      </c>
      <c r="O1416" t="s">
        <v>25</v>
      </c>
    </row>
    <row r="1417" spans="1:15" x14ac:dyDescent="0.35">
      <c r="A1417">
        <v>2416</v>
      </c>
      <c r="B1417" t="s">
        <v>739</v>
      </c>
      <c r="C1417" s="1">
        <v>45526</v>
      </c>
      <c r="D1417" s="1">
        <v>45530</v>
      </c>
      <c r="E1417" s="1">
        <v>45533</v>
      </c>
      <c r="F1417" t="s">
        <v>35</v>
      </c>
      <c r="G1417" t="s">
        <v>39</v>
      </c>
      <c r="H1417" t="s">
        <v>46</v>
      </c>
      <c r="I1417">
        <v>4</v>
      </c>
      <c r="J1417">
        <v>3</v>
      </c>
      <c r="K1417">
        <v>2521</v>
      </c>
      <c r="L1417">
        <v>7563</v>
      </c>
      <c r="M1417" t="s">
        <v>51</v>
      </c>
      <c r="N1417">
        <v>0</v>
      </c>
      <c r="O1417" t="s">
        <v>25</v>
      </c>
    </row>
    <row r="1418" spans="1:15" x14ac:dyDescent="0.35">
      <c r="A1418">
        <v>2417</v>
      </c>
      <c r="B1418" t="s">
        <v>1002</v>
      </c>
      <c r="C1418" s="1">
        <v>45612</v>
      </c>
      <c r="D1418" s="1">
        <v>45643</v>
      </c>
      <c r="E1418" s="1">
        <v>45646</v>
      </c>
      <c r="F1418" t="s">
        <v>21</v>
      </c>
      <c r="G1418" t="s">
        <v>39</v>
      </c>
      <c r="H1418" t="s">
        <v>23</v>
      </c>
      <c r="I1418">
        <v>31</v>
      </c>
      <c r="J1418">
        <v>3</v>
      </c>
      <c r="K1418">
        <v>4000</v>
      </c>
      <c r="L1418">
        <v>12000</v>
      </c>
      <c r="M1418" t="s">
        <v>24</v>
      </c>
      <c r="N1418">
        <v>0</v>
      </c>
      <c r="O1418" t="s">
        <v>25</v>
      </c>
    </row>
    <row r="1419" spans="1:15" x14ac:dyDescent="0.35">
      <c r="A1419">
        <v>2418</v>
      </c>
      <c r="B1419" t="s">
        <v>398</v>
      </c>
      <c r="C1419" s="1">
        <v>45602</v>
      </c>
      <c r="D1419" s="1">
        <v>45620</v>
      </c>
      <c r="E1419" s="1">
        <v>45622</v>
      </c>
      <c r="F1419" t="s">
        <v>29</v>
      </c>
      <c r="G1419" t="s">
        <v>22</v>
      </c>
      <c r="H1419" t="s">
        <v>30</v>
      </c>
      <c r="I1419">
        <v>18</v>
      </c>
      <c r="J1419">
        <v>2</v>
      </c>
      <c r="K1419">
        <v>3342</v>
      </c>
      <c r="L1419">
        <v>6684</v>
      </c>
      <c r="M1419" t="s">
        <v>51</v>
      </c>
      <c r="N1419">
        <v>0</v>
      </c>
      <c r="O1419" t="s">
        <v>31</v>
      </c>
    </row>
    <row r="1420" spans="1:15" x14ac:dyDescent="0.35">
      <c r="A1420">
        <v>2419</v>
      </c>
      <c r="B1420" t="s">
        <v>1003</v>
      </c>
      <c r="C1420" s="1">
        <v>45592</v>
      </c>
      <c r="D1420" s="1">
        <v>45630</v>
      </c>
      <c r="E1420" s="1">
        <v>45635</v>
      </c>
      <c r="F1420" t="s">
        <v>35</v>
      </c>
      <c r="G1420" t="s">
        <v>22</v>
      </c>
      <c r="H1420" t="s">
        <v>30</v>
      </c>
      <c r="I1420">
        <v>38</v>
      </c>
      <c r="J1420">
        <v>5</v>
      </c>
      <c r="K1420">
        <v>4260</v>
      </c>
      <c r="L1420">
        <v>21300</v>
      </c>
      <c r="M1420" t="s">
        <v>51</v>
      </c>
      <c r="N1420">
        <v>1</v>
      </c>
      <c r="O1420" t="s">
        <v>31</v>
      </c>
    </row>
    <row r="1421" spans="1:15" x14ac:dyDescent="0.35">
      <c r="A1421">
        <v>2420</v>
      </c>
      <c r="B1421" t="s">
        <v>475</v>
      </c>
      <c r="C1421" s="1">
        <v>45648</v>
      </c>
      <c r="D1421" s="1">
        <v>45672</v>
      </c>
      <c r="E1421" s="1">
        <v>45677</v>
      </c>
      <c r="F1421" t="s">
        <v>60</v>
      </c>
      <c r="G1421" t="s">
        <v>39</v>
      </c>
      <c r="H1421" t="s">
        <v>30</v>
      </c>
      <c r="I1421">
        <v>24</v>
      </c>
      <c r="J1421">
        <v>5</v>
      </c>
      <c r="K1421">
        <v>6141</v>
      </c>
      <c r="L1421">
        <v>30705</v>
      </c>
      <c r="M1421" t="s">
        <v>51</v>
      </c>
      <c r="N1421">
        <v>0</v>
      </c>
      <c r="O1421" t="s">
        <v>25</v>
      </c>
    </row>
    <row r="1422" spans="1:15" x14ac:dyDescent="0.35">
      <c r="A1422">
        <v>2421</v>
      </c>
      <c r="B1422" t="s">
        <v>887</v>
      </c>
      <c r="C1422" s="1">
        <v>45504</v>
      </c>
      <c r="D1422" s="1">
        <v>45560</v>
      </c>
      <c r="E1422" s="1">
        <v>45565</v>
      </c>
      <c r="F1422" t="s">
        <v>35</v>
      </c>
      <c r="G1422" t="s">
        <v>39</v>
      </c>
      <c r="H1422" t="s">
        <v>46</v>
      </c>
      <c r="I1422">
        <v>56</v>
      </c>
      <c r="J1422">
        <v>5</v>
      </c>
      <c r="K1422">
        <v>7712</v>
      </c>
      <c r="L1422">
        <v>38560</v>
      </c>
      <c r="M1422" t="s">
        <v>24</v>
      </c>
      <c r="N1422">
        <v>1</v>
      </c>
      <c r="O1422" t="s">
        <v>31</v>
      </c>
    </row>
    <row r="1423" spans="1:15" x14ac:dyDescent="0.35">
      <c r="A1423">
        <v>2422</v>
      </c>
      <c r="B1423" t="s">
        <v>380</v>
      </c>
      <c r="C1423" s="1">
        <v>45353</v>
      </c>
      <c r="D1423" s="1">
        <v>45376</v>
      </c>
      <c r="E1423" s="1">
        <v>45377</v>
      </c>
      <c r="F1423" t="s">
        <v>38</v>
      </c>
      <c r="G1423" t="s">
        <v>22</v>
      </c>
      <c r="H1423" t="s">
        <v>30</v>
      </c>
      <c r="I1423">
        <v>23</v>
      </c>
      <c r="J1423">
        <v>1</v>
      </c>
      <c r="K1423">
        <v>2691</v>
      </c>
      <c r="L1423">
        <v>2691</v>
      </c>
      <c r="M1423" t="s">
        <v>24</v>
      </c>
      <c r="N1423">
        <v>0</v>
      </c>
      <c r="O1423" t="s">
        <v>25</v>
      </c>
    </row>
    <row r="1424" spans="1:15" x14ac:dyDescent="0.35">
      <c r="A1424">
        <v>2423</v>
      </c>
      <c r="B1424" t="s">
        <v>1004</v>
      </c>
      <c r="C1424" s="1">
        <v>45340</v>
      </c>
      <c r="D1424" s="1">
        <v>45362</v>
      </c>
      <c r="E1424" s="1">
        <v>45365</v>
      </c>
      <c r="F1424" t="s">
        <v>35</v>
      </c>
      <c r="G1424" t="s">
        <v>22</v>
      </c>
      <c r="H1424" t="s">
        <v>46</v>
      </c>
      <c r="I1424">
        <v>22</v>
      </c>
      <c r="J1424">
        <v>3</v>
      </c>
      <c r="K1424">
        <v>7614</v>
      </c>
      <c r="L1424">
        <v>22842</v>
      </c>
      <c r="M1424" t="s">
        <v>24</v>
      </c>
      <c r="N1424">
        <v>0</v>
      </c>
      <c r="O1424" t="s">
        <v>25</v>
      </c>
    </row>
    <row r="1425" spans="1:15" x14ac:dyDescent="0.35">
      <c r="A1425">
        <v>2424</v>
      </c>
      <c r="B1425" t="s">
        <v>1005</v>
      </c>
      <c r="C1425" s="1">
        <v>45418</v>
      </c>
      <c r="D1425" s="1">
        <v>45420</v>
      </c>
      <c r="E1425" s="1">
        <v>45425</v>
      </c>
      <c r="F1425" t="s">
        <v>35</v>
      </c>
      <c r="G1425" t="s">
        <v>22</v>
      </c>
      <c r="H1425" t="s">
        <v>30</v>
      </c>
      <c r="I1425">
        <v>2</v>
      </c>
      <c r="J1425">
        <v>5</v>
      </c>
      <c r="K1425">
        <v>7722</v>
      </c>
      <c r="L1425">
        <v>38610</v>
      </c>
      <c r="M1425" t="s">
        <v>51</v>
      </c>
      <c r="N1425">
        <v>0</v>
      </c>
      <c r="O1425" t="s">
        <v>25</v>
      </c>
    </row>
    <row r="1426" spans="1:15" x14ac:dyDescent="0.35">
      <c r="A1426">
        <v>2425</v>
      </c>
      <c r="B1426" t="s">
        <v>1006</v>
      </c>
      <c r="C1426" s="1">
        <v>45514</v>
      </c>
      <c r="D1426" s="1">
        <v>45545</v>
      </c>
      <c r="E1426" s="1">
        <v>45546</v>
      </c>
      <c r="F1426" t="s">
        <v>35</v>
      </c>
      <c r="G1426" t="s">
        <v>39</v>
      </c>
      <c r="H1426" t="s">
        <v>46</v>
      </c>
      <c r="I1426">
        <v>31</v>
      </c>
      <c r="J1426">
        <v>1</v>
      </c>
      <c r="K1426">
        <v>2895</v>
      </c>
      <c r="L1426">
        <v>2895</v>
      </c>
      <c r="M1426" t="s">
        <v>51</v>
      </c>
      <c r="N1426">
        <v>1</v>
      </c>
      <c r="O1426" t="s">
        <v>31</v>
      </c>
    </row>
    <row r="1427" spans="1:15" x14ac:dyDescent="0.35">
      <c r="A1427">
        <v>2426</v>
      </c>
      <c r="B1427" t="s">
        <v>890</v>
      </c>
      <c r="C1427" s="1">
        <v>45570</v>
      </c>
      <c r="D1427" s="1">
        <v>45625</v>
      </c>
      <c r="E1427" s="1">
        <v>45627</v>
      </c>
      <c r="F1427" t="s">
        <v>29</v>
      </c>
      <c r="G1427" t="s">
        <v>22</v>
      </c>
      <c r="H1427" t="s">
        <v>30</v>
      </c>
      <c r="I1427">
        <v>55</v>
      </c>
      <c r="J1427">
        <v>2</v>
      </c>
      <c r="K1427">
        <v>7614</v>
      </c>
      <c r="L1427">
        <v>15228</v>
      </c>
      <c r="M1427" t="s">
        <v>51</v>
      </c>
      <c r="N1427">
        <v>1</v>
      </c>
      <c r="O1427" t="s">
        <v>31</v>
      </c>
    </row>
    <row r="1428" spans="1:15" x14ac:dyDescent="0.35">
      <c r="A1428">
        <v>2427</v>
      </c>
      <c r="B1428" t="s">
        <v>940</v>
      </c>
      <c r="C1428" s="1">
        <v>45585</v>
      </c>
      <c r="D1428" s="1">
        <v>45596</v>
      </c>
      <c r="E1428" s="1">
        <v>45601</v>
      </c>
      <c r="F1428" t="s">
        <v>21</v>
      </c>
      <c r="G1428" t="s">
        <v>39</v>
      </c>
      <c r="H1428" t="s">
        <v>23</v>
      </c>
      <c r="I1428">
        <v>11</v>
      </c>
      <c r="J1428">
        <v>5</v>
      </c>
      <c r="K1428">
        <v>7162</v>
      </c>
      <c r="L1428">
        <v>35810</v>
      </c>
      <c r="M1428" t="s">
        <v>51</v>
      </c>
      <c r="N1428">
        <v>0</v>
      </c>
      <c r="O1428" t="s">
        <v>31</v>
      </c>
    </row>
    <row r="1429" spans="1:15" x14ac:dyDescent="0.35">
      <c r="A1429">
        <v>2428</v>
      </c>
      <c r="B1429" t="s">
        <v>764</v>
      </c>
      <c r="C1429" s="1">
        <v>45575</v>
      </c>
      <c r="D1429" s="1">
        <v>45603</v>
      </c>
      <c r="E1429" s="1">
        <v>45608</v>
      </c>
      <c r="F1429" t="s">
        <v>35</v>
      </c>
      <c r="G1429" t="s">
        <v>22</v>
      </c>
      <c r="H1429" t="s">
        <v>23</v>
      </c>
      <c r="I1429">
        <v>28</v>
      </c>
      <c r="J1429">
        <v>5</v>
      </c>
      <c r="K1429">
        <v>6826</v>
      </c>
      <c r="L1429">
        <v>34130</v>
      </c>
      <c r="M1429" t="s">
        <v>51</v>
      </c>
      <c r="N1429">
        <v>1</v>
      </c>
      <c r="O1429" t="s">
        <v>31</v>
      </c>
    </row>
    <row r="1430" spans="1:15" x14ac:dyDescent="0.35">
      <c r="A1430">
        <v>2429</v>
      </c>
      <c r="B1430" t="s">
        <v>605</v>
      </c>
      <c r="C1430" s="1">
        <v>45568</v>
      </c>
      <c r="D1430" s="1">
        <v>45614</v>
      </c>
      <c r="E1430" s="1">
        <v>45615</v>
      </c>
      <c r="F1430" t="s">
        <v>35</v>
      </c>
      <c r="G1430" t="s">
        <v>39</v>
      </c>
      <c r="H1430" t="s">
        <v>30</v>
      </c>
      <c r="I1430">
        <v>46</v>
      </c>
      <c r="J1430">
        <v>1</v>
      </c>
      <c r="K1430">
        <v>3373</v>
      </c>
      <c r="L1430">
        <v>3373</v>
      </c>
      <c r="M1430" t="s">
        <v>24</v>
      </c>
      <c r="N1430">
        <v>0</v>
      </c>
      <c r="O1430" t="s">
        <v>31</v>
      </c>
    </row>
    <row r="1431" spans="1:15" x14ac:dyDescent="0.35">
      <c r="A1431">
        <v>2430</v>
      </c>
      <c r="B1431" t="s">
        <v>1007</v>
      </c>
      <c r="C1431" s="1">
        <v>45398</v>
      </c>
      <c r="D1431" s="1">
        <v>45430</v>
      </c>
      <c r="E1431" s="1">
        <v>45433</v>
      </c>
      <c r="F1431" t="s">
        <v>38</v>
      </c>
      <c r="G1431" t="s">
        <v>22</v>
      </c>
      <c r="H1431" t="s">
        <v>46</v>
      </c>
      <c r="I1431">
        <v>32</v>
      </c>
      <c r="J1431">
        <v>3</v>
      </c>
      <c r="K1431">
        <v>5121</v>
      </c>
      <c r="L1431">
        <v>15363</v>
      </c>
      <c r="M1431" t="s">
        <v>51</v>
      </c>
      <c r="N1431">
        <v>1</v>
      </c>
      <c r="O1431" t="s">
        <v>25</v>
      </c>
    </row>
    <row r="1432" spans="1:15" x14ac:dyDescent="0.35">
      <c r="A1432">
        <v>2431</v>
      </c>
      <c r="B1432" t="s">
        <v>851</v>
      </c>
      <c r="C1432" s="1">
        <v>45437</v>
      </c>
      <c r="D1432" s="1">
        <v>45442</v>
      </c>
      <c r="E1432" s="1">
        <v>45444</v>
      </c>
      <c r="F1432" t="s">
        <v>38</v>
      </c>
      <c r="G1432" t="s">
        <v>39</v>
      </c>
      <c r="H1432" t="s">
        <v>46</v>
      </c>
      <c r="I1432">
        <v>5</v>
      </c>
      <c r="J1432">
        <v>2</v>
      </c>
      <c r="K1432">
        <v>6835</v>
      </c>
      <c r="L1432">
        <v>13670</v>
      </c>
      <c r="M1432" t="s">
        <v>51</v>
      </c>
      <c r="N1432">
        <v>0</v>
      </c>
      <c r="O1432" t="s">
        <v>25</v>
      </c>
    </row>
    <row r="1433" spans="1:15" x14ac:dyDescent="0.35">
      <c r="A1433">
        <v>2432</v>
      </c>
      <c r="B1433" t="s">
        <v>891</v>
      </c>
      <c r="C1433" s="1">
        <v>45390</v>
      </c>
      <c r="D1433" s="1">
        <v>45428</v>
      </c>
      <c r="E1433" s="1">
        <v>45433</v>
      </c>
      <c r="F1433" t="s">
        <v>60</v>
      </c>
      <c r="G1433" t="s">
        <v>22</v>
      </c>
      <c r="H1433" t="s">
        <v>46</v>
      </c>
      <c r="I1433">
        <v>38</v>
      </c>
      <c r="J1433">
        <v>5</v>
      </c>
      <c r="K1433">
        <v>2589</v>
      </c>
      <c r="L1433">
        <v>12945</v>
      </c>
      <c r="M1433" t="s">
        <v>24</v>
      </c>
      <c r="N1433">
        <v>1</v>
      </c>
      <c r="O1433" t="s">
        <v>31</v>
      </c>
    </row>
    <row r="1434" spans="1:15" x14ac:dyDescent="0.35">
      <c r="A1434">
        <v>2433</v>
      </c>
      <c r="B1434" t="s">
        <v>551</v>
      </c>
      <c r="C1434" s="1">
        <v>45364</v>
      </c>
      <c r="D1434" s="1">
        <v>45374</v>
      </c>
      <c r="E1434" s="1">
        <v>45377</v>
      </c>
      <c r="F1434" t="s">
        <v>60</v>
      </c>
      <c r="G1434" t="s">
        <v>22</v>
      </c>
      <c r="H1434" t="s">
        <v>23</v>
      </c>
      <c r="I1434">
        <v>10</v>
      </c>
      <c r="J1434">
        <v>3</v>
      </c>
      <c r="K1434">
        <v>4779</v>
      </c>
      <c r="L1434">
        <v>14337</v>
      </c>
      <c r="M1434" t="s">
        <v>24</v>
      </c>
      <c r="N1434">
        <v>0</v>
      </c>
      <c r="O1434" t="s">
        <v>31</v>
      </c>
    </row>
    <row r="1435" spans="1:15" x14ac:dyDescent="0.35">
      <c r="A1435">
        <v>2434</v>
      </c>
      <c r="B1435" t="s">
        <v>279</v>
      </c>
      <c r="C1435" s="1">
        <v>45413</v>
      </c>
      <c r="D1435" s="1">
        <v>45453</v>
      </c>
      <c r="E1435" s="1">
        <v>45455</v>
      </c>
      <c r="F1435" t="s">
        <v>38</v>
      </c>
      <c r="G1435" t="s">
        <v>39</v>
      </c>
      <c r="H1435" t="s">
        <v>23</v>
      </c>
      <c r="I1435">
        <v>40</v>
      </c>
      <c r="J1435">
        <v>2</v>
      </c>
      <c r="K1435">
        <v>2956</v>
      </c>
      <c r="L1435">
        <v>5912</v>
      </c>
      <c r="M1435" t="s">
        <v>51</v>
      </c>
      <c r="N1435">
        <v>0</v>
      </c>
      <c r="O1435" t="s">
        <v>31</v>
      </c>
    </row>
    <row r="1436" spans="1:15" x14ac:dyDescent="0.35">
      <c r="A1436">
        <v>2435</v>
      </c>
      <c r="B1436" t="s">
        <v>312</v>
      </c>
      <c r="C1436" s="1">
        <v>45321</v>
      </c>
      <c r="D1436" s="1">
        <v>45367</v>
      </c>
      <c r="E1436" s="1">
        <v>45371</v>
      </c>
      <c r="F1436" t="s">
        <v>21</v>
      </c>
      <c r="G1436" t="s">
        <v>22</v>
      </c>
      <c r="H1436" t="s">
        <v>23</v>
      </c>
      <c r="I1436">
        <v>46</v>
      </c>
      <c r="J1436">
        <v>4</v>
      </c>
      <c r="K1436">
        <v>4780</v>
      </c>
      <c r="L1436">
        <v>19120</v>
      </c>
      <c r="M1436" t="s">
        <v>24</v>
      </c>
      <c r="N1436">
        <v>1</v>
      </c>
      <c r="O1436" t="s">
        <v>25</v>
      </c>
    </row>
    <row r="1437" spans="1:15" x14ac:dyDescent="0.35">
      <c r="A1437">
        <v>2436</v>
      </c>
      <c r="B1437" t="s">
        <v>1008</v>
      </c>
      <c r="C1437" s="1">
        <v>45479</v>
      </c>
      <c r="D1437" s="1">
        <v>45503</v>
      </c>
      <c r="E1437" s="1">
        <v>45507</v>
      </c>
      <c r="F1437" t="s">
        <v>60</v>
      </c>
      <c r="G1437" t="s">
        <v>22</v>
      </c>
      <c r="H1437" t="s">
        <v>46</v>
      </c>
      <c r="I1437">
        <v>24</v>
      </c>
      <c r="J1437">
        <v>4</v>
      </c>
      <c r="K1437">
        <v>6949</v>
      </c>
      <c r="L1437">
        <v>27796</v>
      </c>
      <c r="M1437" t="s">
        <v>24</v>
      </c>
      <c r="N1437">
        <v>1</v>
      </c>
      <c r="O1437" t="s">
        <v>31</v>
      </c>
    </row>
    <row r="1438" spans="1:15" x14ac:dyDescent="0.35">
      <c r="A1438">
        <v>2437</v>
      </c>
      <c r="B1438" t="s">
        <v>1009</v>
      </c>
      <c r="C1438" s="1">
        <v>45655</v>
      </c>
      <c r="D1438" s="1">
        <v>45690</v>
      </c>
      <c r="E1438" s="1">
        <v>45692</v>
      </c>
      <c r="F1438" t="s">
        <v>21</v>
      </c>
      <c r="G1438" t="s">
        <v>22</v>
      </c>
      <c r="H1438" t="s">
        <v>46</v>
      </c>
      <c r="I1438">
        <v>35</v>
      </c>
      <c r="J1438">
        <v>2</v>
      </c>
      <c r="K1438">
        <v>3504</v>
      </c>
      <c r="L1438">
        <v>7008</v>
      </c>
      <c r="M1438" t="s">
        <v>24</v>
      </c>
      <c r="N1438">
        <v>0</v>
      </c>
      <c r="O1438" t="s">
        <v>25</v>
      </c>
    </row>
    <row r="1439" spans="1:15" x14ac:dyDescent="0.35">
      <c r="A1439">
        <v>2438</v>
      </c>
      <c r="B1439" t="s">
        <v>350</v>
      </c>
      <c r="C1439" s="1">
        <v>45645</v>
      </c>
      <c r="D1439" s="1">
        <v>45689</v>
      </c>
      <c r="E1439" s="1">
        <v>45690</v>
      </c>
      <c r="F1439" t="s">
        <v>38</v>
      </c>
      <c r="G1439" t="s">
        <v>22</v>
      </c>
      <c r="H1439" t="s">
        <v>46</v>
      </c>
      <c r="I1439">
        <v>44</v>
      </c>
      <c r="J1439">
        <v>1</v>
      </c>
      <c r="K1439">
        <v>7952</v>
      </c>
      <c r="L1439">
        <v>7952</v>
      </c>
      <c r="M1439" t="s">
        <v>51</v>
      </c>
      <c r="N1439">
        <v>1</v>
      </c>
      <c r="O1439" t="s">
        <v>25</v>
      </c>
    </row>
    <row r="1440" spans="1:15" x14ac:dyDescent="0.35">
      <c r="A1440">
        <v>2439</v>
      </c>
      <c r="B1440" t="s">
        <v>1010</v>
      </c>
      <c r="C1440" s="1">
        <v>45579</v>
      </c>
      <c r="D1440" s="1">
        <v>45627</v>
      </c>
      <c r="E1440" s="1">
        <v>45629</v>
      </c>
      <c r="F1440" t="s">
        <v>60</v>
      </c>
      <c r="G1440" t="s">
        <v>39</v>
      </c>
      <c r="H1440" t="s">
        <v>30</v>
      </c>
      <c r="I1440">
        <v>48</v>
      </c>
      <c r="J1440">
        <v>2</v>
      </c>
      <c r="K1440">
        <v>7034</v>
      </c>
      <c r="L1440">
        <v>14068</v>
      </c>
      <c r="M1440" t="s">
        <v>24</v>
      </c>
      <c r="N1440">
        <v>0</v>
      </c>
      <c r="O1440" t="s">
        <v>31</v>
      </c>
    </row>
    <row r="1441" spans="1:15" x14ac:dyDescent="0.35">
      <c r="A1441">
        <v>2440</v>
      </c>
      <c r="B1441" t="s">
        <v>724</v>
      </c>
      <c r="C1441" s="1">
        <v>45486</v>
      </c>
      <c r="D1441" s="1">
        <v>45509</v>
      </c>
      <c r="E1441" s="1">
        <v>45511</v>
      </c>
      <c r="F1441" t="s">
        <v>35</v>
      </c>
      <c r="G1441" t="s">
        <v>39</v>
      </c>
      <c r="H1441" t="s">
        <v>30</v>
      </c>
      <c r="I1441">
        <v>23</v>
      </c>
      <c r="J1441">
        <v>2</v>
      </c>
      <c r="K1441">
        <v>7994</v>
      </c>
      <c r="L1441">
        <v>15988</v>
      </c>
      <c r="M1441" t="s">
        <v>51</v>
      </c>
      <c r="N1441">
        <v>1</v>
      </c>
      <c r="O1441" t="s">
        <v>25</v>
      </c>
    </row>
    <row r="1442" spans="1:15" x14ac:dyDescent="0.35">
      <c r="A1442">
        <v>2441</v>
      </c>
      <c r="B1442" t="s">
        <v>947</v>
      </c>
      <c r="C1442" s="1">
        <v>45447</v>
      </c>
      <c r="D1442" s="1">
        <v>45464</v>
      </c>
      <c r="E1442" s="1">
        <v>45465</v>
      </c>
      <c r="F1442" t="s">
        <v>38</v>
      </c>
      <c r="G1442" t="s">
        <v>22</v>
      </c>
      <c r="H1442" t="s">
        <v>30</v>
      </c>
      <c r="I1442">
        <v>17</v>
      </c>
      <c r="J1442">
        <v>1</v>
      </c>
      <c r="K1442">
        <v>2844</v>
      </c>
      <c r="L1442">
        <v>2844</v>
      </c>
      <c r="M1442" t="s">
        <v>24</v>
      </c>
      <c r="N1442">
        <v>1</v>
      </c>
      <c r="O1442" t="s">
        <v>25</v>
      </c>
    </row>
    <row r="1443" spans="1:15" x14ac:dyDescent="0.35">
      <c r="A1443">
        <v>2442</v>
      </c>
      <c r="B1443" t="s">
        <v>802</v>
      </c>
      <c r="C1443" s="1">
        <v>45463</v>
      </c>
      <c r="D1443" s="1">
        <v>45464</v>
      </c>
      <c r="E1443" s="1">
        <v>45465</v>
      </c>
      <c r="F1443" t="s">
        <v>60</v>
      </c>
      <c r="G1443" t="s">
        <v>39</v>
      </c>
      <c r="H1443" t="s">
        <v>23</v>
      </c>
      <c r="I1443">
        <v>1</v>
      </c>
      <c r="J1443">
        <v>1</v>
      </c>
      <c r="K1443">
        <v>5211</v>
      </c>
      <c r="L1443">
        <v>5211</v>
      </c>
      <c r="M1443" t="s">
        <v>51</v>
      </c>
      <c r="N1443">
        <v>0</v>
      </c>
      <c r="O1443" t="s">
        <v>31</v>
      </c>
    </row>
    <row r="1444" spans="1:15" x14ac:dyDescent="0.35">
      <c r="A1444">
        <v>2443</v>
      </c>
      <c r="B1444" t="s">
        <v>275</v>
      </c>
      <c r="C1444" s="1">
        <v>45626</v>
      </c>
      <c r="D1444" s="1">
        <v>45681</v>
      </c>
      <c r="E1444" s="1">
        <v>45684</v>
      </c>
      <c r="F1444" t="s">
        <v>21</v>
      </c>
      <c r="G1444" t="s">
        <v>39</v>
      </c>
      <c r="H1444" t="s">
        <v>23</v>
      </c>
      <c r="I1444">
        <v>55</v>
      </c>
      <c r="J1444">
        <v>3</v>
      </c>
      <c r="K1444">
        <v>7252</v>
      </c>
      <c r="L1444">
        <v>21756</v>
      </c>
      <c r="M1444" t="s">
        <v>51</v>
      </c>
      <c r="N1444">
        <v>1</v>
      </c>
      <c r="O1444" t="s">
        <v>25</v>
      </c>
    </row>
    <row r="1445" spans="1:15" x14ac:dyDescent="0.35">
      <c r="A1445">
        <v>2444</v>
      </c>
      <c r="B1445" t="s">
        <v>1011</v>
      </c>
      <c r="C1445" s="1">
        <v>45332</v>
      </c>
      <c r="D1445" s="1">
        <v>45363</v>
      </c>
      <c r="E1445" s="1">
        <v>45366</v>
      </c>
      <c r="F1445" t="s">
        <v>21</v>
      </c>
      <c r="G1445" t="s">
        <v>39</v>
      </c>
      <c r="H1445" t="s">
        <v>46</v>
      </c>
      <c r="I1445">
        <v>31</v>
      </c>
      <c r="J1445">
        <v>3</v>
      </c>
      <c r="K1445">
        <v>8773</v>
      </c>
      <c r="L1445">
        <v>26319</v>
      </c>
      <c r="M1445" t="s">
        <v>51</v>
      </c>
      <c r="N1445">
        <v>0</v>
      </c>
      <c r="O1445" t="s">
        <v>31</v>
      </c>
    </row>
    <row r="1446" spans="1:15" x14ac:dyDescent="0.35">
      <c r="A1446">
        <v>2445</v>
      </c>
      <c r="B1446" t="s">
        <v>1012</v>
      </c>
      <c r="C1446" s="1">
        <v>45354</v>
      </c>
      <c r="D1446" s="1">
        <v>45385</v>
      </c>
      <c r="E1446" s="1">
        <v>45386</v>
      </c>
      <c r="F1446" t="s">
        <v>60</v>
      </c>
      <c r="G1446" t="s">
        <v>39</v>
      </c>
      <c r="H1446" t="s">
        <v>30</v>
      </c>
      <c r="I1446">
        <v>31</v>
      </c>
      <c r="J1446">
        <v>1</v>
      </c>
      <c r="K1446">
        <v>8784</v>
      </c>
      <c r="L1446">
        <v>8784</v>
      </c>
      <c r="M1446" t="s">
        <v>24</v>
      </c>
      <c r="N1446">
        <v>1</v>
      </c>
      <c r="O1446" t="s">
        <v>25</v>
      </c>
    </row>
    <row r="1447" spans="1:15" x14ac:dyDescent="0.35">
      <c r="A1447">
        <v>2446</v>
      </c>
      <c r="B1447" t="s">
        <v>740</v>
      </c>
      <c r="C1447" s="1">
        <v>45314</v>
      </c>
      <c r="D1447" s="1">
        <v>45356</v>
      </c>
      <c r="E1447" s="1">
        <v>45360</v>
      </c>
      <c r="F1447" t="s">
        <v>21</v>
      </c>
      <c r="G1447" t="s">
        <v>39</v>
      </c>
      <c r="H1447" t="s">
        <v>46</v>
      </c>
      <c r="I1447">
        <v>42</v>
      </c>
      <c r="J1447">
        <v>4</v>
      </c>
      <c r="K1447">
        <v>4962</v>
      </c>
      <c r="L1447">
        <v>19848</v>
      </c>
      <c r="M1447" t="s">
        <v>24</v>
      </c>
      <c r="N1447">
        <v>1</v>
      </c>
      <c r="O1447" t="s">
        <v>31</v>
      </c>
    </row>
    <row r="1448" spans="1:15" x14ac:dyDescent="0.35">
      <c r="A1448">
        <v>2447</v>
      </c>
      <c r="B1448" t="s">
        <v>788</v>
      </c>
      <c r="C1448" s="1">
        <v>45651</v>
      </c>
      <c r="D1448" s="1">
        <v>45708</v>
      </c>
      <c r="E1448" s="1">
        <v>45712</v>
      </c>
      <c r="F1448" t="s">
        <v>60</v>
      </c>
      <c r="G1448" t="s">
        <v>22</v>
      </c>
      <c r="H1448" t="s">
        <v>30</v>
      </c>
      <c r="I1448">
        <v>57</v>
      </c>
      <c r="J1448">
        <v>4</v>
      </c>
      <c r="K1448">
        <v>3616</v>
      </c>
      <c r="L1448">
        <v>14464</v>
      </c>
      <c r="M1448" t="s">
        <v>24</v>
      </c>
      <c r="N1448">
        <v>1</v>
      </c>
      <c r="O1448" t="s">
        <v>31</v>
      </c>
    </row>
    <row r="1449" spans="1:15" x14ac:dyDescent="0.35">
      <c r="A1449">
        <v>2448</v>
      </c>
      <c r="B1449" t="s">
        <v>506</v>
      </c>
      <c r="C1449" s="1">
        <v>45366</v>
      </c>
      <c r="D1449" s="1">
        <v>45421</v>
      </c>
      <c r="E1449" s="1">
        <v>45423</v>
      </c>
      <c r="F1449" t="s">
        <v>60</v>
      </c>
      <c r="G1449" t="s">
        <v>39</v>
      </c>
      <c r="H1449" t="s">
        <v>30</v>
      </c>
      <c r="I1449">
        <v>55</v>
      </c>
      <c r="J1449">
        <v>2</v>
      </c>
      <c r="K1449">
        <v>3125</v>
      </c>
      <c r="L1449">
        <v>6250</v>
      </c>
      <c r="M1449" t="s">
        <v>51</v>
      </c>
      <c r="N1449">
        <v>1</v>
      </c>
      <c r="O1449" t="s">
        <v>25</v>
      </c>
    </row>
    <row r="1450" spans="1:15" x14ac:dyDescent="0.35">
      <c r="A1450">
        <v>2449</v>
      </c>
      <c r="B1450" t="s">
        <v>593</v>
      </c>
      <c r="C1450" s="1">
        <v>45339</v>
      </c>
      <c r="D1450" s="1">
        <v>45381</v>
      </c>
      <c r="E1450" s="1">
        <v>45386</v>
      </c>
      <c r="F1450" t="s">
        <v>21</v>
      </c>
      <c r="G1450" t="s">
        <v>22</v>
      </c>
      <c r="H1450" t="s">
        <v>46</v>
      </c>
      <c r="I1450">
        <v>42</v>
      </c>
      <c r="J1450">
        <v>5</v>
      </c>
      <c r="K1450">
        <v>6879</v>
      </c>
      <c r="L1450">
        <v>34395</v>
      </c>
      <c r="M1450" t="s">
        <v>24</v>
      </c>
      <c r="N1450">
        <v>1</v>
      </c>
      <c r="O1450" t="s">
        <v>31</v>
      </c>
    </row>
    <row r="1451" spans="1:15" x14ac:dyDescent="0.35">
      <c r="A1451">
        <v>2450</v>
      </c>
      <c r="B1451" t="s">
        <v>320</v>
      </c>
      <c r="C1451" s="1">
        <v>45451</v>
      </c>
      <c r="D1451" s="1">
        <v>45504</v>
      </c>
      <c r="E1451" s="1">
        <v>45506</v>
      </c>
      <c r="F1451" t="s">
        <v>29</v>
      </c>
      <c r="G1451" t="s">
        <v>39</v>
      </c>
      <c r="H1451" t="s">
        <v>46</v>
      </c>
      <c r="I1451">
        <v>53</v>
      </c>
      <c r="J1451">
        <v>2</v>
      </c>
      <c r="K1451">
        <v>4479</v>
      </c>
      <c r="L1451">
        <v>8958</v>
      </c>
      <c r="M1451" t="s">
        <v>24</v>
      </c>
      <c r="N1451">
        <v>1</v>
      </c>
      <c r="O1451" t="s">
        <v>25</v>
      </c>
    </row>
    <row r="1452" spans="1:15" x14ac:dyDescent="0.35">
      <c r="A1452">
        <v>2451</v>
      </c>
      <c r="B1452" t="s">
        <v>1013</v>
      </c>
      <c r="C1452" s="1">
        <v>45604</v>
      </c>
      <c r="D1452" s="1">
        <v>45660</v>
      </c>
      <c r="E1452" s="1">
        <v>45662</v>
      </c>
      <c r="F1452" t="s">
        <v>35</v>
      </c>
      <c r="G1452" t="s">
        <v>22</v>
      </c>
      <c r="H1452" t="s">
        <v>30</v>
      </c>
      <c r="I1452">
        <v>56</v>
      </c>
      <c r="J1452">
        <v>2</v>
      </c>
      <c r="K1452">
        <v>6494</v>
      </c>
      <c r="L1452">
        <v>12988</v>
      </c>
      <c r="M1452" t="s">
        <v>51</v>
      </c>
      <c r="N1452">
        <v>0</v>
      </c>
      <c r="O1452" t="s">
        <v>25</v>
      </c>
    </row>
    <row r="1453" spans="1:15" x14ac:dyDescent="0.35">
      <c r="A1453">
        <v>2452</v>
      </c>
      <c r="B1453" t="s">
        <v>110</v>
      </c>
      <c r="C1453" s="1">
        <v>45409</v>
      </c>
      <c r="D1453" s="1">
        <v>45443</v>
      </c>
      <c r="E1453" s="1">
        <v>45448</v>
      </c>
      <c r="F1453" t="s">
        <v>38</v>
      </c>
      <c r="G1453" t="s">
        <v>22</v>
      </c>
      <c r="H1453" t="s">
        <v>30</v>
      </c>
      <c r="I1453">
        <v>34</v>
      </c>
      <c r="J1453">
        <v>5</v>
      </c>
      <c r="K1453">
        <v>4178</v>
      </c>
      <c r="L1453">
        <v>20890</v>
      </c>
      <c r="M1453" t="s">
        <v>24</v>
      </c>
      <c r="N1453">
        <v>0</v>
      </c>
      <c r="O1453" t="s">
        <v>31</v>
      </c>
    </row>
    <row r="1454" spans="1:15" x14ac:dyDescent="0.35">
      <c r="A1454">
        <v>2453</v>
      </c>
      <c r="B1454" t="s">
        <v>104</v>
      </c>
      <c r="C1454" s="1">
        <v>45391</v>
      </c>
      <c r="D1454" s="1">
        <v>45400</v>
      </c>
      <c r="E1454" s="1">
        <v>45401</v>
      </c>
      <c r="F1454" t="s">
        <v>35</v>
      </c>
      <c r="G1454" t="s">
        <v>22</v>
      </c>
      <c r="H1454" t="s">
        <v>23</v>
      </c>
      <c r="I1454">
        <v>9</v>
      </c>
      <c r="J1454">
        <v>1</v>
      </c>
      <c r="K1454">
        <v>2722</v>
      </c>
      <c r="L1454">
        <v>2722</v>
      </c>
      <c r="M1454" t="s">
        <v>51</v>
      </c>
      <c r="N1454">
        <v>0</v>
      </c>
      <c r="O1454" t="s">
        <v>25</v>
      </c>
    </row>
    <row r="1455" spans="1:15" x14ac:dyDescent="0.35">
      <c r="A1455">
        <v>2454</v>
      </c>
      <c r="B1455" t="s">
        <v>786</v>
      </c>
      <c r="C1455" s="1">
        <v>45458</v>
      </c>
      <c r="D1455" s="1">
        <v>45480</v>
      </c>
      <c r="E1455" s="1">
        <v>45484</v>
      </c>
      <c r="F1455" t="s">
        <v>38</v>
      </c>
      <c r="G1455" t="s">
        <v>39</v>
      </c>
      <c r="H1455" t="s">
        <v>46</v>
      </c>
      <c r="I1455">
        <v>22</v>
      </c>
      <c r="J1455">
        <v>4</v>
      </c>
      <c r="K1455">
        <v>3243</v>
      </c>
      <c r="L1455">
        <v>12972</v>
      </c>
      <c r="M1455" t="s">
        <v>24</v>
      </c>
      <c r="N1455">
        <v>1</v>
      </c>
      <c r="O1455" t="s">
        <v>31</v>
      </c>
    </row>
    <row r="1456" spans="1:15" x14ac:dyDescent="0.35">
      <c r="A1456">
        <v>2455</v>
      </c>
      <c r="B1456" t="s">
        <v>1014</v>
      </c>
      <c r="C1456" s="1">
        <v>45581</v>
      </c>
      <c r="D1456" s="1">
        <v>45594</v>
      </c>
      <c r="E1456" s="1">
        <v>45596</v>
      </c>
      <c r="F1456" t="s">
        <v>38</v>
      </c>
      <c r="G1456" t="s">
        <v>39</v>
      </c>
      <c r="H1456" t="s">
        <v>46</v>
      </c>
      <c r="I1456">
        <v>13</v>
      </c>
      <c r="J1456">
        <v>2</v>
      </c>
      <c r="K1456">
        <v>2962</v>
      </c>
      <c r="L1456">
        <v>5924</v>
      </c>
      <c r="M1456" t="s">
        <v>51</v>
      </c>
      <c r="N1456">
        <v>0</v>
      </c>
      <c r="O1456" t="s">
        <v>25</v>
      </c>
    </row>
    <row r="1457" spans="1:15" x14ac:dyDescent="0.35">
      <c r="A1457">
        <v>2456</v>
      </c>
      <c r="B1457" t="s">
        <v>205</v>
      </c>
      <c r="C1457" s="1">
        <v>45447</v>
      </c>
      <c r="D1457" s="1">
        <v>45472</v>
      </c>
      <c r="E1457" s="1">
        <v>45477</v>
      </c>
      <c r="F1457" t="s">
        <v>35</v>
      </c>
      <c r="G1457" t="s">
        <v>22</v>
      </c>
      <c r="H1457" t="s">
        <v>46</v>
      </c>
      <c r="I1457">
        <v>25</v>
      </c>
      <c r="J1457">
        <v>5</v>
      </c>
      <c r="K1457">
        <v>4068</v>
      </c>
      <c r="L1457">
        <v>20340</v>
      </c>
      <c r="M1457" t="s">
        <v>51</v>
      </c>
      <c r="N1457">
        <v>0</v>
      </c>
      <c r="O1457" t="s">
        <v>25</v>
      </c>
    </row>
    <row r="1458" spans="1:15" x14ac:dyDescent="0.35">
      <c r="A1458">
        <v>2457</v>
      </c>
      <c r="B1458" t="s">
        <v>490</v>
      </c>
      <c r="C1458" s="1">
        <v>45298</v>
      </c>
      <c r="D1458" s="1">
        <v>45346</v>
      </c>
      <c r="E1458" s="1">
        <v>45349</v>
      </c>
      <c r="F1458" t="s">
        <v>60</v>
      </c>
      <c r="G1458" t="s">
        <v>22</v>
      </c>
      <c r="H1458" t="s">
        <v>46</v>
      </c>
      <c r="I1458">
        <v>48</v>
      </c>
      <c r="J1458">
        <v>3</v>
      </c>
      <c r="K1458">
        <v>5847</v>
      </c>
      <c r="L1458">
        <v>17541</v>
      </c>
      <c r="M1458" t="s">
        <v>24</v>
      </c>
      <c r="N1458">
        <v>0</v>
      </c>
      <c r="O1458" t="s">
        <v>31</v>
      </c>
    </row>
    <row r="1459" spans="1:15" x14ac:dyDescent="0.35">
      <c r="A1459">
        <v>2458</v>
      </c>
      <c r="B1459" t="s">
        <v>743</v>
      </c>
      <c r="C1459" s="1">
        <v>45487</v>
      </c>
      <c r="D1459" s="1">
        <v>45505</v>
      </c>
      <c r="E1459" s="1">
        <v>45507</v>
      </c>
      <c r="F1459" t="s">
        <v>21</v>
      </c>
      <c r="G1459" t="s">
        <v>39</v>
      </c>
      <c r="H1459" t="s">
        <v>30</v>
      </c>
      <c r="I1459">
        <v>18</v>
      </c>
      <c r="J1459">
        <v>2</v>
      </c>
      <c r="K1459">
        <v>8301</v>
      </c>
      <c r="L1459">
        <v>16602</v>
      </c>
      <c r="M1459" t="s">
        <v>51</v>
      </c>
      <c r="N1459">
        <v>1</v>
      </c>
      <c r="O1459" t="s">
        <v>25</v>
      </c>
    </row>
    <row r="1460" spans="1:15" x14ac:dyDescent="0.35">
      <c r="A1460">
        <v>2459</v>
      </c>
      <c r="B1460" t="s">
        <v>1015</v>
      </c>
      <c r="C1460" s="1">
        <v>45347</v>
      </c>
      <c r="D1460" s="1">
        <v>45398</v>
      </c>
      <c r="E1460" s="1">
        <v>45402</v>
      </c>
      <c r="F1460" t="s">
        <v>29</v>
      </c>
      <c r="G1460" t="s">
        <v>39</v>
      </c>
      <c r="H1460" t="s">
        <v>23</v>
      </c>
      <c r="I1460">
        <v>51</v>
      </c>
      <c r="J1460">
        <v>4</v>
      </c>
      <c r="K1460">
        <v>7759</v>
      </c>
      <c r="L1460">
        <v>31036</v>
      </c>
      <c r="M1460" t="s">
        <v>24</v>
      </c>
      <c r="N1460">
        <v>0</v>
      </c>
      <c r="O1460" t="s">
        <v>25</v>
      </c>
    </row>
    <row r="1461" spans="1:15" x14ac:dyDescent="0.35">
      <c r="A1461">
        <v>2460</v>
      </c>
      <c r="B1461" t="s">
        <v>1016</v>
      </c>
      <c r="C1461" s="1">
        <v>45612</v>
      </c>
      <c r="D1461" s="1">
        <v>45624</v>
      </c>
      <c r="E1461" s="1">
        <v>45625</v>
      </c>
      <c r="F1461" t="s">
        <v>29</v>
      </c>
      <c r="G1461" t="s">
        <v>22</v>
      </c>
      <c r="H1461" t="s">
        <v>46</v>
      </c>
      <c r="I1461">
        <v>12</v>
      </c>
      <c r="J1461">
        <v>1</v>
      </c>
      <c r="K1461">
        <v>4236</v>
      </c>
      <c r="L1461">
        <v>4236</v>
      </c>
      <c r="M1461" t="s">
        <v>24</v>
      </c>
      <c r="N1461">
        <v>0</v>
      </c>
      <c r="O1461" t="s">
        <v>25</v>
      </c>
    </row>
    <row r="1462" spans="1:15" x14ac:dyDescent="0.35">
      <c r="A1462">
        <v>2461</v>
      </c>
      <c r="B1462" t="s">
        <v>170</v>
      </c>
      <c r="C1462" s="1">
        <v>45484</v>
      </c>
      <c r="D1462" s="1">
        <v>45524</v>
      </c>
      <c r="E1462" s="1">
        <v>45526</v>
      </c>
      <c r="F1462" t="s">
        <v>29</v>
      </c>
      <c r="G1462" t="s">
        <v>39</v>
      </c>
      <c r="H1462" t="s">
        <v>30</v>
      </c>
      <c r="I1462">
        <v>40</v>
      </c>
      <c r="J1462">
        <v>2</v>
      </c>
      <c r="K1462">
        <v>7642</v>
      </c>
      <c r="L1462">
        <v>15284</v>
      </c>
      <c r="M1462" t="s">
        <v>24</v>
      </c>
      <c r="N1462">
        <v>0</v>
      </c>
      <c r="O1462" t="s">
        <v>25</v>
      </c>
    </row>
    <row r="1463" spans="1:15" x14ac:dyDescent="0.35">
      <c r="A1463">
        <v>2462</v>
      </c>
      <c r="B1463" t="s">
        <v>995</v>
      </c>
      <c r="C1463" s="1">
        <v>45338</v>
      </c>
      <c r="D1463" s="1">
        <v>45355</v>
      </c>
      <c r="E1463" s="1">
        <v>45357</v>
      </c>
      <c r="F1463" t="s">
        <v>35</v>
      </c>
      <c r="G1463" t="s">
        <v>39</v>
      </c>
      <c r="H1463" t="s">
        <v>30</v>
      </c>
      <c r="I1463">
        <v>17</v>
      </c>
      <c r="J1463">
        <v>2</v>
      </c>
      <c r="K1463">
        <v>6539</v>
      </c>
      <c r="L1463">
        <v>13078</v>
      </c>
      <c r="M1463" t="s">
        <v>24</v>
      </c>
      <c r="N1463">
        <v>1</v>
      </c>
      <c r="O1463" t="s">
        <v>25</v>
      </c>
    </row>
    <row r="1464" spans="1:15" x14ac:dyDescent="0.35">
      <c r="A1464">
        <v>2463</v>
      </c>
      <c r="B1464" t="s">
        <v>689</v>
      </c>
      <c r="C1464" s="1">
        <v>45439</v>
      </c>
      <c r="D1464" s="1">
        <v>45454</v>
      </c>
      <c r="E1464" s="1">
        <v>45459</v>
      </c>
      <c r="F1464" t="s">
        <v>35</v>
      </c>
      <c r="G1464" t="s">
        <v>39</v>
      </c>
      <c r="H1464" t="s">
        <v>30</v>
      </c>
      <c r="I1464">
        <v>15</v>
      </c>
      <c r="J1464">
        <v>5</v>
      </c>
      <c r="K1464">
        <v>6451</v>
      </c>
      <c r="L1464">
        <v>32255</v>
      </c>
      <c r="M1464" t="s">
        <v>51</v>
      </c>
      <c r="N1464">
        <v>1</v>
      </c>
      <c r="O1464" t="s">
        <v>25</v>
      </c>
    </row>
    <row r="1465" spans="1:15" x14ac:dyDescent="0.35">
      <c r="A1465">
        <v>2464</v>
      </c>
      <c r="B1465" t="s">
        <v>754</v>
      </c>
      <c r="C1465" s="1">
        <v>45566</v>
      </c>
      <c r="D1465" s="1">
        <v>45608</v>
      </c>
      <c r="E1465" s="1">
        <v>45611</v>
      </c>
      <c r="F1465" t="s">
        <v>60</v>
      </c>
      <c r="G1465" t="s">
        <v>39</v>
      </c>
      <c r="H1465" t="s">
        <v>30</v>
      </c>
      <c r="I1465">
        <v>42</v>
      </c>
      <c r="J1465">
        <v>3</v>
      </c>
      <c r="K1465">
        <v>3164</v>
      </c>
      <c r="L1465">
        <v>9492</v>
      </c>
      <c r="M1465" t="s">
        <v>51</v>
      </c>
      <c r="N1465">
        <v>1</v>
      </c>
      <c r="O1465" t="s">
        <v>25</v>
      </c>
    </row>
    <row r="1466" spans="1:15" x14ac:dyDescent="0.35">
      <c r="A1466">
        <v>2465</v>
      </c>
      <c r="B1466" t="s">
        <v>921</v>
      </c>
      <c r="C1466" s="1">
        <v>45448</v>
      </c>
      <c r="D1466" s="1">
        <v>45463</v>
      </c>
      <c r="E1466" s="1">
        <v>45466</v>
      </c>
      <c r="F1466" t="s">
        <v>29</v>
      </c>
      <c r="G1466" t="s">
        <v>39</v>
      </c>
      <c r="H1466" t="s">
        <v>30</v>
      </c>
      <c r="I1466">
        <v>15</v>
      </c>
      <c r="J1466">
        <v>3</v>
      </c>
      <c r="K1466">
        <v>3856</v>
      </c>
      <c r="L1466">
        <v>11568</v>
      </c>
      <c r="M1466" t="s">
        <v>51</v>
      </c>
      <c r="N1466">
        <v>1</v>
      </c>
      <c r="O1466" t="s">
        <v>25</v>
      </c>
    </row>
    <row r="1467" spans="1:15" x14ac:dyDescent="0.35">
      <c r="A1467">
        <v>2466</v>
      </c>
      <c r="B1467" t="s">
        <v>993</v>
      </c>
      <c r="C1467" s="1">
        <v>45493</v>
      </c>
      <c r="D1467" s="1">
        <v>45508</v>
      </c>
      <c r="E1467" s="1">
        <v>45509</v>
      </c>
      <c r="F1467" t="s">
        <v>60</v>
      </c>
      <c r="G1467" t="s">
        <v>39</v>
      </c>
      <c r="H1467" t="s">
        <v>46</v>
      </c>
      <c r="I1467">
        <v>15</v>
      </c>
      <c r="J1467">
        <v>1</v>
      </c>
      <c r="K1467">
        <v>3514</v>
      </c>
      <c r="L1467">
        <v>3514</v>
      </c>
      <c r="M1467" t="s">
        <v>24</v>
      </c>
      <c r="N1467">
        <v>0</v>
      </c>
      <c r="O1467" t="s">
        <v>31</v>
      </c>
    </row>
    <row r="1468" spans="1:15" x14ac:dyDescent="0.35">
      <c r="A1468">
        <v>2467</v>
      </c>
      <c r="B1468" t="s">
        <v>797</v>
      </c>
      <c r="C1468" s="1">
        <v>45417</v>
      </c>
      <c r="D1468" s="1">
        <v>45472</v>
      </c>
      <c r="E1468" s="1">
        <v>45476</v>
      </c>
      <c r="F1468" t="s">
        <v>29</v>
      </c>
      <c r="G1468" t="s">
        <v>22</v>
      </c>
      <c r="H1468" t="s">
        <v>46</v>
      </c>
      <c r="I1468">
        <v>55</v>
      </c>
      <c r="J1468">
        <v>4</v>
      </c>
      <c r="K1468">
        <v>4632</v>
      </c>
      <c r="L1468">
        <v>18528</v>
      </c>
      <c r="M1468" t="s">
        <v>24</v>
      </c>
      <c r="N1468">
        <v>1</v>
      </c>
      <c r="O1468" t="s">
        <v>25</v>
      </c>
    </row>
    <row r="1469" spans="1:15" x14ac:dyDescent="0.35">
      <c r="A1469">
        <v>2468</v>
      </c>
      <c r="B1469" t="s">
        <v>417</v>
      </c>
      <c r="C1469" s="1">
        <v>45596</v>
      </c>
      <c r="D1469" s="1">
        <v>45635</v>
      </c>
      <c r="E1469" s="1">
        <v>45636</v>
      </c>
      <c r="F1469" t="s">
        <v>35</v>
      </c>
      <c r="G1469" t="s">
        <v>22</v>
      </c>
      <c r="H1469" t="s">
        <v>23</v>
      </c>
      <c r="I1469">
        <v>39</v>
      </c>
      <c r="J1469">
        <v>1</v>
      </c>
      <c r="K1469">
        <v>5168</v>
      </c>
      <c r="L1469">
        <v>5168</v>
      </c>
      <c r="M1469" t="s">
        <v>51</v>
      </c>
      <c r="N1469">
        <v>1</v>
      </c>
      <c r="O1469" t="s">
        <v>25</v>
      </c>
    </row>
    <row r="1470" spans="1:15" x14ac:dyDescent="0.35">
      <c r="A1470">
        <v>2469</v>
      </c>
      <c r="B1470" t="s">
        <v>67</v>
      </c>
      <c r="C1470" s="1">
        <v>45585</v>
      </c>
      <c r="D1470" s="1">
        <v>45598</v>
      </c>
      <c r="E1470" s="1">
        <v>45600</v>
      </c>
      <c r="F1470" t="s">
        <v>21</v>
      </c>
      <c r="G1470" t="s">
        <v>22</v>
      </c>
      <c r="H1470" t="s">
        <v>46</v>
      </c>
      <c r="I1470">
        <v>13</v>
      </c>
      <c r="J1470">
        <v>2</v>
      </c>
      <c r="K1470">
        <v>3554</v>
      </c>
      <c r="L1470">
        <v>7108</v>
      </c>
      <c r="M1470" t="s">
        <v>51</v>
      </c>
      <c r="N1470">
        <v>1</v>
      </c>
      <c r="O1470" t="s">
        <v>31</v>
      </c>
    </row>
    <row r="1471" spans="1:15" x14ac:dyDescent="0.35">
      <c r="A1471">
        <v>2470</v>
      </c>
      <c r="B1471" t="s">
        <v>643</v>
      </c>
      <c r="C1471" s="1">
        <v>45355</v>
      </c>
      <c r="D1471" s="1">
        <v>45372</v>
      </c>
      <c r="E1471" s="1">
        <v>45374</v>
      </c>
      <c r="F1471" t="s">
        <v>21</v>
      </c>
      <c r="G1471" t="s">
        <v>22</v>
      </c>
      <c r="H1471" t="s">
        <v>30</v>
      </c>
      <c r="I1471">
        <v>17</v>
      </c>
      <c r="J1471">
        <v>2</v>
      </c>
      <c r="K1471">
        <v>4264</v>
      </c>
      <c r="L1471">
        <v>8528</v>
      </c>
      <c r="M1471" t="s">
        <v>24</v>
      </c>
      <c r="N1471">
        <v>1</v>
      </c>
      <c r="O1471" t="s">
        <v>31</v>
      </c>
    </row>
    <row r="1472" spans="1:15" x14ac:dyDescent="0.35">
      <c r="A1472">
        <v>2471</v>
      </c>
      <c r="B1472" t="s">
        <v>1017</v>
      </c>
      <c r="C1472" s="1">
        <v>45616</v>
      </c>
      <c r="D1472" s="1">
        <v>45648</v>
      </c>
      <c r="E1472" s="1">
        <v>45651</v>
      </c>
      <c r="F1472" t="s">
        <v>21</v>
      </c>
      <c r="G1472" t="s">
        <v>22</v>
      </c>
      <c r="H1472" t="s">
        <v>23</v>
      </c>
      <c r="I1472">
        <v>32</v>
      </c>
      <c r="J1472">
        <v>3</v>
      </c>
      <c r="K1472">
        <v>8883</v>
      </c>
      <c r="L1472">
        <v>26649</v>
      </c>
      <c r="M1472" t="s">
        <v>24</v>
      </c>
      <c r="N1472">
        <v>1</v>
      </c>
      <c r="O1472" t="s">
        <v>31</v>
      </c>
    </row>
    <row r="1473" spans="1:15" x14ac:dyDescent="0.35">
      <c r="A1473">
        <v>2472</v>
      </c>
      <c r="B1473" t="s">
        <v>842</v>
      </c>
      <c r="C1473" s="1">
        <v>45467</v>
      </c>
      <c r="D1473" s="1">
        <v>45476</v>
      </c>
      <c r="E1473" s="1">
        <v>45480</v>
      </c>
      <c r="F1473" t="s">
        <v>21</v>
      </c>
      <c r="G1473" t="s">
        <v>22</v>
      </c>
      <c r="H1473" t="s">
        <v>30</v>
      </c>
      <c r="I1473">
        <v>9</v>
      </c>
      <c r="J1473">
        <v>4</v>
      </c>
      <c r="K1473">
        <v>8509</v>
      </c>
      <c r="L1473">
        <v>34036</v>
      </c>
      <c r="M1473" t="s">
        <v>24</v>
      </c>
      <c r="N1473">
        <v>0</v>
      </c>
      <c r="O1473" t="s">
        <v>25</v>
      </c>
    </row>
    <row r="1474" spans="1:15" x14ac:dyDescent="0.35">
      <c r="A1474">
        <v>2473</v>
      </c>
      <c r="B1474" t="s">
        <v>491</v>
      </c>
      <c r="C1474" s="1">
        <v>45407</v>
      </c>
      <c r="D1474" s="1">
        <v>45447</v>
      </c>
      <c r="E1474" s="1">
        <v>45452</v>
      </c>
      <c r="F1474" t="s">
        <v>38</v>
      </c>
      <c r="G1474" t="s">
        <v>39</v>
      </c>
      <c r="H1474" t="s">
        <v>30</v>
      </c>
      <c r="I1474">
        <v>40</v>
      </c>
      <c r="J1474">
        <v>5</v>
      </c>
      <c r="K1474">
        <v>6958</v>
      </c>
      <c r="L1474">
        <v>34790</v>
      </c>
      <c r="M1474" t="s">
        <v>51</v>
      </c>
      <c r="N1474">
        <v>1</v>
      </c>
      <c r="O1474" t="s">
        <v>31</v>
      </c>
    </row>
    <row r="1475" spans="1:15" x14ac:dyDescent="0.35">
      <c r="A1475">
        <v>2474</v>
      </c>
      <c r="B1475" t="s">
        <v>1018</v>
      </c>
      <c r="C1475" s="1">
        <v>45495</v>
      </c>
      <c r="D1475" s="1">
        <v>45515</v>
      </c>
      <c r="E1475" s="1">
        <v>45519</v>
      </c>
      <c r="F1475" t="s">
        <v>29</v>
      </c>
      <c r="G1475" t="s">
        <v>39</v>
      </c>
      <c r="H1475" t="s">
        <v>46</v>
      </c>
      <c r="I1475">
        <v>20</v>
      </c>
      <c r="J1475">
        <v>4</v>
      </c>
      <c r="K1475">
        <v>5369</v>
      </c>
      <c r="L1475">
        <v>21476</v>
      </c>
      <c r="M1475" t="s">
        <v>24</v>
      </c>
      <c r="N1475">
        <v>1</v>
      </c>
      <c r="O1475" t="s">
        <v>31</v>
      </c>
    </row>
    <row r="1476" spans="1:15" x14ac:dyDescent="0.35">
      <c r="A1476">
        <v>2475</v>
      </c>
      <c r="B1476" t="s">
        <v>1019</v>
      </c>
      <c r="C1476" s="1">
        <v>45612</v>
      </c>
      <c r="D1476" s="1">
        <v>45638</v>
      </c>
      <c r="E1476" s="1">
        <v>45640</v>
      </c>
      <c r="F1476" t="s">
        <v>21</v>
      </c>
      <c r="G1476" t="s">
        <v>22</v>
      </c>
      <c r="H1476" t="s">
        <v>30</v>
      </c>
      <c r="I1476">
        <v>26</v>
      </c>
      <c r="J1476">
        <v>2</v>
      </c>
      <c r="K1476">
        <v>3912</v>
      </c>
      <c r="L1476">
        <v>7824</v>
      </c>
      <c r="M1476" t="s">
        <v>51</v>
      </c>
      <c r="N1476">
        <v>1</v>
      </c>
      <c r="O1476" t="s">
        <v>25</v>
      </c>
    </row>
    <row r="1477" spans="1:15" x14ac:dyDescent="0.35">
      <c r="A1477">
        <v>2476</v>
      </c>
      <c r="B1477" t="s">
        <v>762</v>
      </c>
      <c r="C1477" s="1">
        <v>45322</v>
      </c>
      <c r="D1477" s="1">
        <v>45349</v>
      </c>
      <c r="E1477" s="1">
        <v>45354</v>
      </c>
      <c r="F1477" t="s">
        <v>38</v>
      </c>
      <c r="G1477" t="s">
        <v>22</v>
      </c>
      <c r="H1477" t="s">
        <v>46</v>
      </c>
      <c r="I1477">
        <v>27</v>
      </c>
      <c r="J1477">
        <v>5</v>
      </c>
      <c r="K1477">
        <v>3167</v>
      </c>
      <c r="L1477">
        <v>15835</v>
      </c>
      <c r="M1477" t="s">
        <v>24</v>
      </c>
      <c r="N1477">
        <v>1</v>
      </c>
      <c r="O1477" t="s">
        <v>25</v>
      </c>
    </row>
    <row r="1478" spans="1:15" x14ac:dyDescent="0.35">
      <c r="A1478">
        <v>2477</v>
      </c>
      <c r="B1478" t="s">
        <v>1020</v>
      </c>
      <c r="C1478" s="1">
        <v>45404</v>
      </c>
      <c r="D1478" s="1">
        <v>45425</v>
      </c>
      <c r="E1478" s="1">
        <v>45429</v>
      </c>
      <c r="F1478" t="s">
        <v>38</v>
      </c>
      <c r="G1478" t="s">
        <v>22</v>
      </c>
      <c r="H1478" t="s">
        <v>30</v>
      </c>
      <c r="I1478">
        <v>21</v>
      </c>
      <c r="J1478">
        <v>4</v>
      </c>
      <c r="K1478">
        <v>5870</v>
      </c>
      <c r="L1478">
        <v>23480</v>
      </c>
      <c r="M1478" t="s">
        <v>51</v>
      </c>
      <c r="N1478">
        <v>1</v>
      </c>
      <c r="O1478" t="s">
        <v>31</v>
      </c>
    </row>
    <row r="1479" spans="1:15" x14ac:dyDescent="0.35">
      <c r="A1479">
        <v>2478</v>
      </c>
      <c r="B1479" t="s">
        <v>1021</v>
      </c>
      <c r="C1479" s="1">
        <v>45656</v>
      </c>
      <c r="D1479" s="1">
        <v>45674</v>
      </c>
      <c r="E1479" s="1">
        <v>45678</v>
      </c>
      <c r="F1479" t="s">
        <v>38</v>
      </c>
      <c r="G1479" t="s">
        <v>39</v>
      </c>
      <c r="H1479" t="s">
        <v>23</v>
      </c>
      <c r="I1479">
        <v>18</v>
      </c>
      <c r="J1479">
        <v>4</v>
      </c>
      <c r="K1479">
        <v>8476</v>
      </c>
      <c r="L1479">
        <v>33904</v>
      </c>
      <c r="M1479" t="s">
        <v>24</v>
      </c>
      <c r="N1479">
        <v>0</v>
      </c>
      <c r="O1479" t="s">
        <v>31</v>
      </c>
    </row>
    <row r="1480" spans="1:15" x14ac:dyDescent="0.35">
      <c r="A1480">
        <v>2479</v>
      </c>
      <c r="B1480" t="s">
        <v>1022</v>
      </c>
      <c r="C1480" s="1">
        <v>45616</v>
      </c>
      <c r="D1480" s="1">
        <v>45629</v>
      </c>
      <c r="E1480" s="1">
        <v>45634</v>
      </c>
      <c r="F1480" t="s">
        <v>60</v>
      </c>
      <c r="G1480" t="s">
        <v>39</v>
      </c>
      <c r="H1480" t="s">
        <v>30</v>
      </c>
      <c r="I1480">
        <v>13</v>
      </c>
      <c r="J1480">
        <v>5</v>
      </c>
      <c r="K1480">
        <v>3894</v>
      </c>
      <c r="L1480">
        <v>19470</v>
      </c>
      <c r="M1480" t="s">
        <v>51</v>
      </c>
      <c r="N1480">
        <v>0</v>
      </c>
      <c r="O1480" t="s">
        <v>25</v>
      </c>
    </row>
    <row r="1481" spans="1:15" x14ac:dyDescent="0.35">
      <c r="A1481">
        <v>2480</v>
      </c>
      <c r="B1481" t="s">
        <v>358</v>
      </c>
      <c r="C1481" s="1">
        <v>45635</v>
      </c>
      <c r="D1481" s="1">
        <v>45651</v>
      </c>
      <c r="E1481" s="1">
        <v>45653</v>
      </c>
      <c r="F1481" t="s">
        <v>60</v>
      </c>
      <c r="G1481" t="s">
        <v>39</v>
      </c>
      <c r="H1481" t="s">
        <v>46</v>
      </c>
      <c r="I1481">
        <v>16</v>
      </c>
      <c r="J1481">
        <v>2</v>
      </c>
      <c r="K1481">
        <v>2598</v>
      </c>
      <c r="L1481">
        <v>5196</v>
      </c>
      <c r="M1481" t="s">
        <v>51</v>
      </c>
      <c r="N1481">
        <v>0</v>
      </c>
      <c r="O1481" t="s">
        <v>25</v>
      </c>
    </row>
    <row r="1482" spans="1:15" x14ac:dyDescent="0.35">
      <c r="A1482">
        <v>2481</v>
      </c>
      <c r="B1482" t="s">
        <v>995</v>
      </c>
      <c r="C1482" s="1">
        <v>45358</v>
      </c>
      <c r="D1482" s="1">
        <v>45367</v>
      </c>
      <c r="E1482" s="1">
        <v>45371</v>
      </c>
      <c r="F1482" t="s">
        <v>38</v>
      </c>
      <c r="G1482" t="s">
        <v>39</v>
      </c>
      <c r="H1482" t="s">
        <v>30</v>
      </c>
      <c r="I1482">
        <v>9</v>
      </c>
      <c r="J1482">
        <v>4</v>
      </c>
      <c r="K1482">
        <v>8690</v>
      </c>
      <c r="L1482">
        <v>34760</v>
      </c>
      <c r="M1482" t="s">
        <v>51</v>
      </c>
      <c r="N1482">
        <v>0</v>
      </c>
      <c r="O1482" t="s">
        <v>25</v>
      </c>
    </row>
    <row r="1483" spans="1:15" x14ac:dyDescent="0.35">
      <c r="A1483">
        <v>2482</v>
      </c>
      <c r="B1483" t="s">
        <v>965</v>
      </c>
      <c r="C1483" s="1">
        <v>45366</v>
      </c>
      <c r="D1483" s="1">
        <v>45378</v>
      </c>
      <c r="E1483" s="1">
        <v>45383</v>
      </c>
      <c r="F1483" t="s">
        <v>21</v>
      </c>
      <c r="G1483" t="s">
        <v>22</v>
      </c>
      <c r="H1483" t="s">
        <v>46</v>
      </c>
      <c r="I1483">
        <v>12</v>
      </c>
      <c r="J1483">
        <v>5</v>
      </c>
      <c r="K1483">
        <v>6570</v>
      </c>
      <c r="L1483">
        <v>32850</v>
      </c>
      <c r="M1483" t="s">
        <v>24</v>
      </c>
      <c r="N1483">
        <v>1</v>
      </c>
      <c r="O1483" t="s">
        <v>25</v>
      </c>
    </row>
    <row r="1484" spans="1:15" x14ac:dyDescent="0.35">
      <c r="A1484">
        <v>2483</v>
      </c>
      <c r="B1484" t="s">
        <v>533</v>
      </c>
      <c r="C1484" s="1">
        <v>45336</v>
      </c>
      <c r="D1484" s="1">
        <v>45380</v>
      </c>
      <c r="E1484" s="1">
        <v>45382</v>
      </c>
      <c r="F1484" t="s">
        <v>29</v>
      </c>
      <c r="G1484" t="s">
        <v>22</v>
      </c>
      <c r="H1484" t="s">
        <v>46</v>
      </c>
      <c r="I1484">
        <v>44</v>
      </c>
      <c r="J1484">
        <v>2</v>
      </c>
      <c r="K1484">
        <v>2921</v>
      </c>
      <c r="L1484">
        <v>5842</v>
      </c>
      <c r="M1484" t="s">
        <v>51</v>
      </c>
      <c r="N1484">
        <v>0</v>
      </c>
      <c r="O1484" t="s">
        <v>25</v>
      </c>
    </row>
    <row r="1485" spans="1:15" x14ac:dyDescent="0.35">
      <c r="A1485">
        <v>2484</v>
      </c>
      <c r="B1485" t="s">
        <v>933</v>
      </c>
      <c r="C1485" s="1">
        <v>45551</v>
      </c>
      <c r="D1485" s="1">
        <v>45589</v>
      </c>
      <c r="E1485" s="1">
        <v>45594</v>
      </c>
      <c r="F1485" t="s">
        <v>35</v>
      </c>
      <c r="G1485" t="s">
        <v>22</v>
      </c>
      <c r="H1485" t="s">
        <v>23</v>
      </c>
      <c r="I1485">
        <v>38</v>
      </c>
      <c r="J1485">
        <v>5</v>
      </c>
      <c r="K1485">
        <v>8099</v>
      </c>
      <c r="L1485">
        <v>40495</v>
      </c>
      <c r="M1485" t="s">
        <v>51</v>
      </c>
      <c r="N1485">
        <v>0</v>
      </c>
      <c r="O1485" t="s">
        <v>31</v>
      </c>
    </row>
    <row r="1486" spans="1:15" x14ac:dyDescent="0.35">
      <c r="A1486">
        <v>2485</v>
      </c>
      <c r="B1486" t="s">
        <v>883</v>
      </c>
      <c r="C1486" s="1">
        <v>45445</v>
      </c>
      <c r="D1486" s="1">
        <v>45464</v>
      </c>
      <c r="E1486" s="1">
        <v>45469</v>
      </c>
      <c r="F1486" t="s">
        <v>60</v>
      </c>
      <c r="G1486" t="s">
        <v>22</v>
      </c>
      <c r="H1486" t="s">
        <v>46</v>
      </c>
      <c r="I1486">
        <v>19</v>
      </c>
      <c r="J1486">
        <v>5</v>
      </c>
      <c r="K1486">
        <v>6150</v>
      </c>
      <c r="L1486">
        <v>30750</v>
      </c>
      <c r="M1486" t="s">
        <v>24</v>
      </c>
      <c r="N1486">
        <v>0</v>
      </c>
      <c r="O1486" t="s">
        <v>25</v>
      </c>
    </row>
    <row r="1487" spans="1:15" x14ac:dyDescent="0.35">
      <c r="A1487">
        <v>2486</v>
      </c>
      <c r="B1487" t="s">
        <v>607</v>
      </c>
      <c r="C1487" s="1">
        <v>45446</v>
      </c>
      <c r="D1487" s="1">
        <v>45453</v>
      </c>
      <c r="E1487" s="1">
        <v>45457</v>
      </c>
      <c r="F1487" t="s">
        <v>21</v>
      </c>
      <c r="G1487" t="s">
        <v>39</v>
      </c>
      <c r="H1487" t="s">
        <v>23</v>
      </c>
      <c r="I1487">
        <v>7</v>
      </c>
      <c r="J1487">
        <v>4</v>
      </c>
      <c r="K1487">
        <v>6657</v>
      </c>
      <c r="L1487">
        <v>26628</v>
      </c>
      <c r="M1487" t="s">
        <v>51</v>
      </c>
      <c r="N1487">
        <v>1</v>
      </c>
      <c r="O1487" t="s">
        <v>25</v>
      </c>
    </row>
    <row r="1488" spans="1:15" x14ac:dyDescent="0.35">
      <c r="A1488">
        <v>2487</v>
      </c>
      <c r="B1488" t="s">
        <v>914</v>
      </c>
      <c r="C1488" s="1">
        <v>45654</v>
      </c>
      <c r="D1488" s="1">
        <v>45711</v>
      </c>
      <c r="E1488" s="1">
        <v>45713</v>
      </c>
      <c r="F1488" t="s">
        <v>21</v>
      </c>
      <c r="G1488" t="s">
        <v>39</v>
      </c>
      <c r="H1488" t="s">
        <v>23</v>
      </c>
      <c r="I1488">
        <v>57</v>
      </c>
      <c r="J1488">
        <v>2</v>
      </c>
      <c r="K1488">
        <v>3632</v>
      </c>
      <c r="L1488">
        <v>7264</v>
      </c>
      <c r="M1488" t="s">
        <v>51</v>
      </c>
      <c r="N1488">
        <v>0</v>
      </c>
      <c r="O1488" t="s">
        <v>25</v>
      </c>
    </row>
    <row r="1489" spans="1:15" x14ac:dyDescent="0.35">
      <c r="A1489">
        <v>2488</v>
      </c>
      <c r="B1489" t="s">
        <v>145</v>
      </c>
      <c r="C1489" s="1">
        <v>45525</v>
      </c>
      <c r="D1489" s="1">
        <v>45560</v>
      </c>
      <c r="E1489" s="1">
        <v>45564</v>
      </c>
      <c r="F1489" t="s">
        <v>35</v>
      </c>
      <c r="G1489" t="s">
        <v>22</v>
      </c>
      <c r="H1489" t="s">
        <v>30</v>
      </c>
      <c r="I1489">
        <v>35</v>
      </c>
      <c r="J1489">
        <v>4</v>
      </c>
      <c r="K1489">
        <v>4202</v>
      </c>
      <c r="L1489">
        <v>16808</v>
      </c>
      <c r="M1489" t="s">
        <v>24</v>
      </c>
      <c r="N1489">
        <v>0</v>
      </c>
      <c r="O1489" t="s">
        <v>25</v>
      </c>
    </row>
    <row r="1490" spans="1:15" x14ac:dyDescent="0.35">
      <c r="A1490">
        <v>2489</v>
      </c>
      <c r="B1490" t="s">
        <v>681</v>
      </c>
      <c r="C1490" s="1">
        <v>45342</v>
      </c>
      <c r="D1490" s="1">
        <v>45390</v>
      </c>
      <c r="E1490" s="1">
        <v>45391</v>
      </c>
      <c r="F1490" t="s">
        <v>35</v>
      </c>
      <c r="G1490" t="s">
        <v>39</v>
      </c>
      <c r="H1490" t="s">
        <v>23</v>
      </c>
      <c r="I1490">
        <v>48</v>
      </c>
      <c r="J1490">
        <v>1</v>
      </c>
      <c r="K1490">
        <v>6120</v>
      </c>
      <c r="L1490">
        <v>6120</v>
      </c>
      <c r="M1490" t="s">
        <v>51</v>
      </c>
      <c r="N1490">
        <v>0</v>
      </c>
      <c r="O1490" t="s">
        <v>25</v>
      </c>
    </row>
    <row r="1491" spans="1:15" x14ac:dyDescent="0.35">
      <c r="A1491">
        <v>2490</v>
      </c>
      <c r="B1491" t="s">
        <v>101</v>
      </c>
      <c r="C1491" s="1">
        <v>45597</v>
      </c>
      <c r="D1491" s="1">
        <v>45615</v>
      </c>
      <c r="E1491" s="1">
        <v>45616</v>
      </c>
      <c r="F1491" t="s">
        <v>21</v>
      </c>
      <c r="G1491" t="s">
        <v>39</v>
      </c>
      <c r="H1491" t="s">
        <v>46</v>
      </c>
      <c r="I1491">
        <v>18</v>
      </c>
      <c r="J1491">
        <v>1</v>
      </c>
      <c r="K1491">
        <v>5690</v>
      </c>
      <c r="L1491">
        <v>5690</v>
      </c>
      <c r="M1491" t="s">
        <v>24</v>
      </c>
      <c r="N1491">
        <v>1</v>
      </c>
      <c r="O1491" t="s">
        <v>31</v>
      </c>
    </row>
    <row r="1492" spans="1:15" x14ac:dyDescent="0.35">
      <c r="A1492">
        <v>2491</v>
      </c>
      <c r="B1492" t="s">
        <v>269</v>
      </c>
      <c r="C1492" s="1">
        <v>45553</v>
      </c>
      <c r="D1492" s="1">
        <v>45569</v>
      </c>
      <c r="E1492" s="1">
        <v>45571</v>
      </c>
      <c r="F1492" t="s">
        <v>35</v>
      </c>
      <c r="G1492" t="s">
        <v>39</v>
      </c>
      <c r="H1492" t="s">
        <v>46</v>
      </c>
      <c r="I1492">
        <v>16</v>
      </c>
      <c r="J1492">
        <v>2</v>
      </c>
      <c r="K1492">
        <v>3097</v>
      </c>
      <c r="L1492">
        <v>6194</v>
      </c>
      <c r="M1492" t="s">
        <v>51</v>
      </c>
      <c r="N1492">
        <v>0</v>
      </c>
      <c r="O1492" t="s">
        <v>25</v>
      </c>
    </row>
    <row r="1493" spans="1:15" x14ac:dyDescent="0.35">
      <c r="A1493">
        <v>2492</v>
      </c>
      <c r="B1493" t="s">
        <v>1023</v>
      </c>
      <c r="C1493" s="1">
        <v>45606</v>
      </c>
      <c r="D1493" s="1">
        <v>45661</v>
      </c>
      <c r="E1493" s="1">
        <v>45666</v>
      </c>
      <c r="F1493" t="s">
        <v>21</v>
      </c>
      <c r="G1493" t="s">
        <v>39</v>
      </c>
      <c r="H1493" t="s">
        <v>23</v>
      </c>
      <c r="I1493">
        <v>55</v>
      </c>
      <c r="J1493">
        <v>5</v>
      </c>
      <c r="K1493">
        <v>2891</v>
      </c>
      <c r="L1493">
        <v>14455</v>
      </c>
      <c r="M1493" t="s">
        <v>24</v>
      </c>
      <c r="N1493">
        <v>0</v>
      </c>
      <c r="O1493" t="s">
        <v>31</v>
      </c>
    </row>
    <row r="1494" spans="1:15" x14ac:dyDescent="0.35">
      <c r="A1494">
        <v>2493</v>
      </c>
      <c r="B1494" t="s">
        <v>1024</v>
      </c>
      <c r="C1494" s="1">
        <v>45416</v>
      </c>
      <c r="D1494" s="1">
        <v>45455</v>
      </c>
      <c r="E1494" s="1">
        <v>45459</v>
      </c>
      <c r="F1494" t="s">
        <v>35</v>
      </c>
      <c r="G1494" t="s">
        <v>22</v>
      </c>
      <c r="H1494" t="s">
        <v>30</v>
      </c>
      <c r="I1494">
        <v>39</v>
      </c>
      <c r="J1494">
        <v>4</v>
      </c>
      <c r="K1494">
        <v>3575</v>
      </c>
      <c r="L1494">
        <v>14300</v>
      </c>
      <c r="M1494" t="s">
        <v>51</v>
      </c>
      <c r="N1494">
        <v>0</v>
      </c>
      <c r="O1494" t="s">
        <v>25</v>
      </c>
    </row>
    <row r="1495" spans="1:15" x14ac:dyDescent="0.35">
      <c r="A1495">
        <v>2494</v>
      </c>
      <c r="B1495" t="s">
        <v>1025</v>
      </c>
      <c r="C1495" s="1">
        <v>45536</v>
      </c>
      <c r="D1495" s="1">
        <v>45540</v>
      </c>
      <c r="E1495" s="1">
        <v>45544</v>
      </c>
      <c r="F1495" t="s">
        <v>35</v>
      </c>
      <c r="G1495" t="s">
        <v>39</v>
      </c>
      <c r="H1495" t="s">
        <v>23</v>
      </c>
      <c r="I1495">
        <v>4</v>
      </c>
      <c r="J1495">
        <v>4</v>
      </c>
      <c r="K1495">
        <v>5150</v>
      </c>
      <c r="L1495">
        <v>20600</v>
      </c>
      <c r="M1495" t="s">
        <v>51</v>
      </c>
      <c r="N1495">
        <v>0</v>
      </c>
      <c r="O1495" t="s">
        <v>31</v>
      </c>
    </row>
    <row r="1496" spans="1:15" x14ac:dyDescent="0.35">
      <c r="A1496">
        <v>2495</v>
      </c>
      <c r="B1496" t="s">
        <v>281</v>
      </c>
      <c r="C1496" s="1">
        <v>45321</v>
      </c>
      <c r="D1496" s="1">
        <v>45380</v>
      </c>
      <c r="E1496" s="1">
        <v>45382</v>
      </c>
      <c r="F1496" t="s">
        <v>21</v>
      </c>
      <c r="G1496" t="s">
        <v>22</v>
      </c>
      <c r="H1496" t="s">
        <v>23</v>
      </c>
      <c r="I1496">
        <v>59</v>
      </c>
      <c r="J1496">
        <v>2</v>
      </c>
      <c r="K1496">
        <v>7908</v>
      </c>
      <c r="L1496">
        <v>15816</v>
      </c>
      <c r="M1496" t="s">
        <v>51</v>
      </c>
      <c r="N1496">
        <v>0</v>
      </c>
      <c r="O1496" t="s">
        <v>31</v>
      </c>
    </row>
    <row r="1497" spans="1:15" x14ac:dyDescent="0.35">
      <c r="A1497">
        <v>2496</v>
      </c>
      <c r="B1497" t="s">
        <v>321</v>
      </c>
      <c r="C1497" s="1">
        <v>45413</v>
      </c>
      <c r="D1497" s="1">
        <v>45438</v>
      </c>
      <c r="E1497" s="1">
        <v>45440</v>
      </c>
      <c r="F1497" t="s">
        <v>38</v>
      </c>
      <c r="G1497" t="s">
        <v>39</v>
      </c>
      <c r="H1497" t="s">
        <v>46</v>
      </c>
      <c r="I1497">
        <v>25</v>
      </c>
      <c r="J1497">
        <v>2</v>
      </c>
      <c r="K1497">
        <v>8625</v>
      </c>
      <c r="L1497">
        <v>17250</v>
      </c>
      <c r="M1497" t="s">
        <v>24</v>
      </c>
      <c r="N1497">
        <v>1</v>
      </c>
      <c r="O1497" t="s">
        <v>25</v>
      </c>
    </row>
    <row r="1498" spans="1:15" x14ac:dyDescent="0.35">
      <c r="A1498">
        <v>2497</v>
      </c>
      <c r="B1498" t="s">
        <v>458</v>
      </c>
      <c r="C1498" s="1">
        <v>45416</v>
      </c>
      <c r="D1498" s="1">
        <v>45448</v>
      </c>
      <c r="E1498" s="1">
        <v>45449</v>
      </c>
      <c r="F1498" t="s">
        <v>21</v>
      </c>
      <c r="G1498" t="s">
        <v>39</v>
      </c>
      <c r="H1498" t="s">
        <v>30</v>
      </c>
      <c r="I1498">
        <v>32</v>
      </c>
      <c r="J1498">
        <v>1</v>
      </c>
      <c r="K1498">
        <v>4884</v>
      </c>
      <c r="L1498">
        <v>4884</v>
      </c>
      <c r="M1498" t="s">
        <v>51</v>
      </c>
      <c r="N1498">
        <v>0</v>
      </c>
      <c r="O1498" t="s">
        <v>25</v>
      </c>
    </row>
    <row r="1499" spans="1:15" x14ac:dyDescent="0.35">
      <c r="A1499">
        <v>2498</v>
      </c>
      <c r="B1499" t="s">
        <v>407</v>
      </c>
      <c r="C1499" s="1">
        <v>45328</v>
      </c>
      <c r="D1499" s="1">
        <v>45368</v>
      </c>
      <c r="E1499" s="1">
        <v>45371</v>
      </c>
      <c r="F1499" t="s">
        <v>29</v>
      </c>
      <c r="G1499" t="s">
        <v>22</v>
      </c>
      <c r="H1499" t="s">
        <v>30</v>
      </c>
      <c r="I1499">
        <v>40</v>
      </c>
      <c r="J1499">
        <v>3</v>
      </c>
      <c r="K1499">
        <v>3309</v>
      </c>
      <c r="L1499">
        <v>9927</v>
      </c>
      <c r="M1499" t="s">
        <v>51</v>
      </c>
      <c r="N1499">
        <v>1</v>
      </c>
      <c r="O1499" t="s">
        <v>25</v>
      </c>
    </row>
    <row r="1500" spans="1:15" x14ac:dyDescent="0.35">
      <c r="A1500">
        <v>2499</v>
      </c>
      <c r="B1500" t="s">
        <v>948</v>
      </c>
      <c r="C1500" s="1">
        <v>45461</v>
      </c>
      <c r="D1500" s="1">
        <v>45474</v>
      </c>
      <c r="E1500" s="1">
        <v>45476</v>
      </c>
      <c r="F1500" t="s">
        <v>35</v>
      </c>
      <c r="G1500" t="s">
        <v>22</v>
      </c>
      <c r="H1500" t="s">
        <v>30</v>
      </c>
      <c r="I1500">
        <v>13</v>
      </c>
      <c r="J1500">
        <v>2</v>
      </c>
      <c r="K1500">
        <v>5809</v>
      </c>
      <c r="L1500">
        <v>11618</v>
      </c>
      <c r="M1500" t="s">
        <v>24</v>
      </c>
      <c r="N1500">
        <v>0</v>
      </c>
      <c r="O1500" t="s">
        <v>25</v>
      </c>
    </row>
    <row r="1501" spans="1:15" x14ac:dyDescent="0.35">
      <c r="A1501">
        <v>2500</v>
      </c>
      <c r="B1501" t="s">
        <v>518</v>
      </c>
      <c r="C1501" s="1">
        <v>45415</v>
      </c>
      <c r="D1501" s="1">
        <v>45460</v>
      </c>
      <c r="E1501" s="1">
        <v>45463</v>
      </c>
      <c r="F1501" t="s">
        <v>60</v>
      </c>
      <c r="G1501" t="s">
        <v>39</v>
      </c>
      <c r="H1501" t="s">
        <v>30</v>
      </c>
      <c r="I1501">
        <v>45</v>
      </c>
      <c r="J1501">
        <v>3</v>
      </c>
      <c r="K1501">
        <v>8001</v>
      </c>
      <c r="L1501">
        <v>24003</v>
      </c>
      <c r="M1501" t="s">
        <v>24</v>
      </c>
      <c r="N1501">
        <v>1</v>
      </c>
      <c r="O1501" t="s">
        <v>25</v>
      </c>
    </row>
    <row r="1502" spans="1:15" x14ac:dyDescent="0.35">
      <c r="A1502">
        <v>2501</v>
      </c>
      <c r="B1502" t="s">
        <v>1026</v>
      </c>
      <c r="C1502" s="1">
        <v>45648</v>
      </c>
      <c r="D1502" s="1">
        <v>45665</v>
      </c>
      <c r="E1502" s="1">
        <v>45667</v>
      </c>
      <c r="F1502" t="s">
        <v>35</v>
      </c>
      <c r="G1502" t="s">
        <v>39</v>
      </c>
      <c r="H1502" t="s">
        <v>46</v>
      </c>
      <c r="I1502">
        <v>17</v>
      </c>
      <c r="J1502">
        <v>2</v>
      </c>
      <c r="K1502">
        <v>6238</v>
      </c>
      <c r="L1502">
        <v>12476</v>
      </c>
      <c r="M1502" t="s">
        <v>24</v>
      </c>
      <c r="N1502">
        <v>0</v>
      </c>
      <c r="O1502" t="s">
        <v>31</v>
      </c>
    </row>
    <row r="1503" spans="1:15" x14ac:dyDescent="0.35">
      <c r="A1503">
        <v>2502</v>
      </c>
      <c r="B1503" t="s">
        <v>301</v>
      </c>
      <c r="C1503" s="1">
        <v>45326</v>
      </c>
      <c r="D1503" s="1">
        <v>45375</v>
      </c>
      <c r="E1503" s="1">
        <v>45380</v>
      </c>
      <c r="F1503" t="s">
        <v>29</v>
      </c>
      <c r="G1503" t="s">
        <v>22</v>
      </c>
      <c r="H1503" t="s">
        <v>30</v>
      </c>
      <c r="I1503">
        <v>49</v>
      </c>
      <c r="J1503">
        <v>5</v>
      </c>
      <c r="K1503">
        <v>3659</v>
      </c>
      <c r="L1503">
        <v>18295</v>
      </c>
      <c r="M1503" t="s">
        <v>51</v>
      </c>
      <c r="N1503">
        <v>1</v>
      </c>
      <c r="O1503" t="s">
        <v>25</v>
      </c>
    </row>
    <row r="1504" spans="1:15" x14ac:dyDescent="0.35">
      <c r="A1504">
        <v>2503</v>
      </c>
      <c r="B1504" t="s">
        <v>398</v>
      </c>
      <c r="C1504" s="1">
        <v>45378</v>
      </c>
      <c r="D1504" s="1">
        <v>45415</v>
      </c>
      <c r="E1504" s="1">
        <v>45420</v>
      </c>
      <c r="F1504" t="s">
        <v>60</v>
      </c>
      <c r="G1504" t="s">
        <v>39</v>
      </c>
      <c r="H1504" t="s">
        <v>30</v>
      </c>
      <c r="I1504">
        <v>37</v>
      </c>
      <c r="J1504">
        <v>5</v>
      </c>
      <c r="K1504">
        <v>4031</v>
      </c>
      <c r="L1504">
        <v>20155</v>
      </c>
      <c r="M1504" t="s">
        <v>51</v>
      </c>
      <c r="N1504">
        <v>0</v>
      </c>
      <c r="O1504" t="s">
        <v>25</v>
      </c>
    </row>
    <row r="1505" spans="1:15" x14ac:dyDescent="0.35">
      <c r="A1505">
        <v>2504</v>
      </c>
      <c r="B1505" t="s">
        <v>249</v>
      </c>
      <c r="C1505" s="1">
        <v>45425</v>
      </c>
      <c r="D1505" s="1">
        <v>45431</v>
      </c>
      <c r="E1505" s="1">
        <v>45432</v>
      </c>
      <c r="F1505" t="s">
        <v>60</v>
      </c>
      <c r="G1505" t="s">
        <v>39</v>
      </c>
      <c r="H1505" t="s">
        <v>30</v>
      </c>
      <c r="I1505">
        <v>6</v>
      </c>
      <c r="J1505">
        <v>1</v>
      </c>
      <c r="K1505">
        <v>7981</v>
      </c>
      <c r="L1505">
        <v>7981</v>
      </c>
      <c r="M1505" t="s">
        <v>51</v>
      </c>
      <c r="N1505">
        <v>0</v>
      </c>
      <c r="O1505" t="s">
        <v>31</v>
      </c>
    </row>
    <row r="1506" spans="1:15" x14ac:dyDescent="0.35">
      <c r="A1506">
        <v>2505</v>
      </c>
      <c r="B1506" t="s">
        <v>708</v>
      </c>
      <c r="C1506" s="1">
        <v>45487</v>
      </c>
      <c r="D1506" s="1">
        <v>45506</v>
      </c>
      <c r="E1506" s="1">
        <v>45507</v>
      </c>
      <c r="F1506" t="s">
        <v>21</v>
      </c>
      <c r="G1506" t="s">
        <v>22</v>
      </c>
      <c r="H1506" t="s">
        <v>46</v>
      </c>
      <c r="I1506">
        <v>19</v>
      </c>
      <c r="J1506">
        <v>1</v>
      </c>
      <c r="K1506">
        <v>7476</v>
      </c>
      <c r="L1506">
        <v>7476</v>
      </c>
      <c r="M1506" t="s">
        <v>24</v>
      </c>
      <c r="N1506">
        <v>0</v>
      </c>
      <c r="O1506" t="s">
        <v>25</v>
      </c>
    </row>
    <row r="1507" spans="1:15" x14ac:dyDescent="0.35">
      <c r="A1507">
        <v>2506</v>
      </c>
      <c r="B1507" t="s">
        <v>867</v>
      </c>
      <c r="C1507" s="1">
        <v>45565</v>
      </c>
      <c r="D1507" s="1">
        <v>45578</v>
      </c>
      <c r="E1507" s="1">
        <v>45581</v>
      </c>
      <c r="F1507" t="s">
        <v>38</v>
      </c>
      <c r="G1507" t="s">
        <v>39</v>
      </c>
      <c r="H1507" t="s">
        <v>46</v>
      </c>
      <c r="I1507">
        <v>13</v>
      </c>
      <c r="J1507">
        <v>3</v>
      </c>
      <c r="K1507">
        <v>8195</v>
      </c>
      <c r="L1507">
        <v>24585</v>
      </c>
      <c r="M1507" t="s">
        <v>24</v>
      </c>
      <c r="N1507">
        <v>0</v>
      </c>
      <c r="O1507" t="s">
        <v>31</v>
      </c>
    </row>
    <row r="1508" spans="1:15" x14ac:dyDescent="0.35">
      <c r="A1508">
        <v>2507</v>
      </c>
      <c r="B1508" t="s">
        <v>1027</v>
      </c>
      <c r="C1508" s="1">
        <v>45492</v>
      </c>
      <c r="D1508" s="1">
        <v>45549</v>
      </c>
      <c r="E1508" s="1">
        <v>45551</v>
      </c>
      <c r="F1508" t="s">
        <v>21</v>
      </c>
      <c r="G1508" t="s">
        <v>39</v>
      </c>
      <c r="H1508" t="s">
        <v>30</v>
      </c>
      <c r="I1508">
        <v>57</v>
      </c>
      <c r="J1508">
        <v>2</v>
      </c>
      <c r="K1508">
        <v>5182</v>
      </c>
      <c r="L1508">
        <v>10364</v>
      </c>
      <c r="M1508" t="s">
        <v>51</v>
      </c>
      <c r="N1508">
        <v>1</v>
      </c>
      <c r="O1508" t="s">
        <v>25</v>
      </c>
    </row>
    <row r="1509" spans="1:15" x14ac:dyDescent="0.35">
      <c r="A1509">
        <v>2508</v>
      </c>
      <c r="B1509" t="s">
        <v>1028</v>
      </c>
      <c r="C1509" s="1">
        <v>45576</v>
      </c>
      <c r="D1509" s="1">
        <v>45602</v>
      </c>
      <c r="E1509" s="1">
        <v>45606</v>
      </c>
      <c r="F1509" t="s">
        <v>60</v>
      </c>
      <c r="G1509" t="s">
        <v>39</v>
      </c>
      <c r="H1509" t="s">
        <v>46</v>
      </c>
      <c r="I1509">
        <v>26</v>
      </c>
      <c r="J1509">
        <v>4</v>
      </c>
      <c r="K1509">
        <v>2753</v>
      </c>
      <c r="L1509">
        <v>11012</v>
      </c>
      <c r="M1509" t="s">
        <v>51</v>
      </c>
      <c r="N1509">
        <v>1</v>
      </c>
      <c r="O1509" t="s">
        <v>31</v>
      </c>
    </row>
    <row r="1510" spans="1:15" x14ac:dyDescent="0.35">
      <c r="A1510">
        <v>2509</v>
      </c>
      <c r="B1510" t="s">
        <v>1029</v>
      </c>
      <c r="C1510" s="1">
        <v>45368</v>
      </c>
      <c r="D1510" s="1">
        <v>45382</v>
      </c>
      <c r="E1510" s="1">
        <v>45383</v>
      </c>
      <c r="F1510" t="s">
        <v>60</v>
      </c>
      <c r="G1510" t="s">
        <v>39</v>
      </c>
      <c r="H1510" t="s">
        <v>23</v>
      </c>
      <c r="I1510">
        <v>14</v>
      </c>
      <c r="J1510">
        <v>1</v>
      </c>
      <c r="K1510">
        <v>6048</v>
      </c>
      <c r="L1510">
        <v>6048</v>
      </c>
      <c r="M1510" t="s">
        <v>24</v>
      </c>
      <c r="N1510">
        <v>1</v>
      </c>
      <c r="O1510" t="s">
        <v>25</v>
      </c>
    </row>
    <row r="1511" spans="1:15" x14ac:dyDescent="0.35">
      <c r="A1511">
        <v>2510</v>
      </c>
      <c r="B1511" t="s">
        <v>673</v>
      </c>
      <c r="C1511" s="1">
        <v>45350</v>
      </c>
      <c r="D1511" s="1">
        <v>45381</v>
      </c>
      <c r="E1511" s="1">
        <v>45385</v>
      </c>
      <c r="F1511" t="s">
        <v>38</v>
      </c>
      <c r="G1511" t="s">
        <v>39</v>
      </c>
      <c r="H1511" t="s">
        <v>30</v>
      </c>
      <c r="I1511">
        <v>31</v>
      </c>
      <c r="J1511">
        <v>4</v>
      </c>
      <c r="K1511">
        <v>5685</v>
      </c>
      <c r="L1511">
        <v>22740</v>
      </c>
      <c r="M1511" t="s">
        <v>24</v>
      </c>
      <c r="N1511">
        <v>1</v>
      </c>
      <c r="O1511" t="s">
        <v>31</v>
      </c>
    </row>
    <row r="1512" spans="1:15" x14ac:dyDescent="0.35">
      <c r="A1512">
        <v>2511</v>
      </c>
      <c r="B1512" t="s">
        <v>366</v>
      </c>
      <c r="C1512" s="1">
        <v>45417</v>
      </c>
      <c r="D1512" s="1">
        <v>45471</v>
      </c>
      <c r="E1512" s="1">
        <v>45475</v>
      </c>
      <c r="F1512" t="s">
        <v>35</v>
      </c>
      <c r="G1512" t="s">
        <v>22</v>
      </c>
      <c r="H1512" t="s">
        <v>46</v>
      </c>
      <c r="I1512">
        <v>54</v>
      </c>
      <c r="J1512">
        <v>4</v>
      </c>
      <c r="K1512">
        <v>8663</v>
      </c>
      <c r="L1512">
        <v>34652</v>
      </c>
      <c r="M1512" t="s">
        <v>24</v>
      </c>
      <c r="N1512">
        <v>1</v>
      </c>
      <c r="O1512" t="s">
        <v>31</v>
      </c>
    </row>
    <row r="1513" spans="1:15" x14ac:dyDescent="0.35">
      <c r="A1513">
        <v>2512</v>
      </c>
      <c r="B1513" t="s">
        <v>690</v>
      </c>
      <c r="C1513" s="1">
        <v>45400</v>
      </c>
      <c r="D1513" s="1">
        <v>45404</v>
      </c>
      <c r="E1513" s="1">
        <v>45406</v>
      </c>
      <c r="F1513" t="s">
        <v>38</v>
      </c>
      <c r="G1513" t="s">
        <v>39</v>
      </c>
      <c r="H1513" t="s">
        <v>30</v>
      </c>
      <c r="I1513">
        <v>4</v>
      </c>
      <c r="J1513">
        <v>2</v>
      </c>
      <c r="K1513">
        <v>7764</v>
      </c>
      <c r="L1513">
        <v>15528</v>
      </c>
      <c r="M1513" t="s">
        <v>51</v>
      </c>
      <c r="N1513">
        <v>0</v>
      </c>
      <c r="O1513" t="s">
        <v>25</v>
      </c>
    </row>
    <row r="1514" spans="1:15" x14ac:dyDescent="0.35">
      <c r="A1514">
        <v>2513</v>
      </c>
      <c r="B1514" t="s">
        <v>437</v>
      </c>
      <c r="C1514" s="1">
        <v>45515</v>
      </c>
      <c r="D1514" s="1">
        <v>45554</v>
      </c>
      <c r="E1514" s="1">
        <v>45557</v>
      </c>
      <c r="F1514" t="s">
        <v>21</v>
      </c>
      <c r="G1514" t="s">
        <v>22</v>
      </c>
      <c r="H1514" t="s">
        <v>30</v>
      </c>
      <c r="I1514">
        <v>39</v>
      </c>
      <c r="J1514">
        <v>3</v>
      </c>
      <c r="K1514">
        <v>3731</v>
      </c>
      <c r="L1514">
        <v>11193</v>
      </c>
      <c r="M1514" t="s">
        <v>24</v>
      </c>
      <c r="N1514">
        <v>0</v>
      </c>
      <c r="O1514" t="s">
        <v>25</v>
      </c>
    </row>
    <row r="1515" spans="1:15" x14ac:dyDescent="0.35">
      <c r="A1515">
        <v>2514</v>
      </c>
      <c r="B1515" t="s">
        <v>1030</v>
      </c>
      <c r="C1515" s="1">
        <v>45569</v>
      </c>
      <c r="D1515" s="1">
        <v>45577</v>
      </c>
      <c r="E1515" s="1">
        <v>45579</v>
      </c>
      <c r="F1515" t="s">
        <v>35</v>
      </c>
      <c r="G1515" t="s">
        <v>22</v>
      </c>
      <c r="H1515" t="s">
        <v>46</v>
      </c>
      <c r="I1515">
        <v>8</v>
      </c>
      <c r="J1515">
        <v>2</v>
      </c>
      <c r="K1515">
        <v>4923</v>
      </c>
      <c r="L1515">
        <v>9846</v>
      </c>
      <c r="M1515" t="s">
        <v>24</v>
      </c>
      <c r="N1515">
        <v>1</v>
      </c>
      <c r="O1515" t="s">
        <v>25</v>
      </c>
    </row>
    <row r="1516" spans="1:15" x14ac:dyDescent="0.35">
      <c r="A1516">
        <v>2515</v>
      </c>
      <c r="B1516" t="s">
        <v>512</v>
      </c>
      <c r="C1516" s="1">
        <v>45359</v>
      </c>
      <c r="D1516" s="1">
        <v>45384</v>
      </c>
      <c r="E1516" s="1">
        <v>45385</v>
      </c>
      <c r="F1516" t="s">
        <v>21</v>
      </c>
      <c r="G1516" t="s">
        <v>39</v>
      </c>
      <c r="H1516" t="s">
        <v>23</v>
      </c>
      <c r="I1516">
        <v>25</v>
      </c>
      <c r="J1516">
        <v>1</v>
      </c>
      <c r="K1516">
        <v>6075</v>
      </c>
      <c r="L1516">
        <v>6075</v>
      </c>
      <c r="M1516" t="s">
        <v>24</v>
      </c>
      <c r="N1516">
        <v>1</v>
      </c>
      <c r="O1516" t="s">
        <v>31</v>
      </c>
    </row>
    <row r="1517" spans="1:15" x14ac:dyDescent="0.35">
      <c r="A1517">
        <v>2516</v>
      </c>
      <c r="B1517" t="s">
        <v>715</v>
      </c>
      <c r="C1517" s="1">
        <v>45360</v>
      </c>
      <c r="D1517" s="1">
        <v>45373</v>
      </c>
      <c r="E1517" s="1">
        <v>45377</v>
      </c>
      <c r="F1517" t="s">
        <v>38</v>
      </c>
      <c r="G1517" t="s">
        <v>22</v>
      </c>
      <c r="H1517" t="s">
        <v>30</v>
      </c>
      <c r="I1517">
        <v>13</v>
      </c>
      <c r="J1517">
        <v>4</v>
      </c>
      <c r="K1517">
        <v>6761</v>
      </c>
      <c r="L1517">
        <v>27044</v>
      </c>
      <c r="M1517" t="s">
        <v>24</v>
      </c>
      <c r="N1517">
        <v>0</v>
      </c>
      <c r="O1517" t="s">
        <v>31</v>
      </c>
    </row>
    <row r="1518" spans="1:15" x14ac:dyDescent="0.35">
      <c r="A1518">
        <v>2517</v>
      </c>
      <c r="B1518" t="s">
        <v>1031</v>
      </c>
      <c r="C1518" s="1">
        <v>45456</v>
      </c>
      <c r="D1518" s="1">
        <v>45488</v>
      </c>
      <c r="E1518" s="1">
        <v>45490</v>
      </c>
      <c r="F1518" t="s">
        <v>35</v>
      </c>
      <c r="G1518" t="s">
        <v>39</v>
      </c>
      <c r="H1518" t="s">
        <v>23</v>
      </c>
      <c r="I1518">
        <v>32</v>
      </c>
      <c r="J1518">
        <v>2</v>
      </c>
      <c r="K1518">
        <v>4073</v>
      </c>
      <c r="L1518">
        <v>8146</v>
      </c>
      <c r="M1518" t="s">
        <v>51</v>
      </c>
      <c r="N1518">
        <v>0</v>
      </c>
      <c r="O1518" t="s">
        <v>31</v>
      </c>
    </row>
    <row r="1519" spans="1:15" x14ac:dyDescent="0.35">
      <c r="A1519">
        <v>2518</v>
      </c>
      <c r="B1519" t="s">
        <v>588</v>
      </c>
      <c r="C1519" s="1">
        <v>45596</v>
      </c>
      <c r="D1519" s="1">
        <v>45655</v>
      </c>
      <c r="E1519" s="1">
        <v>45657</v>
      </c>
      <c r="F1519" t="s">
        <v>38</v>
      </c>
      <c r="G1519" t="s">
        <v>22</v>
      </c>
      <c r="H1519" t="s">
        <v>46</v>
      </c>
      <c r="I1519">
        <v>59</v>
      </c>
      <c r="J1519">
        <v>2</v>
      </c>
      <c r="K1519">
        <v>5408</v>
      </c>
      <c r="L1519">
        <v>10816</v>
      </c>
      <c r="M1519" t="s">
        <v>24</v>
      </c>
      <c r="N1519">
        <v>1</v>
      </c>
      <c r="O1519" t="s">
        <v>25</v>
      </c>
    </row>
    <row r="1520" spans="1:15" x14ac:dyDescent="0.35">
      <c r="A1520">
        <v>2519</v>
      </c>
      <c r="B1520" t="s">
        <v>1032</v>
      </c>
      <c r="C1520" s="1">
        <v>45453</v>
      </c>
      <c r="D1520" s="1">
        <v>45491</v>
      </c>
      <c r="E1520" s="1">
        <v>45493</v>
      </c>
      <c r="F1520" t="s">
        <v>29</v>
      </c>
      <c r="G1520" t="s">
        <v>22</v>
      </c>
      <c r="H1520" t="s">
        <v>30</v>
      </c>
      <c r="I1520">
        <v>38</v>
      </c>
      <c r="J1520">
        <v>2</v>
      </c>
      <c r="K1520">
        <v>7212</v>
      </c>
      <c r="L1520">
        <v>14424</v>
      </c>
      <c r="M1520" t="s">
        <v>51</v>
      </c>
      <c r="N1520">
        <v>0</v>
      </c>
      <c r="O1520" t="s">
        <v>25</v>
      </c>
    </row>
    <row r="1521" spans="1:15" x14ac:dyDescent="0.35">
      <c r="A1521">
        <v>2520</v>
      </c>
      <c r="B1521" t="s">
        <v>156</v>
      </c>
      <c r="C1521" s="1">
        <v>45656</v>
      </c>
      <c r="D1521" s="1">
        <v>45694</v>
      </c>
      <c r="E1521" s="1">
        <v>45695</v>
      </c>
      <c r="F1521" t="s">
        <v>60</v>
      </c>
      <c r="G1521" t="s">
        <v>22</v>
      </c>
      <c r="H1521" t="s">
        <v>46</v>
      </c>
      <c r="I1521">
        <v>38</v>
      </c>
      <c r="J1521">
        <v>1</v>
      </c>
      <c r="K1521">
        <v>4125</v>
      </c>
      <c r="L1521">
        <v>4125</v>
      </c>
      <c r="M1521" t="s">
        <v>51</v>
      </c>
      <c r="N1521">
        <v>0</v>
      </c>
      <c r="O1521" t="s">
        <v>31</v>
      </c>
    </row>
    <row r="1522" spans="1:15" x14ac:dyDescent="0.35">
      <c r="A1522">
        <v>2521</v>
      </c>
      <c r="B1522" t="s">
        <v>807</v>
      </c>
      <c r="C1522" s="1">
        <v>45633</v>
      </c>
      <c r="D1522" s="1">
        <v>45689</v>
      </c>
      <c r="E1522" s="1">
        <v>45692</v>
      </c>
      <c r="F1522" t="s">
        <v>35</v>
      </c>
      <c r="G1522" t="s">
        <v>39</v>
      </c>
      <c r="H1522" t="s">
        <v>46</v>
      </c>
      <c r="I1522">
        <v>56</v>
      </c>
      <c r="J1522">
        <v>3</v>
      </c>
      <c r="K1522">
        <v>6498</v>
      </c>
      <c r="L1522">
        <v>19494</v>
      </c>
      <c r="M1522" t="s">
        <v>24</v>
      </c>
      <c r="N1522">
        <v>1</v>
      </c>
      <c r="O1522" t="s">
        <v>25</v>
      </c>
    </row>
    <row r="1523" spans="1:15" x14ac:dyDescent="0.35">
      <c r="A1523">
        <v>2522</v>
      </c>
      <c r="B1523" t="s">
        <v>1033</v>
      </c>
      <c r="C1523" s="1">
        <v>45600</v>
      </c>
      <c r="D1523" s="1">
        <v>45628</v>
      </c>
      <c r="E1523" s="1">
        <v>45630</v>
      </c>
      <c r="F1523" t="s">
        <v>60</v>
      </c>
      <c r="G1523" t="s">
        <v>22</v>
      </c>
      <c r="H1523" t="s">
        <v>46</v>
      </c>
      <c r="I1523">
        <v>28</v>
      </c>
      <c r="J1523">
        <v>2</v>
      </c>
      <c r="K1523">
        <v>6383</v>
      </c>
      <c r="L1523">
        <v>12766</v>
      </c>
      <c r="M1523" t="s">
        <v>24</v>
      </c>
      <c r="N1523">
        <v>0</v>
      </c>
      <c r="O1523" t="s">
        <v>31</v>
      </c>
    </row>
    <row r="1524" spans="1:15" x14ac:dyDescent="0.35">
      <c r="A1524">
        <v>2523</v>
      </c>
      <c r="B1524" t="s">
        <v>563</v>
      </c>
      <c r="C1524" s="1">
        <v>45634</v>
      </c>
      <c r="D1524" s="1">
        <v>45687</v>
      </c>
      <c r="E1524" s="1">
        <v>45688</v>
      </c>
      <c r="F1524" t="s">
        <v>29</v>
      </c>
      <c r="G1524" t="s">
        <v>22</v>
      </c>
      <c r="H1524" t="s">
        <v>46</v>
      </c>
      <c r="I1524">
        <v>53</v>
      </c>
      <c r="J1524">
        <v>1</v>
      </c>
      <c r="K1524">
        <v>6015</v>
      </c>
      <c r="L1524">
        <v>6015</v>
      </c>
      <c r="M1524" t="s">
        <v>51</v>
      </c>
      <c r="N1524">
        <v>1</v>
      </c>
      <c r="O1524" t="s">
        <v>25</v>
      </c>
    </row>
    <row r="1525" spans="1:15" x14ac:dyDescent="0.35">
      <c r="A1525">
        <v>2524</v>
      </c>
      <c r="B1525" t="s">
        <v>882</v>
      </c>
      <c r="C1525" s="1">
        <v>45333</v>
      </c>
      <c r="D1525" s="1">
        <v>45363</v>
      </c>
      <c r="E1525" s="1">
        <v>45367</v>
      </c>
      <c r="F1525" t="s">
        <v>35</v>
      </c>
      <c r="G1525" t="s">
        <v>22</v>
      </c>
      <c r="H1525" t="s">
        <v>30</v>
      </c>
      <c r="I1525">
        <v>30</v>
      </c>
      <c r="J1525">
        <v>4</v>
      </c>
      <c r="K1525">
        <v>5903</v>
      </c>
      <c r="L1525">
        <v>23612</v>
      </c>
      <c r="M1525" t="s">
        <v>24</v>
      </c>
      <c r="N1525">
        <v>0</v>
      </c>
      <c r="O1525" t="s">
        <v>25</v>
      </c>
    </row>
    <row r="1526" spans="1:15" x14ac:dyDescent="0.35">
      <c r="A1526">
        <v>2525</v>
      </c>
      <c r="B1526" t="s">
        <v>1034</v>
      </c>
      <c r="C1526" s="1">
        <v>45645</v>
      </c>
      <c r="D1526" s="1">
        <v>45648</v>
      </c>
      <c r="E1526" s="1">
        <v>45653</v>
      </c>
      <c r="F1526" t="s">
        <v>60</v>
      </c>
      <c r="G1526" t="s">
        <v>39</v>
      </c>
      <c r="H1526" t="s">
        <v>23</v>
      </c>
      <c r="I1526">
        <v>3</v>
      </c>
      <c r="J1526">
        <v>5</v>
      </c>
      <c r="K1526">
        <v>7098</v>
      </c>
      <c r="L1526">
        <v>35490</v>
      </c>
      <c r="M1526" t="s">
        <v>51</v>
      </c>
      <c r="N1526">
        <v>0</v>
      </c>
      <c r="O1526" t="s">
        <v>31</v>
      </c>
    </row>
    <row r="1527" spans="1:15" x14ac:dyDescent="0.35">
      <c r="A1527">
        <v>2526</v>
      </c>
      <c r="B1527" t="s">
        <v>1032</v>
      </c>
      <c r="C1527" s="1">
        <v>45400</v>
      </c>
      <c r="D1527" s="1">
        <v>45428</v>
      </c>
      <c r="E1527" s="1">
        <v>45429</v>
      </c>
      <c r="F1527" t="s">
        <v>60</v>
      </c>
      <c r="G1527" t="s">
        <v>39</v>
      </c>
      <c r="H1527" t="s">
        <v>23</v>
      </c>
      <c r="I1527">
        <v>28</v>
      </c>
      <c r="J1527">
        <v>1</v>
      </c>
      <c r="K1527">
        <v>7508</v>
      </c>
      <c r="L1527">
        <v>7508</v>
      </c>
      <c r="M1527" t="s">
        <v>24</v>
      </c>
      <c r="N1527">
        <v>1</v>
      </c>
      <c r="O1527" t="s">
        <v>25</v>
      </c>
    </row>
    <row r="1528" spans="1:15" x14ac:dyDescent="0.35">
      <c r="A1528">
        <v>2527</v>
      </c>
      <c r="B1528" t="s">
        <v>1035</v>
      </c>
      <c r="C1528" s="1">
        <v>45342</v>
      </c>
      <c r="D1528" s="1">
        <v>45345</v>
      </c>
      <c r="E1528" s="1">
        <v>45350</v>
      </c>
      <c r="F1528" t="s">
        <v>35</v>
      </c>
      <c r="G1528" t="s">
        <v>22</v>
      </c>
      <c r="H1528" t="s">
        <v>30</v>
      </c>
      <c r="I1528">
        <v>3</v>
      </c>
      <c r="J1528">
        <v>5</v>
      </c>
      <c r="K1528">
        <v>8722</v>
      </c>
      <c r="L1528">
        <v>43610</v>
      </c>
      <c r="M1528" t="s">
        <v>51</v>
      </c>
      <c r="N1528">
        <v>0</v>
      </c>
      <c r="O1528" t="s">
        <v>25</v>
      </c>
    </row>
    <row r="1529" spans="1:15" x14ac:dyDescent="0.35">
      <c r="A1529">
        <v>2528</v>
      </c>
      <c r="B1529" t="s">
        <v>180</v>
      </c>
      <c r="C1529" s="1">
        <v>45541</v>
      </c>
      <c r="D1529" s="1">
        <v>45586</v>
      </c>
      <c r="E1529" s="1">
        <v>45588</v>
      </c>
      <c r="F1529" t="s">
        <v>60</v>
      </c>
      <c r="G1529" t="s">
        <v>22</v>
      </c>
      <c r="H1529" t="s">
        <v>30</v>
      </c>
      <c r="I1529">
        <v>45</v>
      </c>
      <c r="J1529">
        <v>2</v>
      </c>
      <c r="K1529">
        <v>7180</v>
      </c>
      <c r="L1529">
        <v>14360</v>
      </c>
      <c r="M1529" t="s">
        <v>51</v>
      </c>
      <c r="N1529">
        <v>1</v>
      </c>
      <c r="O1529" t="s">
        <v>25</v>
      </c>
    </row>
    <row r="1530" spans="1:15" x14ac:dyDescent="0.35">
      <c r="A1530">
        <v>2529</v>
      </c>
      <c r="B1530" t="s">
        <v>1036</v>
      </c>
      <c r="C1530" s="1">
        <v>45632</v>
      </c>
      <c r="D1530" s="1">
        <v>45686</v>
      </c>
      <c r="E1530" s="1">
        <v>45688</v>
      </c>
      <c r="F1530" t="s">
        <v>60</v>
      </c>
      <c r="G1530" t="s">
        <v>22</v>
      </c>
      <c r="H1530" t="s">
        <v>23</v>
      </c>
      <c r="I1530">
        <v>54</v>
      </c>
      <c r="J1530">
        <v>2</v>
      </c>
      <c r="K1530">
        <v>4458</v>
      </c>
      <c r="L1530">
        <v>8916</v>
      </c>
      <c r="M1530" t="s">
        <v>51</v>
      </c>
      <c r="N1530">
        <v>1</v>
      </c>
      <c r="O1530" t="s">
        <v>25</v>
      </c>
    </row>
    <row r="1531" spans="1:15" x14ac:dyDescent="0.35">
      <c r="A1531">
        <v>2530</v>
      </c>
      <c r="B1531" t="s">
        <v>67</v>
      </c>
      <c r="C1531" s="1">
        <v>45312</v>
      </c>
      <c r="D1531" s="1">
        <v>45346</v>
      </c>
      <c r="E1531" s="1">
        <v>45347</v>
      </c>
      <c r="F1531" t="s">
        <v>35</v>
      </c>
      <c r="G1531" t="s">
        <v>22</v>
      </c>
      <c r="H1531" t="s">
        <v>23</v>
      </c>
      <c r="I1531">
        <v>34</v>
      </c>
      <c r="J1531">
        <v>1</v>
      </c>
      <c r="K1531">
        <v>6509</v>
      </c>
      <c r="L1531">
        <v>6509</v>
      </c>
      <c r="M1531" t="s">
        <v>24</v>
      </c>
      <c r="N1531">
        <v>1</v>
      </c>
      <c r="O1531" t="s">
        <v>25</v>
      </c>
    </row>
    <row r="1532" spans="1:15" x14ac:dyDescent="0.35">
      <c r="A1532">
        <v>2531</v>
      </c>
      <c r="B1532" t="s">
        <v>214</v>
      </c>
      <c r="C1532" s="1">
        <v>45591</v>
      </c>
      <c r="D1532" s="1">
        <v>45607</v>
      </c>
      <c r="E1532" s="1">
        <v>45612</v>
      </c>
      <c r="F1532" t="s">
        <v>60</v>
      </c>
      <c r="G1532" t="s">
        <v>39</v>
      </c>
      <c r="H1532" t="s">
        <v>30</v>
      </c>
      <c r="I1532">
        <v>16</v>
      </c>
      <c r="J1532">
        <v>5</v>
      </c>
      <c r="K1532">
        <v>5235</v>
      </c>
      <c r="L1532">
        <v>26175</v>
      </c>
      <c r="M1532" t="s">
        <v>51</v>
      </c>
      <c r="N1532">
        <v>1</v>
      </c>
      <c r="O1532" t="s">
        <v>31</v>
      </c>
    </row>
    <row r="1533" spans="1:15" x14ac:dyDescent="0.35">
      <c r="A1533">
        <v>2532</v>
      </c>
      <c r="B1533" t="s">
        <v>243</v>
      </c>
      <c r="C1533" s="1">
        <v>45430</v>
      </c>
      <c r="D1533" s="1">
        <v>45452</v>
      </c>
      <c r="E1533" s="1">
        <v>45454</v>
      </c>
      <c r="F1533" t="s">
        <v>60</v>
      </c>
      <c r="G1533" t="s">
        <v>39</v>
      </c>
      <c r="H1533" t="s">
        <v>46</v>
      </c>
      <c r="I1533">
        <v>22</v>
      </c>
      <c r="J1533">
        <v>2</v>
      </c>
      <c r="K1533">
        <v>6991</v>
      </c>
      <c r="L1533">
        <v>13982</v>
      </c>
      <c r="M1533" t="s">
        <v>51</v>
      </c>
      <c r="N1533">
        <v>1</v>
      </c>
      <c r="O1533" t="s">
        <v>25</v>
      </c>
    </row>
    <row r="1534" spans="1:15" x14ac:dyDescent="0.35">
      <c r="A1534">
        <v>2533</v>
      </c>
      <c r="B1534" t="s">
        <v>461</v>
      </c>
      <c r="C1534" s="1">
        <v>45650</v>
      </c>
      <c r="D1534" s="1">
        <v>45682</v>
      </c>
      <c r="E1534" s="1">
        <v>45686</v>
      </c>
      <c r="F1534" t="s">
        <v>21</v>
      </c>
      <c r="G1534" t="s">
        <v>39</v>
      </c>
      <c r="H1534" t="s">
        <v>30</v>
      </c>
      <c r="I1534">
        <v>32</v>
      </c>
      <c r="J1534">
        <v>4</v>
      </c>
      <c r="K1534">
        <v>8227</v>
      </c>
      <c r="L1534">
        <v>32908</v>
      </c>
      <c r="M1534" t="s">
        <v>24</v>
      </c>
      <c r="N1534">
        <v>1</v>
      </c>
      <c r="O1534" t="s">
        <v>31</v>
      </c>
    </row>
    <row r="1535" spans="1:15" x14ac:dyDescent="0.35">
      <c r="A1535">
        <v>2534</v>
      </c>
      <c r="B1535" t="s">
        <v>1037</v>
      </c>
      <c r="C1535" s="1">
        <v>45615</v>
      </c>
      <c r="D1535" s="1">
        <v>45653</v>
      </c>
      <c r="E1535" s="1">
        <v>45656</v>
      </c>
      <c r="F1535" t="s">
        <v>21</v>
      </c>
      <c r="G1535" t="s">
        <v>22</v>
      </c>
      <c r="H1535" t="s">
        <v>23</v>
      </c>
      <c r="I1535">
        <v>38</v>
      </c>
      <c r="J1535">
        <v>3</v>
      </c>
      <c r="K1535">
        <v>8476</v>
      </c>
      <c r="L1535">
        <v>25428</v>
      </c>
      <c r="M1535" t="s">
        <v>24</v>
      </c>
      <c r="N1535">
        <v>0</v>
      </c>
      <c r="O1535" t="s">
        <v>25</v>
      </c>
    </row>
    <row r="1536" spans="1:15" x14ac:dyDescent="0.35">
      <c r="A1536">
        <v>2535</v>
      </c>
      <c r="B1536" t="s">
        <v>1038</v>
      </c>
      <c r="C1536" s="1">
        <v>45383</v>
      </c>
      <c r="D1536" s="1">
        <v>45391</v>
      </c>
      <c r="E1536" s="1">
        <v>45394</v>
      </c>
      <c r="F1536" t="s">
        <v>29</v>
      </c>
      <c r="G1536" t="s">
        <v>39</v>
      </c>
      <c r="H1536" t="s">
        <v>46</v>
      </c>
      <c r="I1536">
        <v>8</v>
      </c>
      <c r="J1536">
        <v>3</v>
      </c>
      <c r="K1536">
        <v>5674</v>
      </c>
      <c r="L1536">
        <v>17022</v>
      </c>
      <c r="M1536" t="s">
        <v>51</v>
      </c>
      <c r="N1536">
        <v>0</v>
      </c>
      <c r="O1536" t="s">
        <v>25</v>
      </c>
    </row>
    <row r="1537" spans="1:15" x14ac:dyDescent="0.35">
      <c r="A1537">
        <v>2536</v>
      </c>
      <c r="B1537" t="s">
        <v>910</v>
      </c>
      <c r="C1537" s="1">
        <v>45571</v>
      </c>
      <c r="D1537" s="1">
        <v>45626</v>
      </c>
      <c r="E1537" s="1">
        <v>45628</v>
      </c>
      <c r="F1537" t="s">
        <v>21</v>
      </c>
      <c r="G1537" t="s">
        <v>22</v>
      </c>
      <c r="H1537" t="s">
        <v>23</v>
      </c>
      <c r="I1537">
        <v>55</v>
      </c>
      <c r="J1537">
        <v>2</v>
      </c>
      <c r="K1537">
        <v>2901</v>
      </c>
      <c r="L1537">
        <v>5802</v>
      </c>
      <c r="M1537" t="s">
        <v>51</v>
      </c>
      <c r="N1537">
        <v>1</v>
      </c>
      <c r="O1537" t="s">
        <v>31</v>
      </c>
    </row>
    <row r="1538" spans="1:15" x14ac:dyDescent="0.35">
      <c r="A1538">
        <v>2537</v>
      </c>
      <c r="B1538" t="s">
        <v>1039</v>
      </c>
      <c r="C1538" s="1">
        <v>45416</v>
      </c>
      <c r="D1538" s="1">
        <v>45424</v>
      </c>
      <c r="E1538" s="1">
        <v>45429</v>
      </c>
      <c r="F1538" t="s">
        <v>21</v>
      </c>
      <c r="G1538" t="s">
        <v>22</v>
      </c>
      <c r="H1538" t="s">
        <v>46</v>
      </c>
      <c r="I1538">
        <v>8</v>
      </c>
      <c r="J1538">
        <v>5</v>
      </c>
      <c r="K1538">
        <v>3474</v>
      </c>
      <c r="L1538">
        <v>17370</v>
      </c>
      <c r="M1538" t="s">
        <v>24</v>
      </c>
      <c r="N1538">
        <v>0</v>
      </c>
      <c r="O1538" t="s">
        <v>31</v>
      </c>
    </row>
    <row r="1539" spans="1:15" x14ac:dyDescent="0.35">
      <c r="A1539">
        <v>2538</v>
      </c>
      <c r="B1539" t="s">
        <v>617</v>
      </c>
      <c r="C1539" s="1">
        <v>45402</v>
      </c>
      <c r="D1539" s="1">
        <v>45459</v>
      </c>
      <c r="E1539" s="1">
        <v>45461</v>
      </c>
      <c r="F1539" t="s">
        <v>29</v>
      </c>
      <c r="G1539" t="s">
        <v>22</v>
      </c>
      <c r="H1539" t="s">
        <v>23</v>
      </c>
      <c r="I1539">
        <v>57</v>
      </c>
      <c r="J1539">
        <v>2</v>
      </c>
      <c r="K1539">
        <v>2723</v>
      </c>
      <c r="L1539">
        <v>5446</v>
      </c>
      <c r="M1539" t="s">
        <v>51</v>
      </c>
      <c r="N1539">
        <v>1</v>
      </c>
      <c r="O1539" t="s">
        <v>25</v>
      </c>
    </row>
    <row r="1540" spans="1:15" x14ac:dyDescent="0.35">
      <c r="A1540">
        <v>2539</v>
      </c>
      <c r="B1540" t="s">
        <v>391</v>
      </c>
      <c r="C1540" s="1">
        <v>45645</v>
      </c>
      <c r="D1540" s="1">
        <v>45651</v>
      </c>
      <c r="E1540" s="1">
        <v>45656</v>
      </c>
      <c r="F1540" t="s">
        <v>60</v>
      </c>
      <c r="G1540" t="s">
        <v>39</v>
      </c>
      <c r="H1540" t="s">
        <v>46</v>
      </c>
      <c r="I1540">
        <v>6</v>
      </c>
      <c r="J1540">
        <v>5</v>
      </c>
      <c r="K1540">
        <v>7113</v>
      </c>
      <c r="L1540">
        <v>35565</v>
      </c>
      <c r="M1540" t="s">
        <v>24</v>
      </c>
      <c r="N1540">
        <v>0</v>
      </c>
      <c r="O1540" t="s">
        <v>25</v>
      </c>
    </row>
    <row r="1541" spans="1:15" x14ac:dyDescent="0.35">
      <c r="A1541">
        <v>2540</v>
      </c>
      <c r="B1541" t="s">
        <v>315</v>
      </c>
      <c r="C1541" s="1">
        <v>45430</v>
      </c>
      <c r="D1541" s="1">
        <v>45444</v>
      </c>
      <c r="E1541" s="1">
        <v>45448</v>
      </c>
      <c r="F1541" t="s">
        <v>60</v>
      </c>
      <c r="G1541" t="s">
        <v>22</v>
      </c>
      <c r="H1541" t="s">
        <v>30</v>
      </c>
      <c r="I1541">
        <v>14</v>
      </c>
      <c r="J1541">
        <v>4</v>
      </c>
      <c r="K1541">
        <v>2735</v>
      </c>
      <c r="L1541">
        <v>10940</v>
      </c>
      <c r="M1541" t="s">
        <v>24</v>
      </c>
      <c r="N1541">
        <v>0</v>
      </c>
      <c r="O1541" t="s">
        <v>31</v>
      </c>
    </row>
    <row r="1542" spans="1:15" x14ac:dyDescent="0.35">
      <c r="A1542">
        <v>2541</v>
      </c>
      <c r="B1542" t="s">
        <v>306</v>
      </c>
      <c r="C1542" s="1">
        <v>45564</v>
      </c>
      <c r="D1542" s="1">
        <v>45596</v>
      </c>
      <c r="E1542" s="1">
        <v>45601</v>
      </c>
      <c r="F1542" t="s">
        <v>21</v>
      </c>
      <c r="G1542" t="s">
        <v>39</v>
      </c>
      <c r="H1542" t="s">
        <v>30</v>
      </c>
      <c r="I1542">
        <v>32</v>
      </c>
      <c r="J1542">
        <v>5</v>
      </c>
      <c r="K1542">
        <v>5998</v>
      </c>
      <c r="L1542">
        <v>29990</v>
      </c>
      <c r="M1542" t="s">
        <v>24</v>
      </c>
      <c r="N1542">
        <v>1</v>
      </c>
      <c r="O1542" t="s">
        <v>31</v>
      </c>
    </row>
    <row r="1543" spans="1:15" x14ac:dyDescent="0.35">
      <c r="A1543">
        <v>2542</v>
      </c>
      <c r="B1543" t="s">
        <v>420</v>
      </c>
      <c r="C1543" s="1">
        <v>45390</v>
      </c>
      <c r="D1543" s="1">
        <v>45425</v>
      </c>
      <c r="E1543" s="1">
        <v>45427</v>
      </c>
      <c r="F1543" t="s">
        <v>29</v>
      </c>
      <c r="G1543" t="s">
        <v>22</v>
      </c>
      <c r="H1543" t="s">
        <v>46</v>
      </c>
      <c r="I1543">
        <v>35</v>
      </c>
      <c r="J1543">
        <v>2</v>
      </c>
      <c r="K1543">
        <v>6711</v>
      </c>
      <c r="L1543">
        <v>13422</v>
      </c>
      <c r="M1543" t="s">
        <v>51</v>
      </c>
      <c r="N1543">
        <v>1</v>
      </c>
      <c r="O1543" t="s">
        <v>31</v>
      </c>
    </row>
    <row r="1544" spans="1:15" x14ac:dyDescent="0.35">
      <c r="A1544">
        <v>2543</v>
      </c>
      <c r="B1544" t="s">
        <v>1040</v>
      </c>
      <c r="C1544" s="1">
        <v>45543</v>
      </c>
      <c r="D1544" s="1">
        <v>45553</v>
      </c>
      <c r="E1544" s="1">
        <v>45557</v>
      </c>
      <c r="F1544" t="s">
        <v>60</v>
      </c>
      <c r="G1544" t="s">
        <v>39</v>
      </c>
      <c r="H1544" t="s">
        <v>46</v>
      </c>
      <c r="I1544">
        <v>10</v>
      </c>
      <c r="J1544">
        <v>4</v>
      </c>
      <c r="K1544">
        <v>5734</v>
      </c>
      <c r="L1544">
        <v>22936</v>
      </c>
      <c r="M1544" t="s">
        <v>24</v>
      </c>
      <c r="N1544">
        <v>1</v>
      </c>
      <c r="O1544" t="s">
        <v>31</v>
      </c>
    </row>
    <row r="1545" spans="1:15" x14ac:dyDescent="0.35">
      <c r="A1545">
        <v>2544</v>
      </c>
      <c r="B1545" t="s">
        <v>1041</v>
      </c>
      <c r="C1545" s="1">
        <v>45629</v>
      </c>
      <c r="D1545" s="1">
        <v>45632</v>
      </c>
      <c r="E1545" s="1">
        <v>45633</v>
      </c>
      <c r="F1545" t="s">
        <v>38</v>
      </c>
      <c r="G1545" t="s">
        <v>22</v>
      </c>
      <c r="H1545" t="s">
        <v>30</v>
      </c>
      <c r="I1545">
        <v>3</v>
      </c>
      <c r="J1545">
        <v>1</v>
      </c>
      <c r="K1545">
        <v>2725</v>
      </c>
      <c r="L1545">
        <v>2725</v>
      </c>
      <c r="M1545" t="s">
        <v>51</v>
      </c>
      <c r="N1545">
        <v>0</v>
      </c>
      <c r="O1545" t="s">
        <v>25</v>
      </c>
    </row>
    <row r="1546" spans="1:15" x14ac:dyDescent="0.35">
      <c r="A1546">
        <v>2545</v>
      </c>
      <c r="B1546" t="s">
        <v>83</v>
      </c>
      <c r="C1546" s="1">
        <v>45395</v>
      </c>
      <c r="D1546" s="1">
        <v>45454</v>
      </c>
      <c r="E1546" s="1">
        <v>45457</v>
      </c>
      <c r="F1546" t="s">
        <v>35</v>
      </c>
      <c r="G1546" t="s">
        <v>39</v>
      </c>
      <c r="H1546" t="s">
        <v>30</v>
      </c>
      <c r="I1546">
        <v>59</v>
      </c>
      <c r="J1546">
        <v>3</v>
      </c>
      <c r="K1546">
        <v>4777</v>
      </c>
      <c r="L1546">
        <v>14331</v>
      </c>
      <c r="M1546" t="s">
        <v>51</v>
      </c>
      <c r="N1546">
        <v>1</v>
      </c>
      <c r="O1546" t="s">
        <v>25</v>
      </c>
    </row>
    <row r="1547" spans="1:15" x14ac:dyDescent="0.35">
      <c r="A1547">
        <v>2546</v>
      </c>
      <c r="B1547" t="s">
        <v>1042</v>
      </c>
      <c r="C1547" s="1">
        <v>45505</v>
      </c>
      <c r="D1547" s="1">
        <v>45517</v>
      </c>
      <c r="E1547" s="1">
        <v>45519</v>
      </c>
      <c r="F1547" t="s">
        <v>35</v>
      </c>
      <c r="G1547" t="s">
        <v>22</v>
      </c>
      <c r="H1547" t="s">
        <v>46</v>
      </c>
      <c r="I1547">
        <v>12</v>
      </c>
      <c r="J1547">
        <v>2</v>
      </c>
      <c r="K1547">
        <v>6777</v>
      </c>
      <c r="L1547">
        <v>13554</v>
      </c>
      <c r="M1547" t="s">
        <v>24</v>
      </c>
      <c r="N1547">
        <v>0</v>
      </c>
      <c r="O1547" t="s">
        <v>25</v>
      </c>
    </row>
    <row r="1548" spans="1:15" x14ac:dyDescent="0.35">
      <c r="A1548">
        <v>2547</v>
      </c>
      <c r="B1548" t="s">
        <v>182</v>
      </c>
      <c r="C1548" s="1">
        <v>45540</v>
      </c>
      <c r="D1548" s="1">
        <v>45589</v>
      </c>
      <c r="E1548" s="1">
        <v>45591</v>
      </c>
      <c r="F1548" t="s">
        <v>35</v>
      </c>
      <c r="G1548" t="s">
        <v>39</v>
      </c>
      <c r="H1548" t="s">
        <v>46</v>
      </c>
      <c r="I1548">
        <v>49</v>
      </c>
      <c r="J1548">
        <v>2</v>
      </c>
      <c r="K1548">
        <v>3841</v>
      </c>
      <c r="L1548">
        <v>7682</v>
      </c>
      <c r="M1548" t="s">
        <v>24</v>
      </c>
      <c r="N1548">
        <v>1</v>
      </c>
      <c r="O1548" t="s">
        <v>25</v>
      </c>
    </row>
    <row r="1549" spans="1:15" x14ac:dyDescent="0.35">
      <c r="A1549">
        <v>2548</v>
      </c>
      <c r="B1549" t="s">
        <v>1043</v>
      </c>
      <c r="C1549" s="1">
        <v>45443</v>
      </c>
      <c r="D1549" s="1">
        <v>45502</v>
      </c>
      <c r="E1549" s="1">
        <v>45504</v>
      </c>
      <c r="F1549" t="s">
        <v>21</v>
      </c>
      <c r="G1549" t="s">
        <v>22</v>
      </c>
      <c r="H1549" t="s">
        <v>30</v>
      </c>
      <c r="I1549">
        <v>59</v>
      </c>
      <c r="J1549">
        <v>2</v>
      </c>
      <c r="K1549">
        <v>6536</v>
      </c>
      <c r="L1549">
        <v>13072</v>
      </c>
      <c r="M1549" t="s">
        <v>24</v>
      </c>
      <c r="N1549">
        <v>1</v>
      </c>
      <c r="O1549" t="s">
        <v>25</v>
      </c>
    </row>
    <row r="1550" spans="1:15" x14ac:dyDescent="0.35">
      <c r="A1550">
        <v>2549</v>
      </c>
      <c r="B1550" t="s">
        <v>1044</v>
      </c>
      <c r="C1550" s="1">
        <v>45541</v>
      </c>
      <c r="D1550" s="1">
        <v>45572</v>
      </c>
      <c r="E1550" s="1">
        <v>45576</v>
      </c>
      <c r="F1550" t="s">
        <v>35</v>
      </c>
      <c r="G1550" t="s">
        <v>22</v>
      </c>
      <c r="H1550" t="s">
        <v>23</v>
      </c>
      <c r="I1550">
        <v>31</v>
      </c>
      <c r="J1550">
        <v>4</v>
      </c>
      <c r="K1550">
        <v>2709</v>
      </c>
      <c r="L1550">
        <v>10836</v>
      </c>
      <c r="M1550" t="s">
        <v>24</v>
      </c>
      <c r="N1550">
        <v>0</v>
      </c>
      <c r="O1550" t="s">
        <v>31</v>
      </c>
    </row>
    <row r="1551" spans="1:15" x14ac:dyDescent="0.35">
      <c r="A1551">
        <v>2550</v>
      </c>
      <c r="B1551" t="s">
        <v>1045</v>
      </c>
      <c r="C1551" s="1">
        <v>45566</v>
      </c>
      <c r="D1551" s="1">
        <v>45595</v>
      </c>
      <c r="E1551" s="1">
        <v>45596</v>
      </c>
      <c r="F1551" t="s">
        <v>35</v>
      </c>
      <c r="G1551" t="s">
        <v>22</v>
      </c>
      <c r="H1551" t="s">
        <v>30</v>
      </c>
      <c r="I1551">
        <v>29</v>
      </c>
      <c r="J1551">
        <v>1</v>
      </c>
      <c r="K1551">
        <v>6227</v>
      </c>
      <c r="L1551">
        <v>6227</v>
      </c>
      <c r="M1551" t="s">
        <v>51</v>
      </c>
      <c r="N1551">
        <v>1</v>
      </c>
      <c r="O1551" t="s">
        <v>31</v>
      </c>
    </row>
    <row r="1552" spans="1:15" x14ac:dyDescent="0.35">
      <c r="A1552">
        <v>2551</v>
      </c>
      <c r="B1552" t="s">
        <v>743</v>
      </c>
      <c r="C1552" s="1">
        <v>45456</v>
      </c>
      <c r="D1552" s="1">
        <v>45461</v>
      </c>
      <c r="E1552" s="1">
        <v>45466</v>
      </c>
      <c r="F1552" t="s">
        <v>38</v>
      </c>
      <c r="G1552" t="s">
        <v>39</v>
      </c>
      <c r="H1552" t="s">
        <v>46</v>
      </c>
      <c r="I1552">
        <v>5</v>
      </c>
      <c r="J1552">
        <v>5</v>
      </c>
      <c r="K1552">
        <v>8011</v>
      </c>
      <c r="L1552">
        <v>40055</v>
      </c>
      <c r="M1552" t="s">
        <v>51</v>
      </c>
      <c r="N1552">
        <v>1</v>
      </c>
      <c r="O1552" t="s">
        <v>31</v>
      </c>
    </row>
    <row r="1553" spans="1:15" x14ac:dyDescent="0.35">
      <c r="A1553">
        <v>2552</v>
      </c>
      <c r="B1553" t="s">
        <v>1046</v>
      </c>
      <c r="C1553" s="1">
        <v>45632</v>
      </c>
      <c r="D1553" s="1">
        <v>45684</v>
      </c>
      <c r="E1553" s="1">
        <v>45685</v>
      </c>
      <c r="F1553" t="s">
        <v>60</v>
      </c>
      <c r="G1553" t="s">
        <v>22</v>
      </c>
      <c r="H1553" t="s">
        <v>46</v>
      </c>
      <c r="I1553">
        <v>52</v>
      </c>
      <c r="J1553">
        <v>1</v>
      </c>
      <c r="K1553">
        <v>6428</v>
      </c>
      <c r="L1553">
        <v>6428</v>
      </c>
      <c r="M1553" t="s">
        <v>24</v>
      </c>
      <c r="N1553">
        <v>1</v>
      </c>
      <c r="O1553" t="s">
        <v>25</v>
      </c>
    </row>
    <row r="1554" spans="1:15" x14ac:dyDescent="0.35">
      <c r="A1554">
        <v>2553</v>
      </c>
      <c r="B1554" t="s">
        <v>556</v>
      </c>
      <c r="C1554" s="1">
        <v>45299</v>
      </c>
      <c r="D1554" s="1">
        <v>45324</v>
      </c>
      <c r="E1554" s="1">
        <v>45328</v>
      </c>
      <c r="F1554" t="s">
        <v>38</v>
      </c>
      <c r="G1554" t="s">
        <v>22</v>
      </c>
      <c r="H1554" t="s">
        <v>23</v>
      </c>
      <c r="I1554">
        <v>25</v>
      </c>
      <c r="J1554">
        <v>4</v>
      </c>
      <c r="K1554">
        <v>8739</v>
      </c>
      <c r="L1554">
        <v>34956</v>
      </c>
      <c r="M1554" t="s">
        <v>51</v>
      </c>
      <c r="N1554">
        <v>0</v>
      </c>
      <c r="O1554" t="s">
        <v>31</v>
      </c>
    </row>
    <row r="1555" spans="1:15" x14ac:dyDescent="0.35">
      <c r="A1555">
        <v>2554</v>
      </c>
      <c r="B1555" t="s">
        <v>1047</v>
      </c>
      <c r="C1555" s="1">
        <v>45575</v>
      </c>
      <c r="D1555" s="1">
        <v>45616</v>
      </c>
      <c r="E1555" s="1">
        <v>45618</v>
      </c>
      <c r="F1555" t="s">
        <v>21</v>
      </c>
      <c r="G1555" t="s">
        <v>22</v>
      </c>
      <c r="H1555" t="s">
        <v>30</v>
      </c>
      <c r="I1555">
        <v>41</v>
      </c>
      <c r="J1555">
        <v>2</v>
      </c>
      <c r="K1555">
        <v>7489</v>
      </c>
      <c r="L1555">
        <v>14978</v>
      </c>
      <c r="M1555" t="s">
        <v>24</v>
      </c>
      <c r="N1555">
        <v>1</v>
      </c>
      <c r="O1555" t="s">
        <v>25</v>
      </c>
    </row>
    <row r="1556" spans="1:15" x14ac:dyDescent="0.35">
      <c r="A1556">
        <v>2555</v>
      </c>
      <c r="B1556" t="s">
        <v>741</v>
      </c>
      <c r="C1556" s="1">
        <v>45296</v>
      </c>
      <c r="D1556" s="1">
        <v>45327</v>
      </c>
      <c r="E1556" s="1">
        <v>45330</v>
      </c>
      <c r="F1556" t="s">
        <v>35</v>
      </c>
      <c r="G1556" t="s">
        <v>39</v>
      </c>
      <c r="H1556" t="s">
        <v>46</v>
      </c>
      <c r="I1556">
        <v>31</v>
      </c>
      <c r="J1556">
        <v>3</v>
      </c>
      <c r="K1556">
        <v>8477</v>
      </c>
      <c r="L1556">
        <v>25431</v>
      </c>
      <c r="M1556" t="s">
        <v>51</v>
      </c>
      <c r="N1556">
        <v>1</v>
      </c>
      <c r="O1556" t="s">
        <v>25</v>
      </c>
    </row>
    <row r="1557" spans="1:15" x14ac:dyDescent="0.35">
      <c r="A1557">
        <v>2556</v>
      </c>
      <c r="B1557" t="s">
        <v>1048</v>
      </c>
      <c r="C1557" s="1">
        <v>45436</v>
      </c>
      <c r="D1557" s="1">
        <v>45457</v>
      </c>
      <c r="E1557" s="1">
        <v>45459</v>
      </c>
      <c r="F1557" t="s">
        <v>60</v>
      </c>
      <c r="G1557" t="s">
        <v>22</v>
      </c>
      <c r="H1557" t="s">
        <v>30</v>
      </c>
      <c r="I1557">
        <v>21</v>
      </c>
      <c r="J1557">
        <v>2</v>
      </c>
      <c r="K1557">
        <v>5303</v>
      </c>
      <c r="L1557">
        <v>10606</v>
      </c>
      <c r="M1557" t="s">
        <v>51</v>
      </c>
      <c r="N1557">
        <v>0</v>
      </c>
      <c r="O1557" t="s">
        <v>25</v>
      </c>
    </row>
    <row r="1558" spans="1:15" x14ac:dyDescent="0.35">
      <c r="A1558">
        <v>2557</v>
      </c>
      <c r="B1558" t="s">
        <v>1049</v>
      </c>
      <c r="C1558" s="1">
        <v>45392</v>
      </c>
      <c r="D1558" s="1">
        <v>45450</v>
      </c>
      <c r="E1558" s="1">
        <v>45455</v>
      </c>
      <c r="F1558" t="s">
        <v>35</v>
      </c>
      <c r="G1558" t="s">
        <v>22</v>
      </c>
      <c r="H1558" t="s">
        <v>46</v>
      </c>
      <c r="I1558">
        <v>58</v>
      </c>
      <c r="J1558">
        <v>5</v>
      </c>
      <c r="K1558">
        <v>3609</v>
      </c>
      <c r="L1558">
        <v>18045</v>
      </c>
      <c r="M1558" t="s">
        <v>51</v>
      </c>
      <c r="N1558">
        <v>1</v>
      </c>
      <c r="O1558" t="s">
        <v>31</v>
      </c>
    </row>
    <row r="1559" spans="1:15" x14ac:dyDescent="0.35">
      <c r="A1559">
        <v>2558</v>
      </c>
      <c r="B1559" t="s">
        <v>418</v>
      </c>
      <c r="C1559" s="1">
        <v>45455</v>
      </c>
      <c r="D1559" s="1">
        <v>45475</v>
      </c>
      <c r="E1559" s="1">
        <v>45478</v>
      </c>
      <c r="F1559" t="s">
        <v>35</v>
      </c>
      <c r="G1559" t="s">
        <v>39</v>
      </c>
      <c r="H1559" t="s">
        <v>23</v>
      </c>
      <c r="I1559">
        <v>20</v>
      </c>
      <c r="J1559">
        <v>3</v>
      </c>
      <c r="K1559">
        <v>4526</v>
      </c>
      <c r="L1559">
        <v>13578</v>
      </c>
      <c r="M1559" t="s">
        <v>24</v>
      </c>
      <c r="N1559">
        <v>0</v>
      </c>
      <c r="O1559" t="s">
        <v>25</v>
      </c>
    </row>
    <row r="1560" spans="1:15" x14ac:dyDescent="0.35">
      <c r="A1560">
        <v>2559</v>
      </c>
      <c r="B1560" t="s">
        <v>930</v>
      </c>
      <c r="C1560" s="1">
        <v>45438</v>
      </c>
      <c r="D1560" s="1">
        <v>45477</v>
      </c>
      <c r="E1560" s="1">
        <v>45479</v>
      </c>
      <c r="F1560" t="s">
        <v>21</v>
      </c>
      <c r="G1560" t="s">
        <v>22</v>
      </c>
      <c r="H1560" t="s">
        <v>30</v>
      </c>
      <c r="I1560">
        <v>39</v>
      </c>
      <c r="J1560">
        <v>2</v>
      </c>
      <c r="K1560">
        <v>2893</v>
      </c>
      <c r="L1560">
        <v>5786</v>
      </c>
      <c r="M1560" t="s">
        <v>51</v>
      </c>
      <c r="N1560">
        <v>0</v>
      </c>
      <c r="O1560" t="s">
        <v>25</v>
      </c>
    </row>
    <row r="1561" spans="1:15" x14ac:dyDescent="0.35">
      <c r="A1561">
        <v>2560</v>
      </c>
      <c r="B1561" t="s">
        <v>121</v>
      </c>
      <c r="C1561" s="1">
        <v>45355</v>
      </c>
      <c r="D1561" s="1">
        <v>45377</v>
      </c>
      <c r="E1561" s="1">
        <v>45380</v>
      </c>
      <c r="F1561" t="s">
        <v>35</v>
      </c>
      <c r="G1561" t="s">
        <v>39</v>
      </c>
      <c r="H1561" t="s">
        <v>30</v>
      </c>
      <c r="I1561">
        <v>22</v>
      </c>
      <c r="J1561">
        <v>3</v>
      </c>
      <c r="K1561">
        <v>3343</v>
      </c>
      <c r="L1561">
        <v>10029</v>
      </c>
      <c r="M1561" t="s">
        <v>51</v>
      </c>
      <c r="N1561">
        <v>1</v>
      </c>
      <c r="O1561" t="s">
        <v>31</v>
      </c>
    </row>
    <row r="1562" spans="1:15" x14ac:dyDescent="0.35">
      <c r="A1562">
        <v>2561</v>
      </c>
      <c r="B1562" t="s">
        <v>294</v>
      </c>
      <c r="C1562" s="1">
        <v>45382</v>
      </c>
      <c r="D1562" s="1">
        <v>45386</v>
      </c>
      <c r="E1562" s="1">
        <v>45387</v>
      </c>
      <c r="F1562" t="s">
        <v>29</v>
      </c>
      <c r="G1562" t="s">
        <v>22</v>
      </c>
      <c r="H1562" t="s">
        <v>23</v>
      </c>
      <c r="I1562">
        <v>4</v>
      </c>
      <c r="J1562">
        <v>1</v>
      </c>
      <c r="K1562">
        <v>4024</v>
      </c>
      <c r="L1562">
        <v>4024</v>
      </c>
      <c r="M1562" t="s">
        <v>51</v>
      </c>
      <c r="N1562">
        <v>0</v>
      </c>
      <c r="O1562" t="s">
        <v>25</v>
      </c>
    </row>
    <row r="1563" spans="1:15" x14ac:dyDescent="0.35">
      <c r="A1563">
        <v>2562</v>
      </c>
      <c r="B1563" t="s">
        <v>417</v>
      </c>
      <c r="C1563" s="1">
        <v>45408</v>
      </c>
      <c r="D1563" s="1">
        <v>45421</v>
      </c>
      <c r="E1563" s="1">
        <v>45425</v>
      </c>
      <c r="F1563" t="s">
        <v>60</v>
      </c>
      <c r="G1563" t="s">
        <v>39</v>
      </c>
      <c r="H1563" t="s">
        <v>46</v>
      </c>
      <c r="I1563">
        <v>13</v>
      </c>
      <c r="J1563">
        <v>4</v>
      </c>
      <c r="K1563">
        <v>3103</v>
      </c>
      <c r="L1563">
        <v>12412</v>
      </c>
      <c r="M1563" t="s">
        <v>51</v>
      </c>
      <c r="N1563">
        <v>1</v>
      </c>
      <c r="O1563" t="s">
        <v>31</v>
      </c>
    </row>
    <row r="1564" spans="1:15" x14ac:dyDescent="0.35">
      <c r="A1564">
        <v>2563</v>
      </c>
      <c r="B1564" t="s">
        <v>909</v>
      </c>
      <c r="C1564" s="1">
        <v>45645</v>
      </c>
      <c r="D1564" s="1">
        <v>45690</v>
      </c>
      <c r="E1564" s="1">
        <v>45692</v>
      </c>
      <c r="F1564" t="s">
        <v>60</v>
      </c>
      <c r="G1564" t="s">
        <v>39</v>
      </c>
      <c r="H1564" t="s">
        <v>46</v>
      </c>
      <c r="I1564">
        <v>45</v>
      </c>
      <c r="J1564">
        <v>2</v>
      </c>
      <c r="K1564">
        <v>3081</v>
      </c>
      <c r="L1564">
        <v>6162</v>
      </c>
      <c r="M1564" t="s">
        <v>24</v>
      </c>
      <c r="N1564">
        <v>1</v>
      </c>
      <c r="O1564" t="s">
        <v>25</v>
      </c>
    </row>
    <row r="1565" spans="1:15" x14ac:dyDescent="0.35">
      <c r="A1565">
        <v>2564</v>
      </c>
      <c r="B1565" t="s">
        <v>605</v>
      </c>
      <c r="C1565" s="1">
        <v>45558</v>
      </c>
      <c r="D1565" s="1">
        <v>45600</v>
      </c>
      <c r="E1565" s="1">
        <v>45605</v>
      </c>
      <c r="F1565" t="s">
        <v>29</v>
      </c>
      <c r="G1565" t="s">
        <v>39</v>
      </c>
      <c r="H1565" t="s">
        <v>30</v>
      </c>
      <c r="I1565">
        <v>42</v>
      </c>
      <c r="J1565">
        <v>5</v>
      </c>
      <c r="K1565">
        <v>8638</v>
      </c>
      <c r="L1565">
        <v>43190</v>
      </c>
      <c r="M1565" t="s">
        <v>51</v>
      </c>
      <c r="N1565">
        <v>1</v>
      </c>
      <c r="O1565" t="s">
        <v>31</v>
      </c>
    </row>
    <row r="1566" spans="1:15" x14ac:dyDescent="0.35">
      <c r="A1566">
        <v>2565</v>
      </c>
      <c r="B1566" t="s">
        <v>104</v>
      </c>
      <c r="C1566" s="1">
        <v>45601</v>
      </c>
      <c r="D1566" s="1">
        <v>45651</v>
      </c>
      <c r="E1566" s="1">
        <v>45652</v>
      </c>
      <c r="F1566" t="s">
        <v>21</v>
      </c>
      <c r="G1566" t="s">
        <v>22</v>
      </c>
      <c r="H1566" t="s">
        <v>23</v>
      </c>
      <c r="I1566">
        <v>50</v>
      </c>
      <c r="J1566">
        <v>1</v>
      </c>
      <c r="K1566">
        <v>4439</v>
      </c>
      <c r="L1566">
        <v>4439</v>
      </c>
      <c r="M1566" t="s">
        <v>24</v>
      </c>
      <c r="N1566">
        <v>1</v>
      </c>
      <c r="O1566" t="s">
        <v>25</v>
      </c>
    </row>
    <row r="1567" spans="1:15" x14ac:dyDescent="0.35">
      <c r="A1567">
        <v>2566</v>
      </c>
      <c r="B1567" t="s">
        <v>388</v>
      </c>
      <c r="C1567" s="1">
        <v>45464</v>
      </c>
      <c r="D1567" s="1">
        <v>45513</v>
      </c>
      <c r="E1567" s="1">
        <v>45515</v>
      </c>
      <c r="F1567" t="s">
        <v>35</v>
      </c>
      <c r="G1567" t="s">
        <v>22</v>
      </c>
      <c r="H1567" t="s">
        <v>30</v>
      </c>
      <c r="I1567">
        <v>49</v>
      </c>
      <c r="J1567">
        <v>2</v>
      </c>
      <c r="K1567">
        <v>2632</v>
      </c>
      <c r="L1567">
        <v>5264</v>
      </c>
      <c r="M1567" t="s">
        <v>24</v>
      </c>
      <c r="N1567">
        <v>1</v>
      </c>
      <c r="O1567" t="s">
        <v>25</v>
      </c>
    </row>
    <row r="1568" spans="1:15" x14ac:dyDescent="0.35">
      <c r="A1568">
        <v>2567</v>
      </c>
      <c r="B1568" t="s">
        <v>273</v>
      </c>
      <c r="C1568" s="1">
        <v>45338</v>
      </c>
      <c r="D1568" s="1">
        <v>45358</v>
      </c>
      <c r="E1568" s="1">
        <v>45359</v>
      </c>
      <c r="F1568" t="s">
        <v>35</v>
      </c>
      <c r="G1568" t="s">
        <v>39</v>
      </c>
      <c r="H1568" t="s">
        <v>30</v>
      </c>
      <c r="I1568">
        <v>20</v>
      </c>
      <c r="J1568">
        <v>1</v>
      </c>
      <c r="K1568">
        <v>5338</v>
      </c>
      <c r="L1568">
        <v>5338</v>
      </c>
      <c r="M1568" t="s">
        <v>51</v>
      </c>
      <c r="N1568">
        <v>0</v>
      </c>
      <c r="O1568" t="s">
        <v>31</v>
      </c>
    </row>
    <row r="1569" spans="1:15" x14ac:dyDescent="0.35">
      <c r="A1569">
        <v>2568</v>
      </c>
      <c r="B1569" t="s">
        <v>1050</v>
      </c>
      <c r="C1569" s="1">
        <v>45431</v>
      </c>
      <c r="D1569" s="1">
        <v>45483</v>
      </c>
      <c r="E1569" s="1">
        <v>45488</v>
      </c>
      <c r="F1569" t="s">
        <v>60</v>
      </c>
      <c r="G1569" t="s">
        <v>22</v>
      </c>
      <c r="H1569" t="s">
        <v>46</v>
      </c>
      <c r="I1569">
        <v>52</v>
      </c>
      <c r="J1569">
        <v>5</v>
      </c>
      <c r="K1569">
        <v>5885</v>
      </c>
      <c r="L1569">
        <v>29425</v>
      </c>
      <c r="M1569" t="s">
        <v>51</v>
      </c>
      <c r="N1569">
        <v>1</v>
      </c>
      <c r="O1569" t="s">
        <v>25</v>
      </c>
    </row>
    <row r="1570" spans="1:15" x14ac:dyDescent="0.35">
      <c r="A1570">
        <v>2569</v>
      </c>
      <c r="B1570" t="s">
        <v>90</v>
      </c>
      <c r="C1570" s="1">
        <v>45537</v>
      </c>
      <c r="D1570" s="1">
        <v>45550</v>
      </c>
      <c r="E1570" s="1">
        <v>45552</v>
      </c>
      <c r="F1570" t="s">
        <v>21</v>
      </c>
      <c r="G1570" t="s">
        <v>22</v>
      </c>
      <c r="H1570" t="s">
        <v>46</v>
      </c>
      <c r="I1570">
        <v>13</v>
      </c>
      <c r="J1570">
        <v>2</v>
      </c>
      <c r="K1570">
        <v>6270</v>
      </c>
      <c r="L1570">
        <v>12540</v>
      </c>
      <c r="M1570" t="s">
        <v>24</v>
      </c>
      <c r="N1570">
        <v>0</v>
      </c>
      <c r="O1570" t="s">
        <v>31</v>
      </c>
    </row>
    <row r="1571" spans="1:15" x14ac:dyDescent="0.35">
      <c r="A1571">
        <v>2570</v>
      </c>
      <c r="B1571" t="s">
        <v>493</v>
      </c>
      <c r="C1571" s="1">
        <v>45440</v>
      </c>
      <c r="D1571" s="1">
        <v>45457</v>
      </c>
      <c r="E1571" s="1">
        <v>45462</v>
      </c>
      <c r="F1571" t="s">
        <v>21</v>
      </c>
      <c r="G1571" t="s">
        <v>39</v>
      </c>
      <c r="H1571" t="s">
        <v>46</v>
      </c>
      <c r="I1571">
        <v>17</v>
      </c>
      <c r="J1571">
        <v>5</v>
      </c>
      <c r="K1571">
        <v>4768</v>
      </c>
      <c r="L1571">
        <v>23840</v>
      </c>
      <c r="M1571" t="s">
        <v>24</v>
      </c>
      <c r="N1571">
        <v>1</v>
      </c>
      <c r="O1571" t="s">
        <v>25</v>
      </c>
    </row>
    <row r="1572" spans="1:15" x14ac:dyDescent="0.35">
      <c r="A1572">
        <v>2571</v>
      </c>
      <c r="B1572" t="s">
        <v>1051</v>
      </c>
      <c r="C1572" s="1">
        <v>45537</v>
      </c>
      <c r="D1572" s="1">
        <v>45591</v>
      </c>
      <c r="E1572" s="1">
        <v>45594</v>
      </c>
      <c r="F1572" t="s">
        <v>21</v>
      </c>
      <c r="G1572" t="s">
        <v>39</v>
      </c>
      <c r="H1572" t="s">
        <v>46</v>
      </c>
      <c r="I1572">
        <v>54</v>
      </c>
      <c r="J1572">
        <v>3</v>
      </c>
      <c r="K1572">
        <v>3475</v>
      </c>
      <c r="L1572">
        <v>10425</v>
      </c>
      <c r="M1572" t="s">
        <v>24</v>
      </c>
      <c r="N1572">
        <v>1</v>
      </c>
      <c r="O1572" t="s">
        <v>31</v>
      </c>
    </row>
    <row r="1573" spans="1:15" x14ac:dyDescent="0.35">
      <c r="A1573">
        <v>2572</v>
      </c>
      <c r="B1573" t="s">
        <v>1052</v>
      </c>
      <c r="C1573" s="1">
        <v>45296</v>
      </c>
      <c r="D1573" s="1">
        <v>45332</v>
      </c>
      <c r="E1573" s="1">
        <v>45337</v>
      </c>
      <c r="F1573" t="s">
        <v>35</v>
      </c>
      <c r="G1573" t="s">
        <v>39</v>
      </c>
      <c r="H1573" t="s">
        <v>46</v>
      </c>
      <c r="I1573">
        <v>36</v>
      </c>
      <c r="J1573">
        <v>5</v>
      </c>
      <c r="K1573">
        <v>4313</v>
      </c>
      <c r="L1573">
        <v>21565</v>
      </c>
      <c r="M1573" t="s">
        <v>51</v>
      </c>
      <c r="N1573">
        <v>1</v>
      </c>
      <c r="O1573" t="s">
        <v>25</v>
      </c>
    </row>
    <row r="1574" spans="1:15" x14ac:dyDescent="0.35">
      <c r="A1574">
        <v>2573</v>
      </c>
      <c r="B1574" t="s">
        <v>685</v>
      </c>
      <c r="C1574" s="1">
        <v>45475</v>
      </c>
      <c r="D1574" s="1">
        <v>45508</v>
      </c>
      <c r="E1574" s="1">
        <v>45511</v>
      </c>
      <c r="F1574" t="s">
        <v>21</v>
      </c>
      <c r="G1574" t="s">
        <v>39</v>
      </c>
      <c r="H1574" t="s">
        <v>23</v>
      </c>
      <c r="I1574">
        <v>33</v>
      </c>
      <c r="J1574">
        <v>3</v>
      </c>
      <c r="K1574">
        <v>5763</v>
      </c>
      <c r="L1574">
        <v>17289</v>
      </c>
      <c r="M1574" t="s">
        <v>51</v>
      </c>
      <c r="N1574">
        <v>1</v>
      </c>
      <c r="O1574" t="s">
        <v>25</v>
      </c>
    </row>
    <row r="1575" spans="1:15" x14ac:dyDescent="0.35">
      <c r="A1575">
        <v>2574</v>
      </c>
      <c r="B1575" t="s">
        <v>1053</v>
      </c>
      <c r="C1575" s="1">
        <v>45311</v>
      </c>
      <c r="D1575" s="1">
        <v>45312</v>
      </c>
      <c r="E1575" s="1">
        <v>45314</v>
      </c>
      <c r="F1575" t="s">
        <v>29</v>
      </c>
      <c r="G1575" t="s">
        <v>22</v>
      </c>
      <c r="H1575" t="s">
        <v>30</v>
      </c>
      <c r="I1575">
        <v>1</v>
      </c>
      <c r="J1575">
        <v>2</v>
      </c>
      <c r="K1575">
        <v>4043</v>
      </c>
      <c r="L1575">
        <v>8086</v>
      </c>
      <c r="M1575" t="s">
        <v>24</v>
      </c>
      <c r="N1575">
        <v>1</v>
      </c>
      <c r="O1575" t="s">
        <v>25</v>
      </c>
    </row>
    <row r="1576" spans="1:15" x14ac:dyDescent="0.35">
      <c r="A1576">
        <v>2575</v>
      </c>
      <c r="B1576" t="s">
        <v>1054</v>
      </c>
      <c r="C1576" s="1">
        <v>45337</v>
      </c>
      <c r="D1576" s="1">
        <v>45352</v>
      </c>
      <c r="E1576" s="1">
        <v>45355</v>
      </c>
      <c r="F1576" t="s">
        <v>38</v>
      </c>
      <c r="G1576" t="s">
        <v>22</v>
      </c>
      <c r="H1576" t="s">
        <v>23</v>
      </c>
      <c r="I1576">
        <v>15</v>
      </c>
      <c r="J1576">
        <v>3</v>
      </c>
      <c r="K1576">
        <v>5335</v>
      </c>
      <c r="L1576">
        <v>16005</v>
      </c>
      <c r="M1576" t="s">
        <v>24</v>
      </c>
      <c r="N1576">
        <v>0</v>
      </c>
      <c r="O1576" t="s">
        <v>31</v>
      </c>
    </row>
    <row r="1577" spans="1:15" x14ac:dyDescent="0.35">
      <c r="A1577">
        <v>2576</v>
      </c>
      <c r="B1577" t="s">
        <v>1055</v>
      </c>
      <c r="C1577" s="1">
        <v>45303</v>
      </c>
      <c r="D1577" s="1">
        <v>45316</v>
      </c>
      <c r="E1577" s="1">
        <v>45318</v>
      </c>
      <c r="F1577" t="s">
        <v>21</v>
      </c>
      <c r="G1577" t="s">
        <v>22</v>
      </c>
      <c r="H1577" t="s">
        <v>30</v>
      </c>
      <c r="I1577">
        <v>13</v>
      </c>
      <c r="J1577">
        <v>2</v>
      </c>
      <c r="K1577">
        <v>5238</v>
      </c>
      <c r="L1577">
        <v>10476</v>
      </c>
      <c r="M1577" t="s">
        <v>24</v>
      </c>
      <c r="N1577">
        <v>0</v>
      </c>
      <c r="O1577" t="s">
        <v>31</v>
      </c>
    </row>
    <row r="1578" spans="1:15" x14ac:dyDescent="0.35">
      <c r="A1578">
        <v>2577</v>
      </c>
      <c r="B1578" t="s">
        <v>420</v>
      </c>
      <c r="C1578" s="1">
        <v>45361</v>
      </c>
      <c r="D1578" s="1">
        <v>45378</v>
      </c>
      <c r="E1578" s="1">
        <v>45380</v>
      </c>
      <c r="F1578" t="s">
        <v>38</v>
      </c>
      <c r="G1578" t="s">
        <v>22</v>
      </c>
      <c r="H1578" t="s">
        <v>46</v>
      </c>
      <c r="I1578">
        <v>17</v>
      </c>
      <c r="J1578">
        <v>2</v>
      </c>
      <c r="K1578">
        <v>3857</v>
      </c>
      <c r="L1578">
        <v>7714</v>
      </c>
      <c r="M1578" t="s">
        <v>51</v>
      </c>
      <c r="N1578">
        <v>0</v>
      </c>
      <c r="O1578" t="s">
        <v>31</v>
      </c>
    </row>
    <row r="1579" spans="1:15" x14ac:dyDescent="0.35">
      <c r="A1579">
        <v>2578</v>
      </c>
      <c r="B1579" t="s">
        <v>268</v>
      </c>
      <c r="C1579" s="1">
        <v>45308</v>
      </c>
      <c r="D1579" s="1">
        <v>45332</v>
      </c>
      <c r="E1579" s="1">
        <v>45336</v>
      </c>
      <c r="F1579" t="s">
        <v>35</v>
      </c>
      <c r="G1579" t="s">
        <v>22</v>
      </c>
      <c r="H1579" t="s">
        <v>23</v>
      </c>
      <c r="I1579">
        <v>24</v>
      </c>
      <c r="J1579">
        <v>4</v>
      </c>
      <c r="K1579">
        <v>6634</v>
      </c>
      <c r="L1579">
        <v>26536</v>
      </c>
      <c r="M1579" t="s">
        <v>51</v>
      </c>
      <c r="N1579">
        <v>1</v>
      </c>
      <c r="O1579" t="s">
        <v>31</v>
      </c>
    </row>
    <row r="1580" spans="1:15" x14ac:dyDescent="0.35">
      <c r="A1580">
        <v>2579</v>
      </c>
      <c r="B1580" t="s">
        <v>1056</v>
      </c>
      <c r="C1580" s="1">
        <v>45438</v>
      </c>
      <c r="D1580" s="1">
        <v>45496</v>
      </c>
      <c r="E1580" s="1">
        <v>45498</v>
      </c>
      <c r="F1580" t="s">
        <v>21</v>
      </c>
      <c r="G1580" t="s">
        <v>22</v>
      </c>
      <c r="H1580" t="s">
        <v>30</v>
      </c>
      <c r="I1580">
        <v>58</v>
      </c>
      <c r="J1580">
        <v>2</v>
      </c>
      <c r="K1580">
        <v>3816</v>
      </c>
      <c r="L1580">
        <v>7632</v>
      </c>
      <c r="M1580" t="s">
        <v>24</v>
      </c>
      <c r="N1580">
        <v>0</v>
      </c>
      <c r="O1580" t="s">
        <v>31</v>
      </c>
    </row>
    <row r="1581" spans="1:15" x14ac:dyDescent="0.35">
      <c r="A1581">
        <v>2580</v>
      </c>
      <c r="B1581" t="s">
        <v>714</v>
      </c>
      <c r="C1581" s="1">
        <v>45445</v>
      </c>
      <c r="D1581" s="1">
        <v>45453</v>
      </c>
      <c r="E1581" s="1">
        <v>45456</v>
      </c>
      <c r="F1581" t="s">
        <v>60</v>
      </c>
      <c r="G1581" t="s">
        <v>39</v>
      </c>
      <c r="H1581" t="s">
        <v>46</v>
      </c>
      <c r="I1581">
        <v>8</v>
      </c>
      <c r="J1581">
        <v>3</v>
      </c>
      <c r="K1581">
        <v>2661</v>
      </c>
      <c r="L1581">
        <v>7983</v>
      </c>
      <c r="M1581" t="s">
        <v>51</v>
      </c>
      <c r="N1581">
        <v>0</v>
      </c>
      <c r="O1581" t="s">
        <v>25</v>
      </c>
    </row>
    <row r="1582" spans="1:15" x14ac:dyDescent="0.35">
      <c r="A1582">
        <v>2581</v>
      </c>
      <c r="B1582" t="s">
        <v>1057</v>
      </c>
      <c r="C1582" s="1">
        <v>45595</v>
      </c>
      <c r="D1582" s="1">
        <v>45645</v>
      </c>
      <c r="E1582" s="1">
        <v>45649</v>
      </c>
      <c r="F1582" t="s">
        <v>35</v>
      </c>
      <c r="G1582" t="s">
        <v>22</v>
      </c>
      <c r="H1582" t="s">
        <v>46</v>
      </c>
      <c r="I1582">
        <v>50</v>
      </c>
      <c r="J1582">
        <v>4</v>
      </c>
      <c r="K1582">
        <v>4409</v>
      </c>
      <c r="L1582">
        <v>17636</v>
      </c>
      <c r="M1582" t="s">
        <v>24</v>
      </c>
      <c r="N1582">
        <v>1</v>
      </c>
      <c r="O1582" t="s">
        <v>25</v>
      </c>
    </row>
    <row r="1583" spans="1:15" x14ac:dyDescent="0.35">
      <c r="A1583">
        <v>2582</v>
      </c>
      <c r="B1583" t="s">
        <v>1058</v>
      </c>
      <c r="C1583" s="1">
        <v>45399</v>
      </c>
      <c r="D1583" s="1">
        <v>45426</v>
      </c>
      <c r="E1583" s="1">
        <v>45430</v>
      </c>
      <c r="F1583" t="s">
        <v>29</v>
      </c>
      <c r="G1583" t="s">
        <v>22</v>
      </c>
      <c r="H1583" t="s">
        <v>23</v>
      </c>
      <c r="I1583">
        <v>27</v>
      </c>
      <c r="J1583">
        <v>4</v>
      </c>
      <c r="K1583">
        <v>3627</v>
      </c>
      <c r="L1583">
        <v>14508</v>
      </c>
      <c r="M1583" t="s">
        <v>51</v>
      </c>
      <c r="N1583">
        <v>0</v>
      </c>
      <c r="O1583" t="s">
        <v>25</v>
      </c>
    </row>
    <row r="1584" spans="1:15" x14ac:dyDescent="0.35">
      <c r="A1584">
        <v>2583</v>
      </c>
      <c r="B1584" t="s">
        <v>1059</v>
      </c>
      <c r="C1584" s="1">
        <v>45527</v>
      </c>
      <c r="D1584" s="1">
        <v>45572</v>
      </c>
      <c r="E1584" s="1">
        <v>45574</v>
      </c>
      <c r="F1584" t="s">
        <v>29</v>
      </c>
      <c r="G1584" t="s">
        <v>22</v>
      </c>
      <c r="H1584" t="s">
        <v>23</v>
      </c>
      <c r="I1584">
        <v>45</v>
      </c>
      <c r="J1584">
        <v>2</v>
      </c>
      <c r="K1584">
        <v>8804</v>
      </c>
      <c r="L1584">
        <v>17608</v>
      </c>
      <c r="M1584" t="s">
        <v>24</v>
      </c>
      <c r="N1584">
        <v>1</v>
      </c>
      <c r="O1584" t="s">
        <v>25</v>
      </c>
    </row>
    <row r="1585" spans="1:15" x14ac:dyDescent="0.35">
      <c r="A1585">
        <v>2584</v>
      </c>
      <c r="B1585" t="s">
        <v>1060</v>
      </c>
      <c r="C1585" s="1">
        <v>45599</v>
      </c>
      <c r="D1585" s="1">
        <v>45622</v>
      </c>
      <c r="E1585" s="1">
        <v>45627</v>
      </c>
      <c r="F1585" t="s">
        <v>38</v>
      </c>
      <c r="G1585" t="s">
        <v>39</v>
      </c>
      <c r="H1585" t="s">
        <v>23</v>
      </c>
      <c r="I1585">
        <v>23</v>
      </c>
      <c r="J1585">
        <v>5</v>
      </c>
      <c r="K1585">
        <v>6370</v>
      </c>
      <c r="L1585">
        <v>31850</v>
      </c>
      <c r="M1585" t="s">
        <v>51</v>
      </c>
      <c r="N1585">
        <v>1</v>
      </c>
      <c r="O1585" t="s">
        <v>25</v>
      </c>
    </row>
    <row r="1586" spans="1:15" x14ac:dyDescent="0.35">
      <c r="A1586">
        <v>2585</v>
      </c>
      <c r="B1586" t="s">
        <v>850</v>
      </c>
      <c r="C1586" s="1">
        <v>45643</v>
      </c>
      <c r="D1586" s="1">
        <v>45689</v>
      </c>
      <c r="E1586" s="1">
        <v>45694</v>
      </c>
      <c r="F1586" t="s">
        <v>38</v>
      </c>
      <c r="G1586" t="s">
        <v>39</v>
      </c>
      <c r="H1586" t="s">
        <v>46</v>
      </c>
      <c r="I1586">
        <v>46</v>
      </c>
      <c r="J1586">
        <v>5</v>
      </c>
      <c r="K1586">
        <v>4158</v>
      </c>
      <c r="L1586">
        <v>20790</v>
      </c>
      <c r="M1586" t="s">
        <v>51</v>
      </c>
      <c r="N1586">
        <v>1</v>
      </c>
      <c r="O1586" t="s">
        <v>31</v>
      </c>
    </row>
    <row r="1587" spans="1:15" x14ac:dyDescent="0.35">
      <c r="A1587">
        <v>2586</v>
      </c>
      <c r="B1587" t="s">
        <v>885</v>
      </c>
      <c r="C1587" s="1">
        <v>45361</v>
      </c>
      <c r="D1587" s="1">
        <v>45369</v>
      </c>
      <c r="E1587" s="1">
        <v>45373</v>
      </c>
      <c r="F1587" t="s">
        <v>60</v>
      </c>
      <c r="G1587" t="s">
        <v>22</v>
      </c>
      <c r="H1587" t="s">
        <v>30</v>
      </c>
      <c r="I1587">
        <v>8</v>
      </c>
      <c r="J1587">
        <v>4</v>
      </c>
      <c r="K1587">
        <v>5625</v>
      </c>
      <c r="L1587">
        <v>22500</v>
      </c>
      <c r="M1587" t="s">
        <v>51</v>
      </c>
      <c r="N1587">
        <v>0</v>
      </c>
      <c r="O1587" t="s">
        <v>25</v>
      </c>
    </row>
    <row r="1588" spans="1:15" x14ac:dyDescent="0.35">
      <c r="A1588">
        <v>2587</v>
      </c>
      <c r="B1588" t="s">
        <v>683</v>
      </c>
      <c r="C1588" s="1">
        <v>45474</v>
      </c>
      <c r="D1588" s="1">
        <v>45482</v>
      </c>
      <c r="E1588" s="1">
        <v>45484</v>
      </c>
      <c r="F1588" t="s">
        <v>60</v>
      </c>
      <c r="G1588" t="s">
        <v>39</v>
      </c>
      <c r="H1588" t="s">
        <v>30</v>
      </c>
      <c r="I1588">
        <v>8</v>
      </c>
      <c r="J1588">
        <v>2</v>
      </c>
      <c r="K1588">
        <v>4463</v>
      </c>
      <c r="L1588">
        <v>8926</v>
      </c>
      <c r="M1588" t="s">
        <v>51</v>
      </c>
      <c r="N1588">
        <v>0</v>
      </c>
      <c r="O1588" t="s">
        <v>31</v>
      </c>
    </row>
    <row r="1589" spans="1:15" x14ac:dyDescent="0.35">
      <c r="A1589">
        <v>2588</v>
      </c>
      <c r="B1589" t="s">
        <v>1061</v>
      </c>
      <c r="C1589" s="1">
        <v>45541</v>
      </c>
      <c r="D1589" s="1">
        <v>45600</v>
      </c>
      <c r="E1589" s="1">
        <v>45605</v>
      </c>
      <c r="F1589" t="s">
        <v>29</v>
      </c>
      <c r="G1589" t="s">
        <v>39</v>
      </c>
      <c r="H1589" t="s">
        <v>23</v>
      </c>
      <c r="I1589">
        <v>59</v>
      </c>
      <c r="J1589">
        <v>5</v>
      </c>
      <c r="K1589">
        <v>7653</v>
      </c>
      <c r="L1589">
        <v>38265</v>
      </c>
      <c r="M1589" t="s">
        <v>51</v>
      </c>
      <c r="N1589">
        <v>1</v>
      </c>
      <c r="O1589" t="s">
        <v>25</v>
      </c>
    </row>
    <row r="1590" spans="1:15" x14ac:dyDescent="0.35">
      <c r="A1590">
        <v>2589</v>
      </c>
      <c r="B1590" t="s">
        <v>504</v>
      </c>
      <c r="C1590" s="1">
        <v>45519</v>
      </c>
      <c r="D1590" s="1">
        <v>45545</v>
      </c>
      <c r="E1590" s="1">
        <v>45547</v>
      </c>
      <c r="F1590" t="s">
        <v>21</v>
      </c>
      <c r="G1590" t="s">
        <v>22</v>
      </c>
      <c r="H1590" t="s">
        <v>30</v>
      </c>
      <c r="I1590">
        <v>26</v>
      </c>
      <c r="J1590">
        <v>2</v>
      </c>
      <c r="K1590">
        <v>4789</v>
      </c>
      <c r="L1590">
        <v>9578</v>
      </c>
      <c r="M1590" t="s">
        <v>51</v>
      </c>
      <c r="N1590">
        <v>0</v>
      </c>
      <c r="O1590" t="s">
        <v>31</v>
      </c>
    </row>
    <row r="1591" spans="1:15" x14ac:dyDescent="0.35">
      <c r="A1591">
        <v>2590</v>
      </c>
      <c r="B1591" t="s">
        <v>1062</v>
      </c>
      <c r="C1591" s="1">
        <v>45393</v>
      </c>
      <c r="D1591" s="1">
        <v>45440</v>
      </c>
      <c r="E1591" s="1">
        <v>45442</v>
      </c>
      <c r="F1591" t="s">
        <v>29</v>
      </c>
      <c r="G1591" t="s">
        <v>22</v>
      </c>
      <c r="H1591" t="s">
        <v>46</v>
      </c>
      <c r="I1591">
        <v>47</v>
      </c>
      <c r="J1591">
        <v>2</v>
      </c>
      <c r="K1591">
        <v>3466</v>
      </c>
      <c r="L1591">
        <v>6932</v>
      </c>
      <c r="M1591" t="s">
        <v>51</v>
      </c>
      <c r="N1591">
        <v>0</v>
      </c>
      <c r="O1591" t="s">
        <v>31</v>
      </c>
    </row>
    <row r="1592" spans="1:15" x14ac:dyDescent="0.35">
      <c r="A1592">
        <v>2591</v>
      </c>
      <c r="B1592" t="s">
        <v>1063</v>
      </c>
      <c r="C1592" s="1">
        <v>45366</v>
      </c>
      <c r="D1592" s="1">
        <v>45425</v>
      </c>
      <c r="E1592" s="1">
        <v>45429</v>
      </c>
      <c r="F1592" t="s">
        <v>29</v>
      </c>
      <c r="G1592" t="s">
        <v>22</v>
      </c>
      <c r="H1592" t="s">
        <v>30</v>
      </c>
      <c r="I1592">
        <v>59</v>
      </c>
      <c r="J1592">
        <v>4</v>
      </c>
      <c r="K1592">
        <v>3389</v>
      </c>
      <c r="L1592">
        <v>13556</v>
      </c>
      <c r="M1592" t="s">
        <v>24</v>
      </c>
      <c r="N1592">
        <v>0</v>
      </c>
      <c r="O1592" t="s">
        <v>31</v>
      </c>
    </row>
    <row r="1593" spans="1:15" x14ac:dyDescent="0.35">
      <c r="A1593">
        <v>2592</v>
      </c>
      <c r="B1593" t="s">
        <v>1064</v>
      </c>
      <c r="C1593" s="1">
        <v>45507</v>
      </c>
      <c r="D1593" s="1">
        <v>45520</v>
      </c>
      <c r="E1593" s="1">
        <v>45524</v>
      </c>
      <c r="F1593" t="s">
        <v>60</v>
      </c>
      <c r="G1593" t="s">
        <v>39</v>
      </c>
      <c r="H1593" t="s">
        <v>46</v>
      </c>
      <c r="I1593">
        <v>13</v>
      </c>
      <c r="J1593">
        <v>4</v>
      </c>
      <c r="K1593">
        <v>8756</v>
      </c>
      <c r="L1593">
        <v>35024</v>
      </c>
      <c r="M1593" t="s">
        <v>24</v>
      </c>
      <c r="N1593">
        <v>0</v>
      </c>
      <c r="O1593" t="s">
        <v>25</v>
      </c>
    </row>
    <row r="1594" spans="1:15" x14ac:dyDescent="0.35">
      <c r="A1594">
        <v>2593</v>
      </c>
      <c r="B1594" t="s">
        <v>1065</v>
      </c>
      <c r="C1594" s="1">
        <v>45494</v>
      </c>
      <c r="D1594" s="1">
        <v>45533</v>
      </c>
      <c r="E1594" s="1">
        <v>45534</v>
      </c>
      <c r="F1594" t="s">
        <v>38</v>
      </c>
      <c r="G1594" t="s">
        <v>39</v>
      </c>
      <c r="H1594" t="s">
        <v>23</v>
      </c>
      <c r="I1594">
        <v>39</v>
      </c>
      <c r="J1594">
        <v>1</v>
      </c>
      <c r="K1594">
        <v>5561</v>
      </c>
      <c r="L1594">
        <v>5561</v>
      </c>
      <c r="M1594" t="s">
        <v>24</v>
      </c>
      <c r="N1594">
        <v>0</v>
      </c>
      <c r="O1594" t="s">
        <v>25</v>
      </c>
    </row>
    <row r="1595" spans="1:15" x14ac:dyDescent="0.35">
      <c r="A1595">
        <v>2594</v>
      </c>
      <c r="B1595" t="s">
        <v>1022</v>
      </c>
      <c r="C1595" s="1">
        <v>45483</v>
      </c>
      <c r="D1595" s="1">
        <v>45520</v>
      </c>
      <c r="E1595" s="1">
        <v>45525</v>
      </c>
      <c r="F1595" t="s">
        <v>60</v>
      </c>
      <c r="G1595" t="s">
        <v>22</v>
      </c>
      <c r="H1595" t="s">
        <v>30</v>
      </c>
      <c r="I1595">
        <v>37</v>
      </c>
      <c r="J1595">
        <v>5</v>
      </c>
      <c r="K1595">
        <v>8961</v>
      </c>
      <c r="L1595">
        <v>44805</v>
      </c>
      <c r="M1595" t="s">
        <v>51</v>
      </c>
      <c r="N1595">
        <v>1</v>
      </c>
      <c r="O1595" t="s">
        <v>25</v>
      </c>
    </row>
    <row r="1596" spans="1:15" x14ac:dyDescent="0.35">
      <c r="A1596">
        <v>2595</v>
      </c>
      <c r="B1596" t="s">
        <v>189</v>
      </c>
      <c r="C1596" s="1">
        <v>45540</v>
      </c>
      <c r="D1596" s="1">
        <v>45589</v>
      </c>
      <c r="E1596" s="1">
        <v>45594</v>
      </c>
      <c r="F1596" t="s">
        <v>60</v>
      </c>
      <c r="G1596" t="s">
        <v>39</v>
      </c>
      <c r="H1596" t="s">
        <v>46</v>
      </c>
      <c r="I1596">
        <v>49</v>
      </c>
      <c r="J1596">
        <v>5</v>
      </c>
      <c r="K1596">
        <v>8666</v>
      </c>
      <c r="L1596">
        <v>43330</v>
      </c>
      <c r="M1596" t="s">
        <v>51</v>
      </c>
      <c r="N1596">
        <v>1</v>
      </c>
      <c r="O1596" t="s">
        <v>25</v>
      </c>
    </row>
    <row r="1597" spans="1:15" x14ac:dyDescent="0.35">
      <c r="A1597">
        <v>2596</v>
      </c>
      <c r="B1597" t="s">
        <v>1066</v>
      </c>
      <c r="C1597" s="1">
        <v>45533</v>
      </c>
      <c r="D1597" s="1">
        <v>45561</v>
      </c>
      <c r="E1597" s="1">
        <v>45566</v>
      </c>
      <c r="F1597" t="s">
        <v>60</v>
      </c>
      <c r="G1597" t="s">
        <v>39</v>
      </c>
      <c r="H1597" t="s">
        <v>23</v>
      </c>
      <c r="I1597">
        <v>28</v>
      </c>
      <c r="J1597">
        <v>5</v>
      </c>
      <c r="K1597">
        <v>6129</v>
      </c>
      <c r="L1597">
        <v>30645</v>
      </c>
      <c r="M1597" t="s">
        <v>51</v>
      </c>
      <c r="N1597">
        <v>0</v>
      </c>
      <c r="O1597" t="s">
        <v>31</v>
      </c>
    </row>
    <row r="1598" spans="1:15" x14ac:dyDescent="0.35">
      <c r="A1598">
        <v>2597</v>
      </c>
      <c r="B1598" t="s">
        <v>1067</v>
      </c>
      <c r="C1598" s="1">
        <v>45470</v>
      </c>
      <c r="D1598" s="1">
        <v>45495</v>
      </c>
      <c r="E1598" s="1">
        <v>45498</v>
      </c>
      <c r="F1598" t="s">
        <v>29</v>
      </c>
      <c r="G1598" t="s">
        <v>39</v>
      </c>
      <c r="H1598" t="s">
        <v>23</v>
      </c>
      <c r="I1598">
        <v>25</v>
      </c>
      <c r="J1598">
        <v>3</v>
      </c>
      <c r="K1598">
        <v>5689</v>
      </c>
      <c r="L1598">
        <v>17067</v>
      </c>
      <c r="M1598" t="s">
        <v>24</v>
      </c>
      <c r="N1598">
        <v>0</v>
      </c>
      <c r="O1598" t="s">
        <v>31</v>
      </c>
    </row>
    <row r="1599" spans="1:15" x14ac:dyDescent="0.35">
      <c r="A1599">
        <v>2598</v>
      </c>
      <c r="B1599" t="s">
        <v>312</v>
      </c>
      <c r="C1599" s="1">
        <v>45510</v>
      </c>
      <c r="D1599" s="1">
        <v>45526</v>
      </c>
      <c r="E1599" s="1">
        <v>45528</v>
      </c>
      <c r="F1599" t="s">
        <v>21</v>
      </c>
      <c r="G1599" t="s">
        <v>22</v>
      </c>
      <c r="H1599" t="s">
        <v>23</v>
      </c>
      <c r="I1599">
        <v>16</v>
      </c>
      <c r="J1599">
        <v>2</v>
      </c>
      <c r="K1599">
        <v>5248</v>
      </c>
      <c r="L1599">
        <v>10496</v>
      </c>
      <c r="M1599" t="s">
        <v>24</v>
      </c>
      <c r="N1599">
        <v>0</v>
      </c>
      <c r="O1599" t="s">
        <v>31</v>
      </c>
    </row>
    <row r="1600" spans="1:15" x14ac:dyDescent="0.35">
      <c r="A1600">
        <v>2599</v>
      </c>
      <c r="B1600" t="s">
        <v>754</v>
      </c>
      <c r="C1600" s="1">
        <v>45373</v>
      </c>
      <c r="D1600" s="1">
        <v>45428</v>
      </c>
      <c r="E1600" s="1">
        <v>45432</v>
      </c>
      <c r="F1600" t="s">
        <v>29</v>
      </c>
      <c r="G1600" t="s">
        <v>22</v>
      </c>
      <c r="H1600" t="s">
        <v>23</v>
      </c>
      <c r="I1600">
        <v>55</v>
      </c>
      <c r="J1600">
        <v>4</v>
      </c>
      <c r="K1600">
        <v>4166</v>
      </c>
      <c r="L1600">
        <v>16664</v>
      </c>
      <c r="M1600" t="s">
        <v>24</v>
      </c>
      <c r="N1600">
        <v>1</v>
      </c>
      <c r="O1600" t="s">
        <v>31</v>
      </c>
    </row>
    <row r="1601" spans="1:15" x14ac:dyDescent="0.35">
      <c r="A1601">
        <v>2600</v>
      </c>
      <c r="B1601" t="s">
        <v>921</v>
      </c>
      <c r="C1601" s="1">
        <v>45383</v>
      </c>
      <c r="D1601" s="1">
        <v>45385</v>
      </c>
      <c r="E1601" s="1">
        <v>45390</v>
      </c>
      <c r="F1601" t="s">
        <v>35</v>
      </c>
      <c r="G1601" t="s">
        <v>22</v>
      </c>
      <c r="H1601" t="s">
        <v>30</v>
      </c>
      <c r="I1601">
        <v>2</v>
      </c>
      <c r="J1601">
        <v>5</v>
      </c>
      <c r="K1601">
        <v>5566</v>
      </c>
      <c r="L1601">
        <v>27830</v>
      </c>
      <c r="M1601" t="s">
        <v>24</v>
      </c>
      <c r="N1601">
        <v>1</v>
      </c>
      <c r="O1601" t="s">
        <v>25</v>
      </c>
    </row>
    <row r="1602" spans="1:15" x14ac:dyDescent="0.35">
      <c r="A1602">
        <v>2601</v>
      </c>
      <c r="B1602" t="s">
        <v>949</v>
      </c>
      <c r="C1602" s="1">
        <v>45466</v>
      </c>
      <c r="D1602" s="1">
        <v>45520</v>
      </c>
      <c r="E1602" s="1">
        <v>45521</v>
      </c>
      <c r="F1602" t="s">
        <v>60</v>
      </c>
      <c r="G1602" t="s">
        <v>22</v>
      </c>
      <c r="H1602" t="s">
        <v>46</v>
      </c>
      <c r="I1602">
        <v>54</v>
      </c>
      <c r="J1602">
        <v>1</v>
      </c>
      <c r="K1602">
        <v>3941</v>
      </c>
      <c r="L1602">
        <v>3941</v>
      </c>
      <c r="M1602" t="s">
        <v>24</v>
      </c>
      <c r="N1602">
        <v>1</v>
      </c>
      <c r="O1602" t="s">
        <v>31</v>
      </c>
    </row>
    <row r="1603" spans="1:15" x14ac:dyDescent="0.35">
      <c r="A1603">
        <v>2602</v>
      </c>
      <c r="B1603" t="s">
        <v>269</v>
      </c>
      <c r="C1603" s="1">
        <v>45530</v>
      </c>
      <c r="D1603" s="1">
        <v>45548</v>
      </c>
      <c r="E1603" s="1">
        <v>45553</v>
      </c>
      <c r="F1603" t="s">
        <v>60</v>
      </c>
      <c r="G1603" t="s">
        <v>22</v>
      </c>
      <c r="H1603" t="s">
        <v>30</v>
      </c>
      <c r="I1603">
        <v>18</v>
      </c>
      <c r="J1603">
        <v>5</v>
      </c>
      <c r="K1603">
        <v>3567</v>
      </c>
      <c r="L1603">
        <v>17835</v>
      </c>
      <c r="M1603" t="s">
        <v>24</v>
      </c>
      <c r="N1603">
        <v>0</v>
      </c>
      <c r="O1603" t="s">
        <v>25</v>
      </c>
    </row>
    <row r="1604" spans="1:15" x14ac:dyDescent="0.35">
      <c r="A1604">
        <v>2603</v>
      </c>
      <c r="B1604" t="s">
        <v>1008</v>
      </c>
      <c r="C1604" s="1">
        <v>45551</v>
      </c>
      <c r="D1604" s="1">
        <v>45568</v>
      </c>
      <c r="E1604" s="1">
        <v>45570</v>
      </c>
      <c r="F1604" t="s">
        <v>35</v>
      </c>
      <c r="G1604" t="s">
        <v>39</v>
      </c>
      <c r="H1604" t="s">
        <v>46</v>
      </c>
      <c r="I1604">
        <v>17</v>
      </c>
      <c r="J1604">
        <v>2</v>
      </c>
      <c r="K1604">
        <v>6723</v>
      </c>
      <c r="L1604">
        <v>13446</v>
      </c>
      <c r="M1604" t="s">
        <v>51</v>
      </c>
      <c r="N1604">
        <v>1</v>
      </c>
      <c r="O1604" t="s">
        <v>31</v>
      </c>
    </row>
    <row r="1605" spans="1:15" x14ac:dyDescent="0.35">
      <c r="A1605">
        <v>2604</v>
      </c>
      <c r="B1605" t="s">
        <v>1052</v>
      </c>
      <c r="C1605" s="1">
        <v>45656</v>
      </c>
      <c r="D1605" s="1">
        <v>45686</v>
      </c>
      <c r="E1605" s="1">
        <v>45688</v>
      </c>
      <c r="F1605" t="s">
        <v>60</v>
      </c>
      <c r="G1605" t="s">
        <v>39</v>
      </c>
      <c r="H1605" t="s">
        <v>23</v>
      </c>
      <c r="I1605">
        <v>30</v>
      </c>
      <c r="J1605">
        <v>2</v>
      </c>
      <c r="K1605">
        <v>5423</v>
      </c>
      <c r="L1605">
        <v>10846</v>
      </c>
      <c r="M1605" t="s">
        <v>24</v>
      </c>
      <c r="N1605">
        <v>1</v>
      </c>
      <c r="O1605" t="s">
        <v>31</v>
      </c>
    </row>
    <row r="1606" spans="1:15" x14ac:dyDescent="0.35">
      <c r="A1606">
        <v>2605</v>
      </c>
      <c r="B1606" t="s">
        <v>844</v>
      </c>
      <c r="C1606" s="1">
        <v>45454</v>
      </c>
      <c r="D1606" s="1">
        <v>45493</v>
      </c>
      <c r="E1606" s="1">
        <v>45497</v>
      </c>
      <c r="F1606" t="s">
        <v>60</v>
      </c>
      <c r="G1606" t="s">
        <v>39</v>
      </c>
      <c r="H1606" t="s">
        <v>30</v>
      </c>
      <c r="I1606">
        <v>39</v>
      </c>
      <c r="J1606">
        <v>4</v>
      </c>
      <c r="K1606">
        <v>6753</v>
      </c>
      <c r="L1606">
        <v>27012</v>
      </c>
      <c r="M1606" t="s">
        <v>51</v>
      </c>
      <c r="N1606">
        <v>1</v>
      </c>
      <c r="O1606" t="s">
        <v>31</v>
      </c>
    </row>
    <row r="1607" spans="1:15" x14ac:dyDescent="0.35">
      <c r="A1607">
        <v>2606</v>
      </c>
      <c r="B1607" t="s">
        <v>534</v>
      </c>
      <c r="C1607" s="1">
        <v>45339</v>
      </c>
      <c r="D1607" s="1">
        <v>45352</v>
      </c>
      <c r="E1607" s="1">
        <v>45355</v>
      </c>
      <c r="F1607" t="s">
        <v>60</v>
      </c>
      <c r="G1607" t="s">
        <v>39</v>
      </c>
      <c r="H1607" t="s">
        <v>23</v>
      </c>
      <c r="I1607">
        <v>13</v>
      </c>
      <c r="J1607">
        <v>3</v>
      </c>
      <c r="K1607">
        <v>6356</v>
      </c>
      <c r="L1607">
        <v>19068</v>
      </c>
      <c r="M1607" t="s">
        <v>24</v>
      </c>
      <c r="N1607">
        <v>1</v>
      </c>
      <c r="O1607" t="s">
        <v>25</v>
      </c>
    </row>
    <row r="1608" spans="1:15" x14ac:dyDescent="0.35">
      <c r="A1608">
        <v>2607</v>
      </c>
      <c r="B1608" t="s">
        <v>189</v>
      </c>
      <c r="C1608" s="1">
        <v>45620</v>
      </c>
      <c r="D1608" s="1">
        <v>45652</v>
      </c>
      <c r="E1608" s="1">
        <v>45656</v>
      </c>
      <c r="F1608" t="s">
        <v>35</v>
      </c>
      <c r="G1608" t="s">
        <v>39</v>
      </c>
      <c r="H1608" t="s">
        <v>46</v>
      </c>
      <c r="I1608">
        <v>32</v>
      </c>
      <c r="J1608">
        <v>4</v>
      </c>
      <c r="K1608">
        <v>3326</v>
      </c>
      <c r="L1608">
        <v>13304</v>
      </c>
      <c r="M1608" t="s">
        <v>24</v>
      </c>
      <c r="N1608">
        <v>0</v>
      </c>
      <c r="O1608" t="s">
        <v>25</v>
      </c>
    </row>
    <row r="1609" spans="1:15" x14ac:dyDescent="0.35">
      <c r="A1609">
        <v>2608</v>
      </c>
      <c r="B1609" t="s">
        <v>891</v>
      </c>
      <c r="C1609" s="1">
        <v>45619</v>
      </c>
      <c r="D1609" s="1">
        <v>45669</v>
      </c>
      <c r="E1609" s="1">
        <v>45674</v>
      </c>
      <c r="F1609" t="s">
        <v>29</v>
      </c>
      <c r="G1609" t="s">
        <v>39</v>
      </c>
      <c r="H1609" t="s">
        <v>23</v>
      </c>
      <c r="I1609">
        <v>50</v>
      </c>
      <c r="J1609">
        <v>5</v>
      </c>
      <c r="K1609">
        <v>8486</v>
      </c>
      <c r="L1609">
        <v>42430</v>
      </c>
      <c r="M1609" t="s">
        <v>51</v>
      </c>
      <c r="N1609">
        <v>1</v>
      </c>
      <c r="O1609" t="s">
        <v>31</v>
      </c>
    </row>
    <row r="1610" spans="1:15" x14ac:dyDescent="0.35">
      <c r="A1610">
        <v>2609</v>
      </c>
      <c r="B1610" t="s">
        <v>1068</v>
      </c>
      <c r="C1610" s="1">
        <v>45407</v>
      </c>
      <c r="D1610" s="1">
        <v>45436</v>
      </c>
      <c r="E1610" s="1">
        <v>45437</v>
      </c>
      <c r="F1610" t="s">
        <v>60</v>
      </c>
      <c r="G1610" t="s">
        <v>22</v>
      </c>
      <c r="H1610" t="s">
        <v>30</v>
      </c>
      <c r="I1610">
        <v>29</v>
      </c>
      <c r="J1610">
        <v>1</v>
      </c>
      <c r="K1610">
        <v>7107</v>
      </c>
      <c r="L1610">
        <v>7107</v>
      </c>
      <c r="M1610" t="s">
        <v>51</v>
      </c>
      <c r="N1610">
        <v>0</v>
      </c>
      <c r="O1610" t="s">
        <v>31</v>
      </c>
    </row>
    <row r="1611" spans="1:15" x14ac:dyDescent="0.35">
      <c r="A1611">
        <v>2610</v>
      </c>
      <c r="B1611" t="s">
        <v>376</v>
      </c>
      <c r="C1611" s="1">
        <v>45628</v>
      </c>
      <c r="D1611" s="1">
        <v>45674</v>
      </c>
      <c r="E1611" s="1">
        <v>45678</v>
      </c>
      <c r="F1611" t="s">
        <v>21</v>
      </c>
      <c r="G1611" t="s">
        <v>22</v>
      </c>
      <c r="H1611" t="s">
        <v>30</v>
      </c>
      <c r="I1611">
        <v>46</v>
      </c>
      <c r="J1611">
        <v>4</v>
      </c>
      <c r="K1611">
        <v>6485</v>
      </c>
      <c r="L1611">
        <v>25940</v>
      </c>
      <c r="M1611" t="s">
        <v>51</v>
      </c>
      <c r="N1611">
        <v>1</v>
      </c>
      <c r="O1611" t="s">
        <v>31</v>
      </c>
    </row>
    <row r="1612" spans="1:15" x14ac:dyDescent="0.35">
      <c r="A1612">
        <v>2611</v>
      </c>
      <c r="B1612" t="s">
        <v>996</v>
      </c>
      <c r="C1612" s="1">
        <v>45628</v>
      </c>
      <c r="D1612" s="1">
        <v>45658</v>
      </c>
      <c r="E1612" s="1">
        <v>45661</v>
      </c>
      <c r="F1612" t="s">
        <v>35</v>
      </c>
      <c r="G1612" t="s">
        <v>39</v>
      </c>
      <c r="H1612" t="s">
        <v>46</v>
      </c>
      <c r="I1612">
        <v>30</v>
      </c>
      <c r="J1612">
        <v>3</v>
      </c>
      <c r="K1612">
        <v>4592</v>
      </c>
      <c r="L1612">
        <v>13776</v>
      </c>
      <c r="M1612" t="s">
        <v>24</v>
      </c>
      <c r="N1612">
        <v>0</v>
      </c>
      <c r="O1612" t="s">
        <v>25</v>
      </c>
    </row>
    <row r="1613" spans="1:15" x14ac:dyDescent="0.35">
      <c r="A1613">
        <v>2612</v>
      </c>
      <c r="B1613" t="s">
        <v>236</v>
      </c>
      <c r="C1613" s="1">
        <v>45516</v>
      </c>
      <c r="D1613" s="1">
        <v>45534</v>
      </c>
      <c r="E1613" s="1">
        <v>45538</v>
      </c>
      <c r="F1613" t="s">
        <v>38</v>
      </c>
      <c r="G1613" t="s">
        <v>22</v>
      </c>
      <c r="H1613" t="s">
        <v>46</v>
      </c>
      <c r="I1613">
        <v>18</v>
      </c>
      <c r="J1613">
        <v>4</v>
      </c>
      <c r="K1613">
        <v>5679</v>
      </c>
      <c r="L1613">
        <v>22716</v>
      </c>
      <c r="M1613" t="s">
        <v>24</v>
      </c>
      <c r="N1613">
        <v>1</v>
      </c>
      <c r="O1613" t="s">
        <v>25</v>
      </c>
    </row>
    <row r="1614" spans="1:15" x14ac:dyDescent="0.35">
      <c r="A1614">
        <v>2613</v>
      </c>
      <c r="B1614" t="s">
        <v>1069</v>
      </c>
      <c r="C1614" s="1">
        <v>45643</v>
      </c>
      <c r="D1614" s="1">
        <v>45656</v>
      </c>
      <c r="E1614" s="1">
        <v>45658</v>
      </c>
      <c r="F1614" t="s">
        <v>35</v>
      </c>
      <c r="G1614" t="s">
        <v>39</v>
      </c>
      <c r="H1614" t="s">
        <v>30</v>
      </c>
      <c r="I1614">
        <v>13</v>
      </c>
      <c r="J1614">
        <v>2</v>
      </c>
      <c r="K1614">
        <v>8862</v>
      </c>
      <c r="L1614">
        <v>17724</v>
      </c>
      <c r="M1614" t="s">
        <v>51</v>
      </c>
      <c r="N1614">
        <v>0</v>
      </c>
      <c r="O1614" t="s">
        <v>25</v>
      </c>
    </row>
    <row r="1615" spans="1:15" x14ac:dyDescent="0.35">
      <c r="A1615">
        <v>2614</v>
      </c>
      <c r="B1615" t="s">
        <v>1010</v>
      </c>
      <c r="C1615" s="1">
        <v>45619</v>
      </c>
      <c r="D1615" s="1">
        <v>45662</v>
      </c>
      <c r="E1615" s="1">
        <v>45667</v>
      </c>
      <c r="F1615" t="s">
        <v>29</v>
      </c>
      <c r="G1615" t="s">
        <v>39</v>
      </c>
      <c r="H1615" t="s">
        <v>30</v>
      </c>
      <c r="I1615">
        <v>43</v>
      </c>
      <c r="J1615">
        <v>5</v>
      </c>
      <c r="K1615">
        <v>7038</v>
      </c>
      <c r="L1615">
        <v>35190</v>
      </c>
      <c r="M1615" t="s">
        <v>24</v>
      </c>
      <c r="N1615">
        <v>0</v>
      </c>
      <c r="O1615" t="s">
        <v>31</v>
      </c>
    </row>
    <row r="1616" spans="1:15" x14ac:dyDescent="0.35">
      <c r="A1616">
        <v>2615</v>
      </c>
      <c r="B1616" t="s">
        <v>577</v>
      </c>
      <c r="C1616" s="1">
        <v>45438</v>
      </c>
      <c r="D1616" s="1">
        <v>45459</v>
      </c>
      <c r="E1616" s="1">
        <v>45464</v>
      </c>
      <c r="F1616" t="s">
        <v>35</v>
      </c>
      <c r="G1616" t="s">
        <v>22</v>
      </c>
      <c r="H1616" t="s">
        <v>30</v>
      </c>
      <c r="I1616">
        <v>21</v>
      </c>
      <c r="J1616">
        <v>5</v>
      </c>
      <c r="K1616">
        <v>6401</v>
      </c>
      <c r="L1616">
        <v>32005</v>
      </c>
      <c r="M1616" t="s">
        <v>51</v>
      </c>
      <c r="N1616">
        <v>1</v>
      </c>
      <c r="O1616" t="s">
        <v>25</v>
      </c>
    </row>
    <row r="1617" spans="1:15" x14ac:dyDescent="0.35">
      <c r="A1617">
        <v>2616</v>
      </c>
      <c r="B1617" t="s">
        <v>248</v>
      </c>
      <c r="C1617" s="1">
        <v>45354</v>
      </c>
      <c r="D1617" s="1">
        <v>45384</v>
      </c>
      <c r="E1617" s="1">
        <v>45389</v>
      </c>
      <c r="F1617" t="s">
        <v>38</v>
      </c>
      <c r="G1617" t="s">
        <v>22</v>
      </c>
      <c r="H1617" t="s">
        <v>30</v>
      </c>
      <c r="I1617">
        <v>30</v>
      </c>
      <c r="J1617">
        <v>5</v>
      </c>
      <c r="K1617">
        <v>4862</v>
      </c>
      <c r="L1617">
        <v>24310</v>
      </c>
      <c r="M1617" t="s">
        <v>24</v>
      </c>
      <c r="N1617">
        <v>0</v>
      </c>
      <c r="O1617" t="s">
        <v>31</v>
      </c>
    </row>
    <row r="1618" spans="1:15" x14ac:dyDescent="0.35">
      <c r="A1618">
        <v>2617</v>
      </c>
      <c r="B1618" t="s">
        <v>1070</v>
      </c>
      <c r="C1618" s="1">
        <v>45585</v>
      </c>
      <c r="D1618" s="1">
        <v>45606</v>
      </c>
      <c r="E1618" s="1">
        <v>45611</v>
      </c>
      <c r="F1618" t="s">
        <v>21</v>
      </c>
      <c r="G1618" t="s">
        <v>39</v>
      </c>
      <c r="H1618" t="s">
        <v>46</v>
      </c>
      <c r="I1618">
        <v>21</v>
      </c>
      <c r="J1618">
        <v>5</v>
      </c>
      <c r="K1618">
        <v>4724</v>
      </c>
      <c r="L1618">
        <v>23620</v>
      </c>
      <c r="M1618" t="s">
        <v>24</v>
      </c>
      <c r="N1618">
        <v>0</v>
      </c>
      <c r="O1618" t="s">
        <v>25</v>
      </c>
    </row>
    <row r="1619" spans="1:15" x14ac:dyDescent="0.35">
      <c r="A1619">
        <v>2618</v>
      </c>
      <c r="B1619" t="s">
        <v>649</v>
      </c>
      <c r="C1619" s="1">
        <v>45614</v>
      </c>
      <c r="D1619" s="1">
        <v>45662</v>
      </c>
      <c r="E1619" s="1">
        <v>45667</v>
      </c>
      <c r="F1619" t="s">
        <v>38</v>
      </c>
      <c r="G1619" t="s">
        <v>22</v>
      </c>
      <c r="H1619" t="s">
        <v>30</v>
      </c>
      <c r="I1619">
        <v>48</v>
      </c>
      <c r="J1619">
        <v>5</v>
      </c>
      <c r="K1619">
        <v>8871</v>
      </c>
      <c r="L1619">
        <v>44355</v>
      </c>
      <c r="M1619" t="s">
        <v>24</v>
      </c>
      <c r="N1619">
        <v>1</v>
      </c>
      <c r="O1619" t="s">
        <v>31</v>
      </c>
    </row>
    <row r="1620" spans="1:15" x14ac:dyDescent="0.35">
      <c r="A1620">
        <v>2619</v>
      </c>
      <c r="B1620" t="s">
        <v>40</v>
      </c>
      <c r="C1620" s="1">
        <v>45616</v>
      </c>
      <c r="D1620" s="1">
        <v>45671</v>
      </c>
      <c r="E1620" s="1">
        <v>45676</v>
      </c>
      <c r="F1620" t="s">
        <v>35</v>
      </c>
      <c r="G1620" t="s">
        <v>39</v>
      </c>
      <c r="H1620" t="s">
        <v>46</v>
      </c>
      <c r="I1620">
        <v>55</v>
      </c>
      <c r="J1620">
        <v>5</v>
      </c>
      <c r="K1620">
        <v>4226</v>
      </c>
      <c r="L1620">
        <v>21130</v>
      </c>
      <c r="M1620" t="s">
        <v>51</v>
      </c>
      <c r="N1620">
        <v>1</v>
      </c>
      <c r="O1620" t="s">
        <v>31</v>
      </c>
    </row>
    <row r="1621" spans="1:15" x14ac:dyDescent="0.35">
      <c r="A1621">
        <v>2620</v>
      </c>
      <c r="B1621" t="s">
        <v>376</v>
      </c>
      <c r="C1621" s="1">
        <v>45304</v>
      </c>
      <c r="D1621" s="1">
        <v>45321</v>
      </c>
      <c r="E1621" s="1">
        <v>45322</v>
      </c>
      <c r="F1621" t="s">
        <v>38</v>
      </c>
      <c r="G1621" t="s">
        <v>39</v>
      </c>
      <c r="H1621" t="s">
        <v>30</v>
      </c>
      <c r="I1621">
        <v>17</v>
      </c>
      <c r="J1621">
        <v>1</v>
      </c>
      <c r="K1621">
        <v>4506</v>
      </c>
      <c r="L1621">
        <v>4506</v>
      </c>
      <c r="M1621" t="s">
        <v>24</v>
      </c>
      <c r="N1621">
        <v>0</v>
      </c>
      <c r="O1621" t="s">
        <v>25</v>
      </c>
    </row>
    <row r="1622" spans="1:15" x14ac:dyDescent="0.35">
      <c r="A1622">
        <v>2621</v>
      </c>
      <c r="B1622" t="s">
        <v>911</v>
      </c>
      <c r="C1622" s="1">
        <v>45480</v>
      </c>
      <c r="D1622" s="1">
        <v>45520</v>
      </c>
      <c r="E1622" s="1">
        <v>45523</v>
      </c>
      <c r="F1622" t="s">
        <v>35</v>
      </c>
      <c r="G1622" t="s">
        <v>39</v>
      </c>
      <c r="H1622" t="s">
        <v>30</v>
      </c>
      <c r="I1622">
        <v>40</v>
      </c>
      <c r="J1622">
        <v>3</v>
      </c>
      <c r="K1622">
        <v>8291</v>
      </c>
      <c r="L1622">
        <v>24873</v>
      </c>
      <c r="M1622" t="s">
        <v>51</v>
      </c>
      <c r="N1622">
        <v>0</v>
      </c>
      <c r="O1622" t="s">
        <v>31</v>
      </c>
    </row>
    <row r="1623" spans="1:15" x14ac:dyDescent="0.35">
      <c r="A1623">
        <v>2622</v>
      </c>
      <c r="B1623" t="s">
        <v>502</v>
      </c>
      <c r="C1623" s="1">
        <v>45578</v>
      </c>
      <c r="D1623" s="1">
        <v>45597</v>
      </c>
      <c r="E1623" s="1">
        <v>45602</v>
      </c>
      <c r="F1623" t="s">
        <v>21</v>
      </c>
      <c r="G1623" t="s">
        <v>39</v>
      </c>
      <c r="H1623" t="s">
        <v>23</v>
      </c>
      <c r="I1623">
        <v>19</v>
      </c>
      <c r="J1623">
        <v>5</v>
      </c>
      <c r="K1623">
        <v>2766</v>
      </c>
      <c r="L1623">
        <v>13830</v>
      </c>
      <c r="M1623" t="s">
        <v>51</v>
      </c>
      <c r="N1623">
        <v>1</v>
      </c>
      <c r="O1623" t="s">
        <v>31</v>
      </c>
    </row>
    <row r="1624" spans="1:15" x14ac:dyDescent="0.35">
      <c r="A1624">
        <v>2623</v>
      </c>
      <c r="B1624" t="s">
        <v>918</v>
      </c>
      <c r="C1624" s="1">
        <v>45499</v>
      </c>
      <c r="D1624" s="1">
        <v>45551</v>
      </c>
      <c r="E1624" s="1">
        <v>45554</v>
      </c>
      <c r="F1624" t="s">
        <v>21</v>
      </c>
      <c r="G1624" t="s">
        <v>39</v>
      </c>
      <c r="H1624" t="s">
        <v>23</v>
      </c>
      <c r="I1624">
        <v>52</v>
      </c>
      <c r="J1624">
        <v>3</v>
      </c>
      <c r="K1624">
        <v>3337</v>
      </c>
      <c r="L1624">
        <v>10011</v>
      </c>
      <c r="M1624" t="s">
        <v>51</v>
      </c>
      <c r="N1624">
        <v>1</v>
      </c>
      <c r="O1624" t="s">
        <v>31</v>
      </c>
    </row>
    <row r="1625" spans="1:15" x14ac:dyDescent="0.35">
      <c r="A1625">
        <v>2624</v>
      </c>
      <c r="B1625" t="s">
        <v>1071</v>
      </c>
      <c r="C1625" s="1">
        <v>45405</v>
      </c>
      <c r="D1625" s="1">
        <v>45420</v>
      </c>
      <c r="E1625" s="1">
        <v>45425</v>
      </c>
      <c r="F1625" t="s">
        <v>29</v>
      </c>
      <c r="G1625" t="s">
        <v>22</v>
      </c>
      <c r="H1625" t="s">
        <v>30</v>
      </c>
      <c r="I1625">
        <v>15</v>
      </c>
      <c r="J1625">
        <v>5</v>
      </c>
      <c r="K1625">
        <v>7084</v>
      </c>
      <c r="L1625">
        <v>35420</v>
      </c>
      <c r="M1625" t="s">
        <v>51</v>
      </c>
      <c r="N1625">
        <v>0</v>
      </c>
      <c r="O1625" t="s">
        <v>25</v>
      </c>
    </row>
    <row r="1626" spans="1:15" x14ac:dyDescent="0.35">
      <c r="A1626">
        <v>2625</v>
      </c>
      <c r="B1626" t="s">
        <v>1072</v>
      </c>
      <c r="C1626" s="1">
        <v>45313</v>
      </c>
      <c r="D1626" s="1">
        <v>45322</v>
      </c>
      <c r="E1626" s="1">
        <v>45326</v>
      </c>
      <c r="F1626" t="s">
        <v>21</v>
      </c>
      <c r="G1626" t="s">
        <v>39</v>
      </c>
      <c r="H1626" t="s">
        <v>46</v>
      </c>
      <c r="I1626">
        <v>9</v>
      </c>
      <c r="J1626">
        <v>4</v>
      </c>
      <c r="K1626">
        <v>7297</v>
      </c>
      <c r="L1626">
        <v>29188</v>
      </c>
      <c r="M1626" t="s">
        <v>51</v>
      </c>
      <c r="N1626">
        <v>0</v>
      </c>
      <c r="O1626" t="s">
        <v>31</v>
      </c>
    </row>
    <row r="1627" spans="1:15" x14ac:dyDescent="0.35">
      <c r="A1627">
        <v>2626</v>
      </c>
      <c r="B1627" t="s">
        <v>839</v>
      </c>
      <c r="C1627" s="1">
        <v>45640</v>
      </c>
      <c r="D1627" s="1">
        <v>45692</v>
      </c>
      <c r="E1627" s="1">
        <v>45697</v>
      </c>
      <c r="F1627" t="s">
        <v>60</v>
      </c>
      <c r="G1627" t="s">
        <v>22</v>
      </c>
      <c r="H1627" t="s">
        <v>30</v>
      </c>
      <c r="I1627">
        <v>52</v>
      </c>
      <c r="J1627">
        <v>5</v>
      </c>
      <c r="K1627">
        <v>3186</v>
      </c>
      <c r="L1627">
        <v>15930</v>
      </c>
      <c r="M1627" t="s">
        <v>51</v>
      </c>
      <c r="N1627">
        <v>1</v>
      </c>
      <c r="O1627" t="s">
        <v>25</v>
      </c>
    </row>
    <row r="1628" spans="1:15" x14ac:dyDescent="0.35">
      <c r="A1628">
        <v>2627</v>
      </c>
      <c r="B1628" t="s">
        <v>344</v>
      </c>
      <c r="C1628" s="1">
        <v>45505</v>
      </c>
      <c r="D1628" s="1">
        <v>45515</v>
      </c>
      <c r="E1628" s="1">
        <v>45517</v>
      </c>
      <c r="F1628" t="s">
        <v>38</v>
      </c>
      <c r="G1628" t="s">
        <v>39</v>
      </c>
      <c r="H1628" t="s">
        <v>23</v>
      </c>
      <c r="I1628">
        <v>10</v>
      </c>
      <c r="J1628">
        <v>2</v>
      </c>
      <c r="K1628">
        <v>5861</v>
      </c>
      <c r="L1628">
        <v>11722</v>
      </c>
      <c r="M1628" t="s">
        <v>51</v>
      </c>
      <c r="N1628">
        <v>0</v>
      </c>
      <c r="O1628" t="s">
        <v>25</v>
      </c>
    </row>
    <row r="1629" spans="1:15" x14ac:dyDescent="0.35">
      <c r="A1629">
        <v>2628</v>
      </c>
      <c r="B1629" t="s">
        <v>496</v>
      </c>
      <c r="C1629" s="1">
        <v>45462</v>
      </c>
      <c r="D1629" s="1">
        <v>45506</v>
      </c>
      <c r="E1629" s="1">
        <v>45507</v>
      </c>
      <c r="F1629" t="s">
        <v>38</v>
      </c>
      <c r="G1629" t="s">
        <v>22</v>
      </c>
      <c r="H1629" t="s">
        <v>30</v>
      </c>
      <c r="I1629">
        <v>44</v>
      </c>
      <c r="J1629">
        <v>1</v>
      </c>
      <c r="K1629">
        <v>7591</v>
      </c>
      <c r="L1629">
        <v>7591</v>
      </c>
      <c r="M1629" t="s">
        <v>51</v>
      </c>
      <c r="N1629">
        <v>0</v>
      </c>
      <c r="O1629" t="s">
        <v>31</v>
      </c>
    </row>
    <row r="1630" spans="1:15" x14ac:dyDescent="0.35">
      <c r="A1630">
        <v>2629</v>
      </c>
      <c r="B1630" t="s">
        <v>437</v>
      </c>
      <c r="C1630" s="1">
        <v>45614</v>
      </c>
      <c r="D1630" s="1">
        <v>45645</v>
      </c>
      <c r="E1630" s="1">
        <v>45649</v>
      </c>
      <c r="F1630" t="s">
        <v>35</v>
      </c>
      <c r="G1630" t="s">
        <v>39</v>
      </c>
      <c r="H1630" t="s">
        <v>23</v>
      </c>
      <c r="I1630">
        <v>31</v>
      </c>
      <c r="J1630">
        <v>4</v>
      </c>
      <c r="K1630">
        <v>2856</v>
      </c>
      <c r="L1630">
        <v>11424</v>
      </c>
      <c r="M1630" t="s">
        <v>51</v>
      </c>
      <c r="N1630">
        <v>1</v>
      </c>
      <c r="O1630" t="s">
        <v>25</v>
      </c>
    </row>
    <row r="1631" spans="1:15" x14ac:dyDescent="0.35">
      <c r="A1631">
        <v>2630</v>
      </c>
      <c r="B1631" t="s">
        <v>691</v>
      </c>
      <c r="C1631" s="1">
        <v>45345</v>
      </c>
      <c r="D1631" s="1">
        <v>45398</v>
      </c>
      <c r="E1631" s="1">
        <v>45402</v>
      </c>
      <c r="F1631" t="s">
        <v>21</v>
      </c>
      <c r="G1631" t="s">
        <v>22</v>
      </c>
      <c r="H1631" t="s">
        <v>30</v>
      </c>
      <c r="I1631">
        <v>53</v>
      </c>
      <c r="J1631">
        <v>4</v>
      </c>
      <c r="K1631">
        <v>6315</v>
      </c>
      <c r="L1631">
        <v>25260</v>
      </c>
      <c r="M1631" t="s">
        <v>24</v>
      </c>
      <c r="N1631">
        <v>1</v>
      </c>
      <c r="O1631" t="s">
        <v>31</v>
      </c>
    </row>
    <row r="1632" spans="1:15" x14ac:dyDescent="0.35">
      <c r="A1632">
        <v>2631</v>
      </c>
      <c r="B1632" t="s">
        <v>340</v>
      </c>
      <c r="C1632" s="1">
        <v>45589</v>
      </c>
      <c r="D1632" s="1">
        <v>45612</v>
      </c>
      <c r="E1632" s="1">
        <v>45614</v>
      </c>
      <c r="F1632" t="s">
        <v>29</v>
      </c>
      <c r="G1632" t="s">
        <v>39</v>
      </c>
      <c r="H1632" t="s">
        <v>30</v>
      </c>
      <c r="I1632">
        <v>23</v>
      </c>
      <c r="J1632">
        <v>2</v>
      </c>
      <c r="K1632">
        <v>3371</v>
      </c>
      <c r="L1632">
        <v>6742</v>
      </c>
      <c r="M1632" t="s">
        <v>51</v>
      </c>
      <c r="N1632">
        <v>0</v>
      </c>
      <c r="O1632" t="s">
        <v>25</v>
      </c>
    </row>
    <row r="1633" spans="1:15" x14ac:dyDescent="0.35">
      <c r="A1633">
        <v>2632</v>
      </c>
      <c r="B1633" t="s">
        <v>1073</v>
      </c>
      <c r="C1633" s="1">
        <v>45611</v>
      </c>
      <c r="D1633" s="1">
        <v>45663</v>
      </c>
      <c r="E1633" s="1">
        <v>45668</v>
      </c>
      <c r="F1633" t="s">
        <v>29</v>
      </c>
      <c r="G1633" t="s">
        <v>39</v>
      </c>
      <c r="H1633" t="s">
        <v>46</v>
      </c>
      <c r="I1633">
        <v>52</v>
      </c>
      <c r="J1633">
        <v>5</v>
      </c>
      <c r="K1633">
        <v>4473</v>
      </c>
      <c r="L1633">
        <v>22365</v>
      </c>
      <c r="M1633" t="s">
        <v>24</v>
      </c>
      <c r="N1633">
        <v>0</v>
      </c>
      <c r="O1633" t="s">
        <v>31</v>
      </c>
    </row>
    <row r="1634" spans="1:15" x14ac:dyDescent="0.35">
      <c r="A1634">
        <v>2633</v>
      </c>
      <c r="B1634" t="s">
        <v>197</v>
      </c>
      <c r="C1634" s="1">
        <v>45417</v>
      </c>
      <c r="D1634" s="1">
        <v>45447</v>
      </c>
      <c r="E1634" s="1">
        <v>45448</v>
      </c>
      <c r="F1634" t="s">
        <v>29</v>
      </c>
      <c r="G1634" t="s">
        <v>22</v>
      </c>
      <c r="H1634" t="s">
        <v>23</v>
      </c>
      <c r="I1634">
        <v>30</v>
      </c>
      <c r="J1634">
        <v>1</v>
      </c>
      <c r="K1634">
        <v>8847</v>
      </c>
      <c r="L1634">
        <v>8847</v>
      </c>
      <c r="M1634" t="s">
        <v>51</v>
      </c>
      <c r="N1634">
        <v>1</v>
      </c>
      <c r="O1634" t="s">
        <v>25</v>
      </c>
    </row>
    <row r="1635" spans="1:15" x14ac:dyDescent="0.35">
      <c r="A1635">
        <v>2634</v>
      </c>
      <c r="B1635" t="s">
        <v>525</v>
      </c>
      <c r="C1635" s="1">
        <v>45568</v>
      </c>
      <c r="D1635" s="1">
        <v>45601</v>
      </c>
      <c r="E1635" s="1">
        <v>45605</v>
      </c>
      <c r="F1635" t="s">
        <v>60</v>
      </c>
      <c r="G1635" t="s">
        <v>22</v>
      </c>
      <c r="H1635" t="s">
        <v>23</v>
      </c>
      <c r="I1635">
        <v>33</v>
      </c>
      <c r="J1635">
        <v>4</v>
      </c>
      <c r="K1635">
        <v>7147</v>
      </c>
      <c r="L1635">
        <v>28588</v>
      </c>
      <c r="M1635" t="s">
        <v>24</v>
      </c>
      <c r="N1635">
        <v>1</v>
      </c>
      <c r="O1635" t="s">
        <v>31</v>
      </c>
    </row>
    <row r="1636" spans="1:15" x14ac:dyDescent="0.35">
      <c r="A1636">
        <v>2635</v>
      </c>
      <c r="B1636" t="s">
        <v>1074</v>
      </c>
      <c r="C1636" s="1">
        <v>45495</v>
      </c>
      <c r="D1636" s="1">
        <v>45552</v>
      </c>
      <c r="E1636" s="1">
        <v>45553</v>
      </c>
      <c r="F1636" t="s">
        <v>21</v>
      </c>
      <c r="G1636" t="s">
        <v>22</v>
      </c>
      <c r="H1636" t="s">
        <v>23</v>
      </c>
      <c r="I1636">
        <v>57</v>
      </c>
      <c r="J1636">
        <v>1</v>
      </c>
      <c r="K1636">
        <v>4310</v>
      </c>
      <c r="L1636">
        <v>4310</v>
      </c>
      <c r="M1636" t="s">
        <v>24</v>
      </c>
      <c r="N1636">
        <v>1</v>
      </c>
      <c r="O1636" t="s">
        <v>31</v>
      </c>
    </row>
    <row r="1637" spans="1:15" x14ac:dyDescent="0.35">
      <c r="A1637">
        <v>2636</v>
      </c>
      <c r="B1637" t="s">
        <v>564</v>
      </c>
      <c r="C1637" s="1">
        <v>45485</v>
      </c>
      <c r="D1637" s="1">
        <v>45537</v>
      </c>
      <c r="E1637" s="1">
        <v>45541</v>
      </c>
      <c r="F1637" t="s">
        <v>29</v>
      </c>
      <c r="G1637" t="s">
        <v>22</v>
      </c>
      <c r="H1637" t="s">
        <v>46</v>
      </c>
      <c r="I1637">
        <v>52</v>
      </c>
      <c r="J1637">
        <v>4</v>
      </c>
      <c r="K1637">
        <v>6918</v>
      </c>
      <c r="L1637">
        <v>27672</v>
      </c>
      <c r="M1637" t="s">
        <v>24</v>
      </c>
      <c r="N1637">
        <v>1</v>
      </c>
      <c r="O1637" t="s">
        <v>31</v>
      </c>
    </row>
    <row r="1638" spans="1:15" x14ac:dyDescent="0.35">
      <c r="A1638">
        <v>2637</v>
      </c>
      <c r="B1638" t="s">
        <v>668</v>
      </c>
      <c r="C1638" s="1">
        <v>45460</v>
      </c>
      <c r="D1638" s="1">
        <v>45469</v>
      </c>
      <c r="E1638" s="1">
        <v>45474</v>
      </c>
      <c r="F1638" t="s">
        <v>60</v>
      </c>
      <c r="G1638" t="s">
        <v>22</v>
      </c>
      <c r="H1638" t="s">
        <v>30</v>
      </c>
      <c r="I1638">
        <v>9</v>
      </c>
      <c r="J1638">
        <v>5</v>
      </c>
      <c r="K1638">
        <v>5141</v>
      </c>
      <c r="L1638">
        <v>25705</v>
      </c>
      <c r="M1638" t="s">
        <v>24</v>
      </c>
      <c r="N1638">
        <v>0</v>
      </c>
      <c r="O1638" t="s">
        <v>31</v>
      </c>
    </row>
    <row r="1639" spans="1:15" x14ac:dyDescent="0.35">
      <c r="A1639">
        <v>2638</v>
      </c>
      <c r="B1639" t="s">
        <v>883</v>
      </c>
      <c r="C1639" s="1">
        <v>45443</v>
      </c>
      <c r="D1639" s="1">
        <v>45497</v>
      </c>
      <c r="E1639" s="1">
        <v>45501</v>
      </c>
      <c r="F1639" t="s">
        <v>38</v>
      </c>
      <c r="G1639" t="s">
        <v>22</v>
      </c>
      <c r="H1639" t="s">
        <v>46</v>
      </c>
      <c r="I1639">
        <v>54</v>
      </c>
      <c r="J1639">
        <v>4</v>
      </c>
      <c r="K1639">
        <v>4728</v>
      </c>
      <c r="L1639">
        <v>18912</v>
      </c>
      <c r="M1639" t="s">
        <v>24</v>
      </c>
      <c r="N1639">
        <v>1</v>
      </c>
      <c r="O1639" t="s">
        <v>25</v>
      </c>
    </row>
    <row r="1640" spans="1:15" x14ac:dyDescent="0.35">
      <c r="A1640">
        <v>2639</v>
      </c>
      <c r="B1640" t="s">
        <v>1058</v>
      </c>
      <c r="C1640" s="1">
        <v>45326</v>
      </c>
      <c r="D1640" s="1">
        <v>45373</v>
      </c>
      <c r="E1640" s="1">
        <v>45377</v>
      </c>
      <c r="F1640" t="s">
        <v>35</v>
      </c>
      <c r="G1640" t="s">
        <v>39</v>
      </c>
      <c r="H1640" t="s">
        <v>30</v>
      </c>
      <c r="I1640">
        <v>47</v>
      </c>
      <c r="J1640">
        <v>4</v>
      </c>
      <c r="K1640">
        <v>5891</v>
      </c>
      <c r="L1640">
        <v>23564</v>
      </c>
      <c r="M1640" t="s">
        <v>24</v>
      </c>
      <c r="N1640">
        <v>1</v>
      </c>
      <c r="O1640" t="s">
        <v>25</v>
      </c>
    </row>
    <row r="1641" spans="1:15" x14ac:dyDescent="0.35">
      <c r="A1641">
        <v>2640</v>
      </c>
      <c r="B1641" t="s">
        <v>522</v>
      </c>
      <c r="C1641" s="1">
        <v>45475</v>
      </c>
      <c r="D1641" s="1">
        <v>45476</v>
      </c>
      <c r="E1641" s="1">
        <v>45479</v>
      </c>
      <c r="F1641" t="s">
        <v>21</v>
      </c>
      <c r="G1641" t="s">
        <v>39</v>
      </c>
      <c r="H1641" t="s">
        <v>46</v>
      </c>
      <c r="I1641">
        <v>1</v>
      </c>
      <c r="J1641">
        <v>3</v>
      </c>
      <c r="K1641">
        <v>6678</v>
      </c>
      <c r="L1641">
        <v>20034</v>
      </c>
      <c r="M1641" t="s">
        <v>51</v>
      </c>
      <c r="N1641">
        <v>0</v>
      </c>
      <c r="O1641" t="s">
        <v>31</v>
      </c>
    </row>
    <row r="1642" spans="1:15" x14ac:dyDescent="0.35">
      <c r="A1642">
        <v>2641</v>
      </c>
      <c r="B1642" t="s">
        <v>1075</v>
      </c>
      <c r="C1642" s="1">
        <v>45577</v>
      </c>
      <c r="D1642" s="1">
        <v>45621</v>
      </c>
      <c r="E1642" s="1">
        <v>45626</v>
      </c>
      <c r="F1642" t="s">
        <v>21</v>
      </c>
      <c r="G1642" t="s">
        <v>39</v>
      </c>
      <c r="H1642" t="s">
        <v>46</v>
      </c>
      <c r="I1642">
        <v>44</v>
      </c>
      <c r="J1642">
        <v>5</v>
      </c>
      <c r="K1642">
        <v>4850</v>
      </c>
      <c r="L1642">
        <v>24250</v>
      </c>
      <c r="M1642" t="s">
        <v>51</v>
      </c>
      <c r="N1642">
        <v>0</v>
      </c>
      <c r="O1642" t="s">
        <v>25</v>
      </c>
    </row>
    <row r="1643" spans="1:15" x14ac:dyDescent="0.35">
      <c r="A1643">
        <v>2642</v>
      </c>
      <c r="B1643" t="s">
        <v>345</v>
      </c>
      <c r="C1643" s="1">
        <v>45348</v>
      </c>
      <c r="D1643" s="1">
        <v>45383</v>
      </c>
      <c r="E1643" s="1">
        <v>45385</v>
      </c>
      <c r="F1643" t="s">
        <v>38</v>
      </c>
      <c r="G1643" t="s">
        <v>22</v>
      </c>
      <c r="H1643" t="s">
        <v>23</v>
      </c>
      <c r="I1643">
        <v>35</v>
      </c>
      <c r="J1643">
        <v>2</v>
      </c>
      <c r="K1643">
        <v>6857</v>
      </c>
      <c r="L1643">
        <v>13714</v>
      </c>
      <c r="M1643" t="s">
        <v>51</v>
      </c>
      <c r="N1643">
        <v>0</v>
      </c>
      <c r="O1643" t="s">
        <v>31</v>
      </c>
    </row>
    <row r="1644" spans="1:15" x14ac:dyDescent="0.35">
      <c r="A1644">
        <v>2643</v>
      </c>
      <c r="B1644" t="s">
        <v>1076</v>
      </c>
      <c r="C1644" s="1">
        <v>45513</v>
      </c>
      <c r="D1644" s="1">
        <v>45524</v>
      </c>
      <c r="E1644" s="1">
        <v>45526</v>
      </c>
      <c r="F1644" t="s">
        <v>21</v>
      </c>
      <c r="G1644" t="s">
        <v>22</v>
      </c>
      <c r="H1644" t="s">
        <v>46</v>
      </c>
      <c r="I1644">
        <v>11</v>
      </c>
      <c r="J1644">
        <v>2</v>
      </c>
      <c r="K1644">
        <v>7379</v>
      </c>
      <c r="L1644">
        <v>14758</v>
      </c>
      <c r="M1644" t="s">
        <v>51</v>
      </c>
      <c r="N1644">
        <v>0</v>
      </c>
      <c r="O1644" t="s">
        <v>31</v>
      </c>
    </row>
    <row r="1645" spans="1:15" x14ac:dyDescent="0.35">
      <c r="A1645">
        <v>2644</v>
      </c>
      <c r="B1645" t="s">
        <v>1025</v>
      </c>
      <c r="C1645" s="1">
        <v>45594</v>
      </c>
      <c r="D1645" s="1">
        <v>45628</v>
      </c>
      <c r="E1645" s="1">
        <v>45633</v>
      </c>
      <c r="F1645" t="s">
        <v>21</v>
      </c>
      <c r="G1645" t="s">
        <v>22</v>
      </c>
      <c r="H1645" t="s">
        <v>30</v>
      </c>
      <c r="I1645">
        <v>34</v>
      </c>
      <c r="J1645">
        <v>5</v>
      </c>
      <c r="K1645">
        <v>7819</v>
      </c>
      <c r="L1645">
        <v>39095</v>
      </c>
      <c r="M1645" t="s">
        <v>51</v>
      </c>
      <c r="N1645">
        <v>0</v>
      </c>
      <c r="O1645" t="s">
        <v>25</v>
      </c>
    </row>
    <row r="1646" spans="1:15" x14ac:dyDescent="0.35">
      <c r="A1646">
        <v>2645</v>
      </c>
      <c r="B1646" t="s">
        <v>845</v>
      </c>
      <c r="C1646" s="1">
        <v>45454</v>
      </c>
      <c r="D1646" s="1">
        <v>45470</v>
      </c>
      <c r="E1646" s="1">
        <v>45472</v>
      </c>
      <c r="F1646" t="s">
        <v>21</v>
      </c>
      <c r="G1646" t="s">
        <v>39</v>
      </c>
      <c r="H1646" t="s">
        <v>46</v>
      </c>
      <c r="I1646">
        <v>16</v>
      </c>
      <c r="J1646">
        <v>2</v>
      </c>
      <c r="K1646">
        <v>7509</v>
      </c>
      <c r="L1646">
        <v>15018</v>
      </c>
      <c r="M1646" t="s">
        <v>51</v>
      </c>
      <c r="N1646">
        <v>1</v>
      </c>
      <c r="O1646" t="s">
        <v>25</v>
      </c>
    </row>
    <row r="1647" spans="1:15" x14ac:dyDescent="0.35">
      <c r="A1647">
        <v>2646</v>
      </c>
      <c r="B1647" t="s">
        <v>1077</v>
      </c>
      <c r="C1647" s="1">
        <v>45310</v>
      </c>
      <c r="D1647" s="1">
        <v>45319</v>
      </c>
      <c r="E1647" s="1">
        <v>45324</v>
      </c>
      <c r="F1647" t="s">
        <v>21</v>
      </c>
      <c r="G1647" t="s">
        <v>22</v>
      </c>
      <c r="H1647" t="s">
        <v>46</v>
      </c>
      <c r="I1647">
        <v>9</v>
      </c>
      <c r="J1647">
        <v>5</v>
      </c>
      <c r="K1647">
        <v>5239</v>
      </c>
      <c r="L1647">
        <v>26195</v>
      </c>
      <c r="M1647" t="s">
        <v>24</v>
      </c>
      <c r="N1647">
        <v>0</v>
      </c>
      <c r="O1647" t="s">
        <v>31</v>
      </c>
    </row>
    <row r="1648" spans="1:15" x14ac:dyDescent="0.35">
      <c r="A1648">
        <v>2647</v>
      </c>
      <c r="B1648" t="s">
        <v>1078</v>
      </c>
      <c r="C1648" s="1">
        <v>45555</v>
      </c>
      <c r="D1648" s="1">
        <v>45587</v>
      </c>
      <c r="E1648" s="1">
        <v>45589</v>
      </c>
      <c r="F1648" t="s">
        <v>60</v>
      </c>
      <c r="G1648" t="s">
        <v>39</v>
      </c>
      <c r="H1648" t="s">
        <v>30</v>
      </c>
      <c r="I1648">
        <v>32</v>
      </c>
      <c r="J1648">
        <v>2</v>
      </c>
      <c r="K1648">
        <v>7539</v>
      </c>
      <c r="L1648">
        <v>15078</v>
      </c>
      <c r="M1648" t="s">
        <v>51</v>
      </c>
      <c r="N1648">
        <v>0</v>
      </c>
      <c r="O1648" t="s">
        <v>25</v>
      </c>
    </row>
    <row r="1649" spans="1:15" x14ac:dyDescent="0.35">
      <c r="A1649">
        <v>2648</v>
      </c>
      <c r="B1649" t="s">
        <v>1079</v>
      </c>
      <c r="C1649" s="1">
        <v>45573</v>
      </c>
      <c r="D1649" s="1">
        <v>45588</v>
      </c>
      <c r="E1649" s="1">
        <v>45591</v>
      </c>
      <c r="F1649" t="s">
        <v>60</v>
      </c>
      <c r="G1649" t="s">
        <v>22</v>
      </c>
      <c r="H1649" t="s">
        <v>23</v>
      </c>
      <c r="I1649">
        <v>15</v>
      </c>
      <c r="J1649">
        <v>3</v>
      </c>
      <c r="K1649">
        <v>5230</v>
      </c>
      <c r="L1649">
        <v>15690</v>
      </c>
      <c r="M1649" t="s">
        <v>24</v>
      </c>
      <c r="N1649">
        <v>1</v>
      </c>
      <c r="O1649" t="s">
        <v>31</v>
      </c>
    </row>
    <row r="1650" spans="1:15" x14ac:dyDescent="0.35">
      <c r="A1650">
        <v>2649</v>
      </c>
      <c r="B1650" t="s">
        <v>284</v>
      </c>
      <c r="C1650" s="1">
        <v>45404</v>
      </c>
      <c r="D1650" s="1">
        <v>45416</v>
      </c>
      <c r="E1650" s="1">
        <v>45418</v>
      </c>
      <c r="F1650" t="s">
        <v>35</v>
      </c>
      <c r="G1650" t="s">
        <v>22</v>
      </c>
      <c r="H1650" t="s">
        <v>30</v>
      </c>
      <c r="I1650">
        <v>12</v>
      </c>
      <c r="J1650">
        <v>2</v>
      </c>
      <c r="K1650">
        <v>3818</v>
      </c>
      <c r="L1650">
        <v>7636</v>
      </c>
      <c r="M1650" t="s">
        <v>24</v>
      </c>
      <c r="N1650">
        <v>1</v>
      </c>
      <c r="O1650" t="s">
        <v>25</v>
      </c>
    </row>
    <row r="1651" spans="1:15" x14ac:dyDescent="0.35">
      <c r="A1651">
        <v>2650</v>
      </c>
      <c r="B1651" t="s">
        <v>401</v>
      </c>
      <c r="C1651" s="1">
        <v>45618</v>
      </c>
      <c r="D1651" s="1">
        <v>45651</v>
      </c>
      <c r="E1651" s="1">
        <v>45655</v>
      </c>
      <c r="F1651" t="s">
        <v>21</v>
      </c>
      <c r="G1651" t="s">
        <v>22</v>
      </c>
      <c r="H1651" t="s">
        <v>30</v>
      </c>
      <c r="I1651">
        <v>33</v>
      </c>
      <c r="J1651">
        <v>4</v>
      </c>
      <c r="K1651">
        <v>4035</v>
      </c>
      <c r="L1651">
        <v>16140</v>
      </c>
      <c r="M1651" t="s">
        <v>24</v>
      </c>
      <c r="N1651">
        <v>0</v>
      </c>
      <c r="O1651" t="s">
        <v>25</v>
      </c>
    </row>
    <row r="1652" spans="1:15" x14ac:dyDescent="0.35">
      <c r="A1652">
        <v>2651</v>
      </c>
      <c r="B1652" t="s">
        <v>1080</v>
      </c>
      <c r="C1652" s="1">
        <v>45321</v>
      </c>
      <c r="D1652" s="1">
        <v>45366</v>
      </c>
      <c r="E1652" s="1">
        <v>45371</v>
      </c>
      <c r="F1652" t="s">
        <v>38</v>
      </c>
      <c r="G1652" t="s">
        <v>39</v>
      </c>
      <c r="H1652" t="s">
        <v>30</v>
      </c>
      <c r="I1652">
        <v>45</v>
      </c>
      <c r="J1652">
        <v>5</v>
      </c>
      <c r="K1652">
        <v>7284</v>
      </c>
      <c r="L1652">
        <v>36420</v>
      </c>
      <c r="M1652" t="s">
        <v>24</v>
      </c>
      <c r="N1652">
        <v>0</v>
      </c>
      <c r="O1652" t="s">
        <v>25</v>
      </c>
    </row>
    <row r="1653" spans="1:15" x14ac:dyDescent="0.35">
      <c r="A1653">
        <v>2652</v>
      </c>
      <c r="B1653" t="s">
        <v>943</v>
      </c>
      <c r="C1653" s="1">
        <v>45426</v>
      </c>
      <c r="D1653" s="1">
        <v>45440</v>
      </c>
      <c r="E1653" s="1">
        <v>45441</v>
      </c>
      <c r="F1653" t="s">
        <v>29</v>
      </c>
      <c r="G1653" t="s">
        <v>22</v>
      </c>
      <c r="H1653" t="s">
        <v>46</v>
      </c>
      <c r="I1653">
        <v>14</v>
      </c>
      <c r="J1653">
        <v>1</v>
      </c>
      <c r="K1653">
        <v>4943</v>
      </c>
      <c r="L1653">
        <v>4943</v>
      </c>
      <c r="M1653" t="s">
        <v>24</v>
      </c>
      <c r="N1653">
        <v>1</v>
      </c>
      <c r="O1653" t="s">
        <v>25</v>
      </c>
    </row>
    <row r="1654" spans="1:15" x14ac:dyDescent="0.35">
      <c r="A1654">
        <v>2653</v>
      </c>
      <c r="B1654" t="s">
        <v>364</v>
      </c>
      <c r="C1654" s="1">
        <v>45358</v>
      </c>
      <c r="D1654" s="1">
        <v>45415</v>
      </c>
      <c r="E1654" s="1">
        <v>45416</v>
      </c>
      <c r="F1654" t="s">
        <v>35</v>
      </c>
      <c r="G1654" t="s">
        <v>39</v>
      </c>
      <c r="H1654" t="s">
        <v>46</v>
      </c>
      <c r="I1654">
        <v>57</v>
      </c>
      <c r="J1654">
        <v>1</v>
      </c>
      <c r="K1654">
        <v>4272</v>
      </c>
      <c r="L1654">
        <v>4272</v>
      </c>
      <c r="M1654" t="s">
        <v>24</v>
      </c>
      <c r="N1654">
        <v>0</v>
      </c>
      <c r="O1654" t="s">
        <v>25</v>
      </c>
    </row>
    <row r="1655" spans="1:15" x14ac:dyDescent="0.35">
      <c r="A1655">
        <v>2654</v>
      </c>
      <c r="B1655" t="s">
        <v>420</v>
      </c>
      <c r="C1655" s="1">
        <v>45356</v>
      </c>
      <c r="D1655" s="1">
        <v>45413</v>
      </c>
      <c r="E1655" s="1">
        <v>45418</v>
      </c>
      <c r="F1655" t="s">
        <v>29</v>
      </c>
      <c r="G1655" t="s">
        <v>22</v>
      </c>
      <c r="H1655" t="s">
        <v>30</v>
      </c>
      <c r="I1655">
        <v>57</v>
      </c>
      <c r="J1655">
        <v>5</v>
      </c>
      <c r="K1655">
        <v>5709</v>
      </c>
      <c r="L1655">
        <v>28545</v>
      </c>
      <c r="M1655" t="s">
        <v>51</v>
      </c>
      <c r="N1655">
        <v>1</v>
      </c>
      <c r="O1655" t="s">
        <v>31</v>
      </c>
    </row>
    <row r="1656" spans="1:15" x14ac:dyDescent="0.35">
      <c r="A1656">
        <v>2655</v>
      </c>
      <c r="B1656" t="s">
        <v>723</v>
      </c>
      <c r="C1656" s="1">
        <v>45583</v>
      </c>
      <c r="D1656" s="1">
        <v>45591</v>
      </c>
      <c r="E1656" s="1">
        <v>45594</v>
      </c>
      <c r="F1656" t="s">
        <v>29</v>
      </c>
      <c r="G1656" t="s">
        <v>22</v>
      </c>
      <c r="H1656" t="s">
        <v>30</v>
      </c>
      <c r="I1656">
        <v>8</v>
      </c>
      <c r="J1656">
        <v>3</v>
      </c>
      <c r="K1656">
        <v>7434</v>
      </c>
      <c r="L1656">
        <v>22302</v>
      </c>
      <c r="M1656" t="s">
        <v>24</v>
      </c>
      <c r="N1656">
        <v>0</v>
      </c>
      <c r="O1656" t="s">
        <v>25</v>
      </c>
    </row>
    <row r="1657" spans="1:15" x14ac:dyDescent="0.35">
      <c r="A1657">
        <v>2656</v>
      </c>
      <c r="B1657" t="s">
        <v>1081</v>
      </c>
      <c r="C1657" s="1">
        <v>45316</v>
      </c>
      <c r="D1657" s="1">
        <v>45324</v>
      </c>
      <c r="E1657" s="1">
        <v>45326</v>
      </c>
      <c r="F1657" t="s">
        <v>21</v>
      </c>
      <c r="G1657" t="s">
        <v>22</v>
      </c>
      <c r="H1657" t="s">
        <v>23</v>
      </c>
      <c r="I1657">
        <v>8</v>
      </c>
      <c r="J1657">
        <v>2</v>
      </c>
      <c r="K1657">
        <v>3377</v>
      </c>
      <c r="L1657">
        <v>6754</v>
      </c>
      <c r="M1657" t="s">
        <v>24</v>
      </c>
      <c r="N1657">
        <v>0</v>
      </c>
      <c r="O1657" t="s">
        <v>25</v>
      </c>
    </row>
    <row r="1658" spans="1:15" x14ac:dyDescent="0.35">
      <c r="A1658">
        <v>2657</v>
      </c>
      <c r="B1658" t="s">
        <v>602</v>
      </c>
      <c r="C1658" s="1">
        <v>45328</v>
      </c>
      <c r="D1658" s="1">
        <v>45355</v>
      </c>
      <c r="E1658" s="1">
        <v>45358</v>
      </c>
      <c r="F1658" t="s">
        <v>38</v>
      </c>
      <c r="G1658" t="s">
        <v>22</v>
      </c>
      <c r="H1658" t="s">
        <v>46</v>
      </c>
      <c r="I1658">
        <v>27</v>
      </c>
      <c r="J1658">
        <v>3</v>
      </c>
      <c r="K1658">
        <v>5370</v>
      </c>
      <c r="L1658">
        <v>16110</v>
      </c>
      <c r="M1658" t="s">
        <v>51</v>
      </c>
      <c r="N1658">
        <v>1</v>
      </c>
      <c r="O1658" t="s">
        <v>31</v>
      </c>
    </row>
    <row r="1659" spans="1:15" x14ac:dyDescent="0.35">
      <c r="A1659">
        <v>2658</v>
      </c>
      <c r="B1659" t="s">
        <v>188</v>
      </c>
      <c r="C1659" s="1">
        <v>45292</v>
      </c>
      <c r="D1659" s="1">
        <v>45304</v>
      </c>
      <c r="E1659" s="1">
        <v>45305</v>
      </c>
      <c r="F1659" t="s">
        <v>29</v>
      </c>
      <c r="G1659" t="s">
        <v>39</v>
      </c>
      <c r="H1659" t="s">
        <v>46</v>
      </c>
      <c r="I1659">
        <v>12</v>
      </c>
      <c r="J1659">
        <v>1</v>
      </c>
      <c r="K1659">
        <v>5700</v>
      </c>
      <c r="L1659">
        <v>5700</v>
      </c>
      <c r="M1659" t="s">
        <v>51</v>
      </c>
      <c r="N1659">
        <v>1</v>
      </c>
      <c r="O1659" t="s">
        <v>31</v>
      </c>
    </row>
    <row r="1660" spans="1:15" x14ac:dyDescent="0.35">
      <c r="A1660">
        <v>2659</v>
      </c>
      <c r="B1660" t="s">
        <v>1082</v>
      </c>
      <c r="C1660" s="1">
        <v>45328</v>
      </c>
      <c r="D1660" s="1">
        <v>45329</v>
      </c>
      <c r="E1660" s="1">
        <v>45334</v>
      </c>
      <c r="F1660" t="s">
        <v>29</v>
      </c>
      <c r="G1660" t="s">
        <v>22</v>
      </c>
      <c r="H1660" t="s">
        <v>46</v>
      </c>
      <c r="I1660">
        <v>1</v>
      </c>
      <c r="J1660">
        <v>5</v>
      </c>
      <c r="K1660">
        <v>6644</v>
      </c>
      <c r="L1660">
        <v>33220</v>
      </c>
      <c r="M1660" t="s">
        <v>51</v>
      </c>
      <c r="N1660">
        <v>0</v>
      </c>
      <c r="O1660" t="s">
        <v>31</v>
      </c>
    </row>
    <row r="1661" spans="1:15" x14ac:dyDescent="0.35">
      <c r="A1661">
        <v>2660</v>
      </c>
      <c r="B1661" t="s">
        <v>1083</v>
      </c>
      <c r="C1661" s="1">
        <v>45432</v>
      </c>
      <c r="D1661" s="1">
        <v>45475</v>
      </c>
      <c r="E1661" s="1">
        <v>45480</v>
      </c>
      <c r="F1661" t="s">
        <v>35</v>
      </c>
      <c r="G1661" t="s">
        <v>39</v>
      </c>
      <c r="H1661" t="s">
        <v>46</v>
      </c>
      <c r="I1661">
        <v>43</v>
      </c>
      <c r="J1661">
        <v>5</v>
      </c>
      <c r="K1661">
        <v>6247</v>
      </c>
      <c r="L1661">
        <v>31235</v>
      </c>
      <c r="M1661" t="s">
        <v>51</v>
      </c>
      <c r="N1661">
        <v>1</v>
      </c>
      <c r="O1661" t="s">
        <v>25</v>
      </c>
    </row>
    <row r="1662" spans="1:15" x14ac:dyDescent="0.35">
      <c r="A1662">
        <v>2661</v>
      </c>
      <c r="B1662" t="s">
        <v>884</v>
      </c>
      <c r="C1662" s="1">
        <v>45523</v>
      </c>
      <c r="D1662" s="1">
        <v>45563</v>
      </c>
      <c r="E1662" s="1">
        <v>45566</v>
      </c>
      <c r="F1662" t="s">
        <v>38</v>
      </c>
      <c r="G1662" t="s">
        <v>22</v>
      </c>
      <c r="H1662" t="s">
        <v>30</v>
      </c>
      <c r="I1662">
        <v>40</v>
      </c>
      <c r="J1662">
        <v>3</v>
      </c>
      <c r="K1662">
        <v>5336</v>
      </c>
      <c r="L1662">
        <v>16008</v>
      </c>
      <c r="M1662" t="s">
        <v>51</v>
      </c>
      <c r="N1662">
        <v>1</v>
      </c>
      <c r="O1662" t="s">
        <v>25</v>
      </c>
    </row>
    <row r="1663" spans="1:15" x14ac:dyDescent="0.35">
      <c r="A1663">
        <v>2662</v>
      </c>
      <c r="B1663" t="s">
        <v>1084</v>
      </c>
      <c r="C1663" s="1">
        <v>45427</v>
      </c>
      <c r="D1663" s="1">
        <v>45469</v>
      </c>
      <c r="E1663" s="1">
        <v>45472</v>
      </c>
      <c r="F1663" t="s">
        <v>38</v>
      </c>
      <c r="G1663" t="s">
        <v>22</v>
      </c>
      <c r="H1663" t="s">
        <v>30</v>
      </c>
      <c r="I1663">
        <v>42</v>
      </c>
      <c r="J1663">
        <v>3</v>
      </c>
      <c r="K1663">
        <v>2792</v>
      </c>
      <c r="L1663">
        <v>8376</v>
      </c>
      <c r="M1663" t="s">
        <v>51</v>
      </c>
      <c r="N1663">
        <v>0</v>
      </c>
      <c r="O1663" t="s">
        <v>31</v>
      </c>
    </row>
    <row r="1664" spans="1:15" x14ac:dyDescent="0.35">
      <c r="A1664">
        <v>2663</v>
      </c>
      <c r="B1664" t="s">
        <v>317</v>
      </c>
      <c r="C1664" s="1">
        <v>45479</v>
      </c>
      <c r="D1664" s="1">
        <v>45530</v>
      </c>
      <c r="E1664" s="1">
        <v>45532</v>
      </c>
      <c r="F1664" t="s">
        <v>29</v>
      </c>
      <c r="G1664" t="s">
        <v>22</v>
      </c>
      <c r="H1664" t="s">
        <v>23</v>
      </c>
      <c r="I1664">
        <v>51</v>
      </c>
      <c r="J1664">
        <v>2</v>
      </c>
      <c r="K1664">
        <v>4151</v>
      </c>
      <c r="L1664">
        <v>8302</v>
      </c>
      <c r="M1664" t="s">
        <v>51</v>
      </c>
      <c r="N1664">
        <v>0</v>
      </c>
      <c r="O1664" t="s">
        <v>31</v>
      </c>
    </row>
    <row r="1665" spans="1:15" x14ac:dyDescent="0.35">
      <c r="A1665">
        <v>2664</v>
      </c>
      <c r="B1665" t="s">
        <v>975</v>
      </c>
      <c r="C1665" s="1">
        <v>45419</v>
      </c>
      <c r="D1665" s="1">
        <v>45430</v>
      </c>
      <c r="E1665" s="1">
        <v>45434</v>
      </c>
      <c r="F1665" t="s">
        <v>38</v>
      </c>
      <c r="G1665" t="s">
        <v>39</v>
      </c>
      <c r="H1665" t="s">
        <v>46</v>
      </c>
      <c r="I1665">
        <v>11</v>
      </c>
      <c r="J1665">
        <v>4</v>
      </c>
      <c r="K1665">
        <v>7131</v>
      </c>
      <c r="L1665">
        <v>28524</v>
      </c>
      <c r="M1665" t="s">
        <v>24</v>
      </c>
      <c r="N1665">
        <v>0</v>
      </c>
      <c r="O1665" t="s">
        <v>31</v>
      </c>
    </row>
    <row r="1666" spans="1:15" x14ac:dyDescent="0.35">
      <c r="A1666">
        <v>2665</v>
      </c>
      <c r="B1666" t="s">
        <v>731</v>
      </c>
      <c r="C1666" s="1">
        <v>45492</v>
      </c>
      <c r="D1666" s="1">
        <v>45531</v>
      </c>
      <c r="E1666" s="1">
        <v>45535</v>
      </c>
      <c r="F1666" t="s">
        <v>35</v>
      </c>
      <c r="G1666" t="s">
        <v>22</v>
      </c>
      <c r="H1666" t="s">
        <v>46</v>
      </c>
      <c r="I1666">
        <v>39</v>
      </c>
      <c r="J1666">
        <v>4</v>
      </c>
      <c r="K1666">
        <v>6906</v>
      </c>
      <c r="L1666">
        <v>27624</v>
      </c>
      <c r="M1666" t="s">
        <v>51</v>
      </c>
      <c r="N1666">
        <v>0</v>
      </c>
      <c r="O1666" t="s">
        <v>31</v>
      </c>
    </row>
    <row r="1667" spans="1:15" x14ac:dyDescent="0.35">
      <c r="A1667">
        <v>2666</v>
      </c>
      <c r="B1667" t="s">
        <v>311</v>
      </c>
      <c r="C1667" s="1">
        <v>45418</v>
      </c>
      <c r="D1667" s="1">
        <v>45461</v>
      </c>
      <c r="E1667" s="1">
        <v>45463</v>
      </c>
      <c r="F1667" t="s">
        <v>35</v>
      </c>
      <c r="G1667" t="s">
        <v>39</v>
      </c>
      <c r="H1667" t="s">
        <v>30</v>
      </c>
      <c r="I1667">
        <v>43</v>
      </c>
      <c r="J1667">
        <v>2</v>
      </c>
      <c r="K1667">
        <v>3036</v>
      </c>
      <c r="L1667">
        <v>6072</v>
      </c>
      <c r="M1667" t="s">
        <v>24</v>
      </c>
      <c r="N1667">
        <v>1</v>
      </c>
      <c r="O1667" t="s">
        <v>25</v>
      </c>
    </row>
    <row r="1668" spans="1:15" x14ac:dyDescent="0.35">
      <c r="A1668">
        <v>2667</v>
      </c>
      <c r="B1668" t="s">
        <v>1085</v>
      </c>
      <c r="C1668" s="1">
        <v>45548</v>
      </c>
      <c r="D1668" s="1">
        <v>45579</v>
      </c>
      <c r="E1668" s="1">
        <v>45583</v>
      </c>
      <c r="F1668" t="s">
        <v>35</v>
      </c>
      <c r="G1668" t="s">
        <v>39</v>
      </c>
      <c r="H1668" t="s">
        <v>23</v>
      </c>
      <c r="I1668">
        <v>31</v>
      </c>
      <c r="J1668">
        <v>4</v>
      </c>
      <c r="K1668">
        <v>8522</v>
      </c>
      <c r="L1668">
        <v>34088</v>
      </c>
      <c r="M1668" t="s">
        <v>51</v>
      </c>
      <c r="N1668">
        <v>1</v>
      </c>
      <c r="O1668" t="s">
        <v>25</v>
      </c>
    </row>
    <row r="1669" spans="1:15" x14ac:dyDescent="0.35">
      <c r="A1669">
        <v>2668</v>
      </c>
      <c r="B1669" t="s">
        <v>371</v>
      </c>
      <c r="C1669" s="1">
        <v>45455</v>
      </c>
      <c r="D1669" s="1">
        <v>45472</v>
      </c>
      <c r="E1669" s="1">
        <v>45473</v>
      </c>
      <c r="F1669" t="s">
        <v>21</v>
      </c>
      <c r="G1669" t="s">
        <v>22</v>
      </c>
      <c r="H1669" t="s">
        <v>30</v>
      </c>
      <c r="I1669">
        <v>17</v>
      </c>
      <c r="J1669">
        <v>1</v>
      </c>
      <c r="K1669">
        <v>5186</v>
      </c>
      <c r="L1669">
        <v>5186</v>
      </c>
      <c r="M1669" t="s">
        <v>51</v>
      </c>
      <c r="N1669">
        <v>0</v>
      </c>
      <c r="O1669" t="s">
        <v>25</v>
      </c>
    </row>
    <row r="1670" spans="1:15" x14ac:dyDescent="0.35">
      <c r="A1670">
        <v>2669</v>
      </c>
      <c r="B1670" t="s">
        <v>954</v>
      </c>
      <c r="C1670" s="1">
        <v>45326</v>
      </c>
      <c r="D1670" s="1">
        <v>45359</v>
      </c>
      <c r="E1670" s="1">
        <v>45363</v>
      </c>
      <c r="F1670" t="s">
        <v>29</v>
      </c>
      <c r="G1670" t="s">
        <v>39</v>
      </c>
      <c r="H1670" t="s">
        <v>46</v>
      </c>
      <c r="I1670">
        <v>33</v>
      </c>
      <c r="J1670">
        <v>4</v>
      </c>
      <c r="K1670">
        <v>2733</v>
      </c>
      <c r="L1670">
        <v>10932</v>
      </c>
      <c r="M1670" t="s">
        <v>24</v>
      </c>
      <c r="N1670">
        <v>1</v>
      </c>
      <c r="O1670" t="s">
        <v>25</v>
      </c>
    </row>
    <row r="1671" spans="1:15" x14ac:dyDescent="0.35">
      <c r="A1671">
        <v>2670</v>
      </c>
      <c r="B1671" t="s">
        <v>679</v>
      </c>
      <c r="C1671" s="1">
        <v>45485</v>
      </c>
      <c r="D1671" s="1">
        <v>45517</v>
      </c>
      <c r="E1671" s="1">
        <v>45519</v>
      </c>
      <c r="F1671" t="s">
        <v>38</v>
      </c>
      <c r="G1671" t="s">
        <v>22</v>
      </c>
      <c r="H1671" t="s">
        <v>46</v>
      </c>
      <c r="I1671">
        <v>32</v>
      </c>
      <c r="J1671">
        <v>2</v>
      </c>
      <c r="K1671">
        <v>7828</v>
      </c>
      <c r="L1671">
        <v>15656</v>
      </c>
      <c r="M1671" t="s">
        <v>51</v>
      </c>
      <c r="N1671">
        <v>1</v>
      </c>
      <c r="O1671" t="s">
        <v>25</v>
      </c>
    </row>
    <row r="1672" spans="1:15" x14ac:dyDescent="0.35">
      <c r="A1672">
        <v>2671</v>
      </c>
      <c r="B1672" t="s">
        <v>416</v>
      </c>
      <c r="C1672" s="1">
        <v>45482</v>
      </c>
      <c r="D1672" s="1">
        <v>45540</v>
      </c>
      <c r="E1672" s="1">
        <v>45544</v>
      </c>
      <c r="F1672" t="s">
        <v>35</v>
      </c>
      <c r="G1672" t="s">
        <v>39</v>
      </c>
      <c r="H1672" t="s">
        <v>23</v>
      </c>
      <c r="I1672">
        <v>58</v>
      </c>
      <c r="J1672">
        <v>4</v>
      </c>
      <c r="K1672">
        <v>5152</v>
      </c>
      <c r="L1672">
        <v>20608</v>
      </c>
      <c r="M1672" t="s">
        <v>51</v>
      </c>
      <c r="N1672">
        <v>1</v>
      </c>
      <c r="O1672" t="s">
        <v>31</v>
      </c>
    </row>
    <row r="1673" spans="1:15" x14ac:dyDescent="0.35">
      <c r="A1673">
        <v>2672</v>
      </c>
      <c r="B1673" t="s">
        <v>354</v>
      </c>
      <c r="C1673" s="1">
        <v>45395</v>
      </c>
      <c r="D1673" s="1">
        <v>45424</v>
      </c>
      <c r="E1673" s="1">
        <v>45429</v>
      </c>
      <c r="F1673" t="s">
        <v>29</v>
      </c>
      <c r="G1673" t="s">
        <v>39</v>
      </c>
      <c r="H1673" t="s">
        <v>30</v>
      </c>
      <c r="I1673">
        <v>29</v>
      </c>
      <c r="J1673">
        <v>5</v>
      </c>
      <c r="K1673">
        <v>8737</v>
      </c>
      <c r="L1673">
        <v>43685</v>
      </c>
      <c r="M1673" t="s">
        <v>51</v>
      </c>
      <c r="N1673">
        <v>1</v>
      </c>
      <c r="O1673" t="s">
        <v>25</v>
      </c>
    </row>
    <row r="1674" spans="1:15" x14ac:dyDescent="0.35">
      <c r="A1674">
        <v>2673</v>
      </c>
      <c r="B1674" t="s">
        <v>1086</v>
      </c>
      <c r="C1674" s="1">
        <v>45314</v>
      </c>
      <c r="D1674" s="1">
        <v>45335</v>
      </c>
      <c r="E1674" s="1">
        <v>45338</v>
      </c>
      <c r="F1674" t="s">
        <v>29</v>
      </c>
      <c r="G1674" t="s">
        <v>39</v>
      </c>
      <c r="H1674" t="s">
        <v>46</v>
      </c>
      <c r="I1674">
        <v>21</v>
      </c>
      <c r="J1674">
        <v>3</v>
      </c>
      <c r="K1674">
        <v>4874</v>
      </c>
      <c r="L1674">
        <v>14622</v>
      </c>
      <c r="M1674" t="s">
        <v>51</v>
      </c>
      <c r="N1674">
        <v>0</v>
      </c>
      <c r="O1674" t="s">
        <v>31</v>
      </c>
    </row>
    <row r="1675" spans="1:15" x14ac:dyDescent="0.35">
      <c r="A1675">
        <v>2674</v>
      </c>
      <c r="B1675" t="s">
        <v>559</v>
      </c>
      <c r="C1675" s="1">
        <v>45556</v>
      </c>
      <c r="D1675" s="1">
        <v>45577</v>
      </c>
      <c r="E1675" s="1">
        <v>45578</v>
      </c>
      <c r="F1675" t="s">
        <v>21</v>
      </c>
      <c r="G1675" t="s">
        <v>39</v>
      </c>
      <c r="H1675" t="s">
        <v>46</v>
      </c>
      <c r="I1675">
        <v>21</v>
      </c>
      <c r="J1675">
        <v>1</v>
      </c>
      <c r="K1675">
        <v>4772</v>
      </c>
      <c r="L1675">
        <v>4772</v>
      </c>
      <c r="M1675" t="s">
        <v>51</v>
      </c>
      <c r="N1675">
        <v>1</v>
      </c>
      <c r="O1675" t="s">
        <v>31</v>
      </c>
    </row>
    <row r="1676" spans="1:15" x14ac:dyDescent="0.35">
      <c r="A1676">
        <v>2675</v>
      </c>
      <c r="B1676" t="s">
        <v>660</v>
      </c>
      <c r="C1676" s="1">
        <v>45581</v>
      </c>
      <c r="D1676" s="1">
        <v>45621</v>
      </c>
      <c r="E1676" s="1">
        <v>45626</v>
      </c>
      <c r="F1676" t="s">
        <v>38</v>
      </c>
      <c r="G1676" t="s">
        <v>22</v>
      </c>
      <c r="H1676" t="s">
        <v>23</v>
      </c>
      <c r="I1676">
        <v>40</v>
      </c>
      <c r="J1676">
        <v>5</v>
      </c>
      <c r="K1676">
        <v>3466</v>
      </c>
      <c r="L1676">
        <v>17330</v>
      </c>
      <c r="M1676" t="s">
        <v>51</v>
      </c>
      <c r="N1676">
        <v>1</v>
      </c>
      <c r="O1676" t="s">
        <v>31</v>
      </c>
    </row>
    <row r="1677" spans="1:15" x14ac:dyDescent="0.35">
      <c r="A1677">
        <v>2676</v>
      </c>
      <c r="B1677" t="s">
        <v>266</v>
      </c>
      <c r="C1677" s="1">
        <v>45551</v>
      </c>
      <c r="D1677" s="1">
        <v>45574</v>
      </c>
      <c r="E1677" s="1">
        <v>45579</v>
      </c>
      <c r="F1677" t="s">
        <v>38</v>
      </c>
      <c r="G1677" t="s">
        <v>39</v>
      </c>
      <c r="H1677" t="s">
        <v>46</v>
      </c>
      <c r="I1677">
        <v>23</v>
      </c>
      <c r="J1677">
        <v>5</v>
      </c>
      <c r="K1677">
        <v>3389</v>
      </c>
      <c r="L1677">
        <v>16945</v>
      </c>
      <c r="M1677" t="s">
        <v>51</v>
      </c>
      <c r="N1677">
        <v>1</v>
      </c>
      <c r="O1677" t="s">
        <v>25</v>
      </c>
    </row>
    <row r="1678" spans="1:15" x14ac:dyDescent="0.35">
      <c r="A1678">
        <v>2677</v>
      </c>
      <c r="B1678" t="s">
        <v>255</v>
      </c>
      <c r="C1678" s="1">
        <v>45649</v>
      </c>
      <c r="D1678" s="1">
        <v>45705</v>
      </c>
      <c r="E1678" s="1">
        <v>45707</v>
      </c>
      <c r="F1678" t="s">
        <v>35</v>
      </c>
      <c r="G1678" t="s">
        <v>22</v>
      </c>
      <c r="H1678" t="s">
        <v>46</v>
      </c>
      <c r="I1678">
        <v>56</v>
      </c>
      <c r="J1678">
        <v>2</v>
      </c>
      <c r="K1678">
        <v>6363</v>
      </c>
      <c r="L1678">
        <v>12726</v>
      </c>
      <c r="M1678" t="s">
        <v>24</v>
      </c>
      <c r="N1678">
        <v>1</v>
      </c>
      <c r="O1678" t="s">
        <v>31</v>
      </c>
    </row>
    <row r="1679" spans="1:15" x14ac:dyDescent="0.35">
      <c r="A1679">
        <v>2678</v>
      </c>
      <c r="B1679" t="s">
        <v>266</v>
      </c>
      <c r="C1679" s="1">
        <v>45366</v>
      </c>
      <c r="D1679" s="1">
        <v>45372</v>
      </c>
      <c r="E1679" s="1">
        <v>45375</v>
      </c>
      <c r="F1679" t="s">
        <v>35</v>
      </c>
      <c r="G1679" t="s">
        <v>39</v>
      </c>
      <c r="H1679" t="s">
        <v>30</v>
      </c>
      <c r="I1679">
        <v>6</v>
      </c>
      <c r="J1679">
        <v>3</v>
      </c>
      <c r="K1679">
        <v>8654</v>
      </c>
      <c r="L1679">
        <v>25962</v>
      </c>
      <c r="M1679" t="s">
        <v>51</v>
      </c>
      <c r="N1679">
        <v>0</v>
      </c>
      <c r="O1679" t="s">
        <v>25</v>
      </c>
    </row>
    <row r="1680" spans="1:15" x14ac:dyDescent="0.35">
      <c r="A1680">
        <v>2679</v>
      </c>
      <c r="B1680" t="s">
        <v>195</v>
      </c>
      <c r="C1680" s="1">
        <v>45646</v>
      </c>
      <c r="D1680" s="1">
        <v>45668</v>
      </c>
      <c r="E1680" s="1">
        <v>45671</v>
      </c>
      <c r="F1680" t="s">
        <v>29</v>
      </c>
      <c r="G1680" t="s">
        <v>22</v>
      </c>
      <c r="H1680" t="s">
        <v>23</v>
      </c>
      <c r="I1680">
        <v>22</v>
      </c>
      <c r="J1680">
        <v>3</v>
      </c>
      <c r="K1680">
        <v>5900</v>
      </c>
      <c r="L1680">
        <v>17700</v>
      </c>
      <c r="M1680" t="s">
        <v>24</v>
      </c>
      <c r="N1680">
        <v>0</v>
      </c>
      <c r="O1680" t="s">
        <v>31</v>
      </c>
    </row>
    <row r="1681" spans="1:15" x14ac:dyDescent="0.35">
      <c r="A1681">
        <v>2680</v>
      </c>
      <c r="B1681" t="s">
        <v>1087</v>
      </c>
      <c r="C1681" s="1">
        <v>45363</v>
      </c>
      <c r="D1681" s="1">
        <v>45413</v>
      </c>
      <c r="E1681" s="1">
        <v>45414</v>
      </c>
      <c r="F1681" t="s">
        <v>38</v>
      </c>
      <c r="G1681" t="s">
        <v>22</v>
      </c>
      <c r="H1681" t="s">
        <v>23</v>
      </c>
      <c r="I1681">
        <v>50</v>
      </c>
      <c r="J1681">
        <v>1</v>
      </c>
      <c r="K1681">
        <v>2534</v>
      </c>
      <c r="L1681">
        <v>2534</v>
      </c>
      <c r="M1681" t="s">
        <v>24</v>
      </c>
      <c r="N1681">
        <v>0</v>
      </c>
      <c r="O1681" t="s">
        <v>25</v>
      </c>
    </row>
    <row r="1682" spans="1:15" x14ac:dyDescent="0.35">
      <c r="A1682">
        <v>2681</v>
      </c>
      <c r="B1682" t="s">
        <v>815</v>
      </c>
      <c r="C1682" s="1">
        <v>45550</v>
      </c>
      <c r="D1682" s="1">
        <v>45588</v>
      </c>
      <c r="E1682" s="1">
        <v>45590</v>
      </c>
      <c r="F1682" t="s">
        <v>38</v>
      </c>
      <c r="G1682" t="s">
        <v>39</v>
      </c>
      <c r="H1682" t="s">
        <v>23</v>
      </c>
      <c r="I1682">
        <v>38</v>
      </c>
      <c r="J1682">
        <v>2</v>
      </c>
      <c r="K1682">
        <v>7042</v>
      </c>
      <c r="L1682">
        <v>14084</v>
      </c>
      <c r="M1682" t="s">
        <v>24</v>
      </c>
      <c r="N1682">
        <v>0</v>
      </c>
      <c r="O1682" t="s">
        <v>31</v>
      </c>
    </row>
    <row r="1683" spans="1:15" x14ac:dyDescent="0.35">
      <c r="A1683">
        <v>2682</v>
      </c>
      <c r="B1683" t="s">
        <v>610</v>
      </c>
      <c r="C1683" s="1">
        <v>45479</v>
      </c>
      <c r="D1683" s="1">
        <v>45516</v>
      </c>
      <c r="E1683" s="1">
        <v>45517</v>
      </c>
      <c r="F1683" t="s">
        <v>35</v>
      </c>
      <c r="G1683" t="s">
        <v>39</v>
      </c>
      <c r="H1683" t="s">
        <v>30</v>
      </c>
      <c r="I1683">
        <v>37</v>
      </c>
      <c r="J1683">
        <v>1</v>
      </c>
      <c r="K1683">
        <v>6023</v>
      </c>
      <c r="L1683">
        <v>6023</v>
      </c>
      <c r="M1683" t="s">
        <v>24</v>
      </c>
      <c r="N1683">
        <v>1</v>
      </c>
      <c r="O1683" t="s">
        <v>25</v>
      </c>
    </row>
    <row r="1684" spans="1:15" x14ac:dyDescent="0.35">
      <c r="A1684">
        <v>2683</v>
      </c>
      <c r="B1684" t="s">
        <v>684</v>
      </c>
      <c r="C1684" s="1">
        <v>45464</v>
      </c>
      <c r="D1684" s="1">
        <v>45509</v>
      </c>
      <c r="E1684" s="1">
        <v>45513</v>
      </c>
      <c r="F1684" t="s">
        <v>60</v>
      </c>
      <c r="G1684" t="s">
        <v>22</v>
      </c>
      <c r="H1684" t="s">
        <v>23</v>
      </c>
      <c r="I1684">
        <v>45</v>
      </c>
      <c r="J1684">
        <v>4</v>
      </c>
      <c r="K1684">
        <v>4263</v>
      </c>
      <c r="L1684">
        <v>17052</v>
      </c>
      <c r="M1684" t="s">
        <v>24</v>
      </c>
      <c r="N1684">
        <v>1</v>
      </c>
      <c r="O1684" t="s">
        <v>31</v>
      </c>
    </row>
    <row r="1685" spans="1:15" x14ac:dyDescent="0.35">
      <c r="A1685">
        <v>2684</v>
      </c>
      <c r="B1685" t="s">
        <v>273</v>
      </c>
      <c r="C1685" s="1">
        <v>45581</v>
      </c>
      <c r="D1685" s="1">
        <v>45632</v>
      </c>
      <c r="E1685" s="1">
        <v>45637</v>
      </c>
      <c r="F1685" t="s">
        <v>29</v>
      </c>
      <c r="G1685" t="s">
        <v>39</v>
      </c>
      <c r="H1685" t="s">
        <v>46</v>
      </c>
      <c r="I1685">
        <v>51</v>
      </c>
      <c r="J1685">
        <v>5</v>
      </c>
      <c r="K1685">
        <v>5791</v>
      </c>
      <c r="L1685">
        <v>28955</v>
      </c>
      <c r="M1685" t="s">
        <v>24</v>
      </c>
      <c r="N1685">
        <v>1</v>
      </c>
      <c r="O1685" t="s">
        <v>31</v>
      </c>
    </row>
    <row r="1686" spans="1:15" x14ac:dyDescent="0.35">
      <c r="A1686">
        <v>2685</v>
      </c>
      <c r="B1686" t="s">
        <v>1088</v>
      </c>
      <c r="C1686" s="1">
        <v>45336</v>
      </c>
      <c r="D1686" s="1">
        <v>45390</v>
      </c>
      <c r="E1686" s="1">
        <v>45391</v>
      </c>
      <c r="F1686" t="s">
        <v>38</v>
      </c>
      <c r="G1686" t="s">
        <v>39</v>
      </c>
      <c r="H1686" t="s">
        <v>23</v>
      </c>
      <c r="I1686">
        <v>54</v>
      </c>
      <c r="J1686">
        <v>1</v>
      </c>
      <c r="K1686">
        <v>4988</v>
      </c>
      <c r="L1686">
        <v>4988</v>
      </c>
      <c r="M1686" t="s">
        <v>24</v>
      </c>
      <c r="N1686">
        <v>0</v>
      </c>
      <c r="O1686" t="s">
        <v>31</v>
      </c>
    </row>
    <row r="1687" spans="1:15" x14ac:dyDescent="0.35">
      <c r="A1687">
        <v>2686</v>
      </c>
      <c r="B1687" t="s">
        <v>543</v>
      </c>
      <c r="C1687" s="1">
        <v>45352</v>
      </c>
      <c r="D1687" s="1">
        <v>45360</v>
      </c>
      <c r="E1687" s="1">
        <v>45365</v>
      </c>
      <c r="F1687" t="s">
        <v>21</v>
      </c>
      <c r="G1687" t="s">
        <v>39</v>
      </c>
      <c r="H1687" t="s">
        <v>46</v>
      </c>
      <c r="I1687">
        <v>8</v>
      </c>
      <c r="J1687">
        <v>5</v>
      </c>
      <c r="K1687">
        <v>5200</v>
      </c>
      <c r="L1687">
        <v>26000</v>
      </c>
      <c r="M1687" t="s">
        <v>51</v>
      </c>
      <c r="N1687">
        <v>0</v>
      </c>
      <c r="O1687" t="s">
        <v>31</v>
      </c>
    </row>
    <row r="1688" spans="1:15" x14ac:dyDescent="0.35">
      <c r="A1688">
        <v>2687</v>
      </c>
      <c r="B1688" t="s">
        <v>659</v>
      </c>
      <c r="C1688" s="1">
        <v>45374</v>
      </c>
      <c r="D1688" s="1">
        <v>45415</v>
      </c>
      <c r="E1688" s="1">
        <v>45417</v>
      </c>
      <c r="F1688" t="s">
        <v>21</v>
      </c>
      <c r="G1688" t="s">
        <v>39</v>
      </c>
      <c r="H1688" t="s">
        <v>23</v>
      </c>
      <c r="I1688">
        <v>41</v>
      </c>
      <c r="J1688">
        <v>2</v>
      </c>
      <c r="K1688">
        <v>4058</v>
      </c>
      <c r="L1688">
        <v>8116</v>
      </c>
      <c r="M1688" t="s">
        <v>51</v>
      </c>
      <c r="N1688">
        <v>1</v>
      </c>
      <c r="O1688" t="s">
        <v>25</v>
      </c>
    </row>
    <row r="1689" spans="1:15" x14ac:dyDescent="0.35">
      <c r="A1689">
        <v>2688</v>
      </c>
      <c r="B1689" t="s">
        <v>401</v>
      </c>
      <c r="C1689" s="1">
        <v>45414</v>
      </c>
      <c r="D1689" s="1">
        <v>45463</v>
      </c>
      <c r="E1689" s="1">
        <v>45467</v>
      </c>
      <c r="F1689" t="s">
        <v>60</v>
      </c>
      <c r="G1689" t="s">
        <v>39</v>
      </c>
      <c r="H1689" t="s">
        <v>23</v>
      </c>
      <c r="I1689">
        <v>49</v>
      </c>
      <c r="J1689">
        <v>4</v>
      </c>
      <c r="K1689">
        <v>7190</v>
      </c>
      <c r="L1689">
        <v>28760</v>
      </c>
      <c r="M1689" t="s">
        <v>51</v>
      </c>
      <c r="N1689">
        <v>1</v>
      </c>
      <c r="O1689" t="s">
        <v>25</v>
      </c>
    </row>
    <row r="1690" spans="1:15" x14ac:dyDescent="0.35">
      <c r="A1690">
        <v>2689</v>
      </c>
      <c r="B1690" t="s">
        <v>815</v>
      </c>
      <c r="C1690" s="1">
        <v>45649</v>
      </c>
      <c r="D1690" s="1">
        <v>45684</v>
      </c>
      <c r="E1690" s="1">
        <v>45686</v>
      </c>
      <c r="F1690" t="s">
        <v>35</v>
      </c>
      <c r="G1690" t="s">
        <v>39</v>
      </c>
      <c r="H1690" t="s">
        <v>30</v>
      </c>
      <c r="I1690">
        <v>35</v>
      </c>
      <c r="J1690">
        <v>2</v>
      </c>
      <c r="K1690">
        <v>8621</v>
      </c>
      <c r="L1690">
        <v>17242</v>
      </c>
      <c r="M1690" t="s">
        <v>24</v>
      </c>
      <c r="N1690">
        <v>1</v>
      </c>
      <c r="O1690" t="s">
        <v>25</v>
      </c>
    </row>
    <row r="1691" spans="1:15" x14ac:dyDescent="0.35">
      <c r="A1691">
        <v>2690</v>
      </c>
      <c r="B1691" t="s">
        <v>1083</v>
      </c>
      <c r="C1691" s="1">
        <v>45307</v>
      </c>
      <c r="D1691" s="1">
        <v>45358</v>
      </c>
      <c r="E1691" s="1">
        <v>45362</v>
      </c>
      <c r="F1691" t="s">
        <v>35</v>
      </c>
      <c r="G1691" t="s">
        <v>39</v>
      </c>
      <c r="H1691" t="s">
        <v>23</v>
      </c>
      <c r="I1691">
        <v>51</v>
      </c>
      <c r="J1691">
        <v>4</v>
      </c>
      <c r="K1691">
        <v>4776</v>
      </c>
      <c r="L1691">
        <v>19104</v>
      </c>
      <c r="M1691" t="s">
        <v>51</v>
      </c>
      <c r="N1691">
        <v>1</v>
      </c>
      <c r="O1691" t="s">
        <v>31</v>
      </c>
    </row>
    <row r="1692" spans="1:15" x14ac:dyDescent="0.35">
      <c r="A1692">
        <v>2691</v>
      </c>
      <c r="B1692" t="s">
        <v>506</v>
      </c>
      <c r="C1692" s="1">
        <v>45357</v>
      </c>
      <c r="D1692" s="1">
        <v>45368</v>
      </c>
      <c r="E1692" s="1">
        <v>45372</v>
      </c>
      <c r="F1692" t="s">
        <v>35</v>
      </c>
      <c r="G1692" t="s">
        <v>39</v>
      </c>
      <c r="H1692" t="s">
        <v>23</v>
      </c>
      <c r="I1692">
        <v>11</v>
      </c>
      <c r="J1692">
        <v>4</v>
      </c>
      <c r="K1692">
        <v>6506</v>
      </c>
      <c r="L1692">
        <v>26024</v>
      </c>
      <c r="M1692" t="s">
        <v>24</v>
      </c>
      <c r="N1692">
        <v>1</v>
      </c>
      <c r="O1692" t="s">
        <v>31</v>
      </c>
    </row>
    <row r="1693" spans="1:15" x14ac:dyDescent="0.35">
      <c r="A1693">
        <v>2692</v>
      </c>
      <c r="B1693" t="s">
        <v>1089</v>
      </c>
      <c r="C1693" s="1">
        <v>45436</v>
      </c>
      <c r="D1693" s="1">
        <v>45460</v>
      </c>
      <c r="E1693" s="1">
        <v>45465</v>
      </c>
      <c r="F1693" t="s">
        <v>21</v>
      </c>
      <c r="G1693" t="s">
        <v>39</v>
      </c>
      <c r="H1693" t="s">
        <v>30</v>
      </c>
      <c r="I1693">
        <v>24</v>
      </c>
      <c r="J1693">
        <v>5</v>
      </c>
      <c r="K1693">
        <v>6939</v>
      </c>
      <c r="L1693">
        <v>34695</v>
      </c>
      <c r="M1693" t="s">
        <v>24</v>
      </c>
      <c r="N1693">
        <v>0</v>
      </c>
      <c r="O1693" t="s">
        <v>31</v>
      </c>
    </row>
    <row r="1694" spans="1:15" x14ac:dyDescent="0.35">
      <c r="A1694">
        <v>2693</v>
      </c>
      <c r="B1694" t="s">
        <v>883</v>
      </c>
      <c r="C1694" s="1">
        <v>45453</v>
      </c>
      <c r="D1694" s="1">
        <v>45502</v>
      </c>
      <c r="E1694" s="1">
        <v>45504</v>
      </c>
      <c r="F1694" t="s">
        <v>35</v>
      </c>
      <c r="G1694" t="s">
        <v>22</v>
      </c>
      <c r="H1694" t="s">
        <v>46</v>
      </c>
      <c r="I1694">
        <v>49</v>
      </c>
      <c r="J1694">
        <v>2</v>
      </c>
      <c r="K1694">
        <v>3603</v>
      </c>
      <c r="L1694">
        <v>7206</v>
      </c>
      <c r="M1694" t="s">
        <v>51</v>
      </c>
      <c r="N1694">
        <v>1</v>
      </c>
      <c r="O1694" t="s">
        <v>31</v>
      </c>
    </row>
    <row r="1695" spans="1:15" x14ac:dyDescent="0.35">
      <c r="A1695">
        <v>2694</v>
      </c>
      <c r="B1695" t="s">
        <v>1090</v>
      </c>
      <c r="C1695" s="1">
        <v>45525</v>
      </c>
      <c r="D1695" s="1">
        <v>45546</v>
      </c>
      <c r="E1695" s="1">
        <v>45548</v>
      </c>
      <c r="F1695" t="s">
        <v>21</v>
      </c>
      <c r="G1695" t="s">
        <v>39</v>
      </c>
      <c r="H1695" t="s">
        <v>23</v>
      </c>
      <c r="I1695">
        <v>21</v>
      </c>
      <c r="J1695">
        <v>2</v>
      </c>
      <c r="K1695">
        <v>3919</v>
      </c>
      <c r="L1695">
        <v>7838</v>
      </c>
      <c r="M1695" t="s">
        <v>24</v>
      </c>
      <c r="N1695">
        <v>1</v>
      </c>
      <c r="O1695" t="s">
        <v>31</v>
      </c>
    </row>
    <row r="1696" spans="1:15" x14ac:dyDescent="0.35">
      <c r="A1696">
        <v>2695</v>
      </c>
      <c r="B1696" t="s">
        <v>519</v>
      </c>
      <c r="C1696" s="1">
        <v>45435</v>
      </c>
      <c r="D1696" s="1">
        <v>45486</v>
      </c>
      <c r="E1696" s="1">
        <v>45487</v>
      </c>
      <c r="F1696" t="s">
        <v>60</v>
      </c>
      <c r="G1696" t="s">
        <v>39</v>
      </c>
      <c r="H1696" t="s">
        <v>23</v>
      </c>
      <c r="I1696">
        <v>51</v>
      </c>
      <c r="J1696">
        <v>1</v>
      </c>
      <c r="K1696">
        <v>7909</v>
      </c>
      <c r="L1696">
        <v>7909</v>
      </c>
      <c r="M1696" t="s">
        <v>24</v>
      </c>
      <c r="N1696">
        <v>1</v>
      </c>
      <c r="O1696" t="s">
        <v>31</v>
      </c>
    </row>
    <row r="1697" spans="1:15" x14ac:dyDescent="0.35">
      <c r="A1697">
        <v>2696</v>
      </c>
      <c r="B1697" t="s">
        <v>529</v>
      </c>
      <c r="C1697" s="1">
        <v>45649</v>
      </c>
      <c r="D1697" s="1">
        <v>45651</v>
      </c>
      <c r="E1697" s="1">
        <v>45653</v>
      </c>
      <c r="F1697" t="s">
        <v>29</v>
      </c>
      <c r="G1697" t="s">
        <v>39</v>
      </c>
      <c r="H1697" t="s">
        <v>46</v>
      </c>
      <c r="I1697">
        <v>2</v>
      </c>
      <c r="J1697">
        <v>2</v>
      </c>
      <c r="K1697">
        <v>3978</v>
      </c>
      <c r="L1697">
        <v>7956</v>
      </c>
      <c r="M1697" t="s">
        <v>51</v>
      </c>
      <c r="N1697">
        <v>0</v>
      </c>
      <c r="O1697" t="s">
        <v>25</v>
      </c>
    </row>
    <row r="1698" spans="1:15" x14ac:dyDescent="0.35">
      <c r="A1698">
        <v>2697</v>
      </c>
      <c r="B1698" t="s">
        <v>135</v>
      </c>
      <c r="C1698" s="1">
        <v>45479</v>
      </c>
      <c r="D1698" s="1">
        <v>45519</v>
      </c>
      <c r="E1698" s="1">
        <v>45520</v>
      </c>
      <c r="F1698" t="s">
        <v>38</v>
      </c>
      <c r="G1698" t="s">
        <v>39</v>
      </c>
      <c r="H1698" t="s">
        <v>30</v>
      </c>
      <c r="I1698">
        <v>40</v>
      </c>
      <c r="J1698">
        <v>1</v>
      </c>
      <c r="K1698">
        <v>6414</v>
      </c>
      <c r="L1698">
        <v>6414</v>
      </c>
      <c r="M1698" t="s">
        <v>24</v>
      </c>
      <c r="N1698">
        <v>1</v>
      </c>
      <c r="O1698" t="s">
        <v>25</v>
      </c>
    </row>
    <row r="1699" spans="1:15" x14ac:dyDescent="0.35">
      <c r="A1699">
        <v>2698</v>
      </c>
      <c r="B1699" t="s">
        <v>1091</v>
      </c>
      <c r="C1699" s="1">
        <v>45613</v>
      </c>
      <c r="D1699" s="1">
        <v>45632</v>
      </c>
      <c r="E1699" s="1">
        <v>45635</v>
      </c>
      <c r="F1699" t="s">
        <v>60</v>
      </c>
      <c r="G1699" t="s">
        <v>39</v>
      </c>
      <c r="H1699" t="s">
        <v>23</v>
      </c>
      <c r="I1699">
        <v>19</v>
      </c>
      <c r="J1699">
        <v>3</v>
      </c>
      <c r="K1699">
        <v>6242</v>
      </c>
      <c r="L1699">
        <v>18726</v>
      </c>
      <c r="M1699" t="s">
        <v>51</v>
      </c>
      <c r="N1699">
        <v>1</v>
      </c>
      <c r="O1699" t="s">
        <v>25</v>
      </c>
    </row>
    <row r="1700" spans="1:15" x14ac:dyDescent="0.35">
      <c r="A1700">
        <v>2699</v>
      </c>
      <c r="B1700" t="s">
        <v>1092</v>
      </c>
      <c r="C1700" s="1">
        <v>45304</v>
      </c>
      <c r="D1700" s="1">
        <v>45343</v>
      </c>
      <c r="E1700" s="1">
        <v>45346</v>
      </c>
      <c r="F1700" t="s">
        <v>21</v>
      </c>
      <c r="G1700" t="s">
        <v>22</v>
      </c>
      <c r="H1700" t="s">
        <v>30</v>
      </c>
      <c r="I1700">
        <v>39</v>
      </c>
      <c r="J1700">
        <v>3</v>
      </c>
      <c r="K1700">
        <v>7747</v>
      </c>
      <c r="L1700">
        <v>23241</v>
      </c>
      <c r="M1700" t="s">
        <v>24</v>
      </c>
      <c r="N1700">
        <v>1</v>
      </c>
      <c r="O1700" t="s">
        <v>25</v>
      </c>
    </row>
    <row r="1701" spans="1:15" x14ac:dyDescent="0.35">
      <c r="A1701">
        <v>2700</v>
      </c>
      <c r="B1701" t="s">
        <v>164</v>
      </c>
      <c r="C1701" s="1">
        <v>45475</v>
      </c>
      <c r="D1701" s="1">
        <v>45503</v>
      </c>
      <c r="E1701" s="1">
        <v>45506</v>
      </c>
      <c r="F1701" t="s">
        <v>60</v>
      </c>
      <c r="G1701" t="s">
        <v>22</v>
      </c>
      <c r="H1701" t="s">
        <v>46</v>
      </c>
      <c r="I1701">
        <v>28</v>
      </c>
      <c r="J1701">
        <v>3</v>
      </c>
      <c r="K1701">
        <v>5456</v>
      </c>
      <c r="L1701">
        <v>16368</v>
      </c>
      <c r="M1701" t="s">
        <v>24</v>
      </c>
      <c r="N1701">
        <v>1</v>
      </c>
      <c r="O1701" t="s">
        <v>25</v>
      </c>
    </row>
    <row r="1702" spans="1:15" x14ac:dyDescent="0.35">
      <c r="A1702">
        <v>2701</v>
      </c>
      <c r="B1702" t="s">
        <v>1075</v>
      </c>
      <c r="C1702" s="1">
        <v>45402</v>
      </c>
      <c r="D1702" s="1">
        <v>45461</v>
      </c>
      <c r="E1702" s="1">
        <v>45463</v>
      </c>
      <c r="F1702" t="s">
        <v>38</v>
      </c>
      <c r="G1702" t="s">
        <v>39</v>
      </c>
      <c r="H1702" t="s">
        <v>46</v>
      </c>
      <c r="I1702">
        <v>59</v>
      </c>
      <c r="J1702">
        <v>2</v>
      </c>
      <c r="K1702">
        <v>8517</v>
      </c>
      <c r="L1702">
        <v>17034</v>
      </c>
      <c r="M1702" t="s">
        <v>51</v>
      </c>
      <c r="N1702">
        <v>1</v>
      </c>
      <c r="O1702" t="s">
        <v>25</v>
      </c>
    </row>
    <row r="1703" spans="1:15" x14ac:dyDescent="0.35">
      <c r="A1703">
        <v>2702</v>
      </c>
      <c r="B1703" t="s">
        <v>791</v>
      </c>
      <c r="C1703" s="1">
        <v>45581</v>
      </c>
      <c r="D1703" s="1">
        <v>45598</v>
      </c>
      <c r="E1703" s="1">
        <v>45600</v>
      </c>
      <c r="F1703" t="s">
        <v>29</v>
      </c>
      <c r="G1703" t="s">
        <v>22</v>
      </c>
      <c r="H1703" t="s">
        <v>30</v>
      </c>
      <c r="I1703">
        <v>17</v>
      </c>
      <c r="J1703">
        <v>2</v>
      </c>
      <c r="K1703">
        <v>3882</v>
      </c>
      <c r="L1703">
        <v>7764</v>
      </c>
      <c r="M1703" t="s">
        <v>51</v>
      </c>
      <c r="N1703">
        <v>0</v>
      </c>
      <c r="O1703" t="s">
        <v>25</v>
      </c>
    </row>
    <row r="1704" spans="1:15" x14ac:dyDescent="0.35">
      <c r="A1704">
        <v>2703</v>
      </c>
      <c r="B1704" t="s">
        <v>252</v>
      </c>
      <c r="C1704" s="1">
        <v>45586</v>
      </c>
      <c r="D1704" s="1">
        <v>45592</v>
      </c>
      <c r="E1704" s="1">
        <v>45593</v>
      </c>
      <c r="F1704" t="s">
        <v>38</v>
      </c>
      <c r="G1704" t="s">
        <v>39</v>
      </c>
      <c r="H1704" t="s">
        <v>46</v>
      </c>
      <c r="I1704">
        <v>6</v>
      </c>
      <c r="J1704">
        <v>1</v>
      </c>
      <c r="K1704">
        <v>5074</v>
      </c>
      <c r="L1704">
        <v>5074</v>
      </c>
      <c r="M1704" t="s">
        <v>51</v>
      </c>
      <c r="N1704">
        <v>1</v>
      </c>
      <c r="O1704" t="s">
        <v>25</v>
      </c>
    </row>
    <row r="1705" spans="1:15" x14ac:dyDescent="0.35">
      <c r="A1705">
        <v>2704</v>
      </c>
      <c r="B1705" t="s">
        <v>1093</v>
      </c>
      <c r="C1705" s="1">
        <v>45506</v>
      </c>
      <c r="D1705" s="1">
        <v>45525</v>
      </c>
      <c r="E1705" s="1">
        <v>45529</v>
      </c>
      <c r="F1705" t="s">
        <v>21</v>
      </c>
      <c r="G1705" t="s">
        <v>39</v>
      </c>
      <c r="H1705" t="s">
        <v>46</v>
      </c>
      <c r="I1705">
        <v>19</v>
      </c>
      <c r="J1705">
        <v>4</v>
      </c>
      <c r="K1705">
        <v>5884</v>
      </c>
      <c r="L1705">
        <v>23536</v>
      </c>
      <c r="M1705" t="s">
        <v>24</v>
      </c>
      <c r="N1705">
        <v>0</v>
      </c>
      <c r="O1705" t="s">
        <v>31</v>
      </c>
    </row>
    <row r="1706" spans="1:15" x14ac:dyDescent="0.35">
      <c r="A1706">
        <v>2705</v>
      </c>
      <c r="B1706" t="s">
        <v>1047</v>
      </c>
      <c r="C1706" s="1">
        <v>45411</v>
      </c>
      <c r="D1706" s="1">
        <v>45467</v>
      </c>
      <c r="E1706" s="1">
        <v>45468</v>
      </c>
      <c r="F1706" t="s">
        <v>38</v>
      </c>
      <c r="G1706" t="s">
        <v>22</v>
      </c>
      <c r="H1706" t="s">
        <v>23</v>
      </c>
      <c r="I1706">
        <v>56</v>
      </c>
      <c r="J1706">
        <v>1</v>
      </c>
      <c r="K1706">
        <v>8718</v>
      </c>
      <c r="L1706">
        <v>8718</v>
      </c>
      <c r="M1706" t="s">
        <v>24</v>
      </c>
      <c r="N1706">
        <v>1</v>
      </c>
      <c r="O1706" t="s">
        <v>31</v>
      </c>
    </row>
    <row r="1707" spans="1:15" x14ac:dyDescent="0.35">
      <c r="A1707">
        <v>2706</v>
      </c>
      <c r="B1707" t="s">
        <v>899</v>
      </c>
      <c r="C1707" s="1">
        <v>45346</v>
      </c>
      <c r="D1707" s="1">
        <v>45384</v>
      </c>
      <c r="E1707" s="1">
        <v>45387</v>
      </c>
      <c r="F1707" t="s">
        <v>60</v>
      </c>
      <c r="G1707" t="s">
        <v>22</v>
      </c>
      <c r="H1707" t="s">
        <v>30</v>
      </c>
      <c r="I1707">
        <v>38</v>
      </c>
      <c r="J1707">
        <v>3</v>
      </c>
      <c r="K1707">
        <v>4069</v>
      </c>
      <c r="L1707">
        <v>12207</v>
      </c>
      <c r="M1707" t="s">
        <v>51</v>
      </c>
      <c r="N1707">
        <v>0</v>
      </c>
      <c r="O1707" t="s">
        <v>31</v>
      </c>
    </row>
    <row r="1708" spans="1:15" x14ac:dyDescent="0.35">
      <c r="A1708">
        <v>2707</v>
      </c>
      <c r="B1708" t="s">
        <v>397</v>
      </c>
      <c r="C1708" s="1">
        <v>45318</v>
      </c>
      <c r="D1708" s="1">
        <v>45346</v>
      </c>
      <c r="E1708" s="1">
        <v>45347</v>
      </c>
      <c r="F1708" t="s">
        <v>35</v>
      </c>
      <c r="G1708" t="s">
        <v>22</v>
      </c>
      <c r="H1708" t="s">
        <v>23</v>
      </c>
      <c r="I1708">
        <v>28</v>
      </c>
      <c r="J1708">
        <v>1</v>
      </c>
      <c r="K1708">
        <v>4394</v>
      </c>
      <c r="L1708">
        <v>4394</v>
      </c>
      <c r="M1708" t="s">
        <v>51</v>
      </c>
      <c r="N1708">
        <v>0</v>
      </c>
      <c r="O1708" t="s">
        <v>31</v>
      </c>
    </row>
    <row r="1709" spans="1:15" x14ac:dyDescent="0.35">
      <c r="A1709">
        <v>2708</v>
      </c>
      <c r="B1709" t="s">
        <v>861</v>
      </c>
      <c r="C1709" s="1">
        <v>45409</v>
      </c>
      <c r="D1709" s="1">
        <v>45411</v>
      </c>
      <c r="E1709" s="1">
        <v>45415</v>
      </c>
      <c r="F1709" t="s">
        <v>60</v>
      </c>
      <c r="G1709" t="s">
        <v>22</v>
      </c>
      <c r="H1709" t="s">
        <v>30</v>
      </c>
      <c r="I1709">
        <v>2</v>
      </c>
      <c r="J1709">
        <v>4</v>
      </c>
      <c r="K1709">
        <v>4743</v>
      </c>
      <c r="L1709">
        <v>18972</v>
      </c>
      <c r="M1709" t="s">
        <v>51</v>
      </c>
      <c r="N1709">
        <v>1</v>
      </c>
      <c r="O1709" t="s">
        <v>31</v>
      </c>
    </row>
    <row r="1710" spans="1:15" x14ac:dyDescent="0.35">
      <c r="A1710">
        <v>2709</v>
      </c>
      <c r="B1710" t="s">
        <v>99</v>
      </c>
      <c r="C1710" s="1">
        <v>45512</v>
      </c>
      <c r="D1710" s="1">
        <v>45550</v>
      </c>
      <c r="E1710" s="1">
        <v>45552</v>
      </c>
      <c r="F1710" t="s">
        <v>21</v>
      </c>
      <c r="G1710" t="s">
        <v>22</v>
      </c>
      <c r="H1710" t="s">
        <v>23</v>
      </c>
      <c r="I1710">
        <v>38</v>
      </c>
      <c r="J1710">
        <v>2</v>
      </c>
      <c r="K1710">
        <v>4366</v>
      </c>
      <c r="L1710">
        <v>8732</v>
      </c>
      <c r="M1710" t="s">
        <v>24</v>
      </c>
      <c r="N1710">
        <v>1</v>
      </c>
      <c r="O1710" t="s">
        <v>31</v>
      </c>
    </row>
    <row r="1711" spans="1:15" x14ac:dyDescent="0.35">
      <c r="A1711">
        <v>2710</v>
      </c>
      <c r="B1711" t="s">
        <v>964</v>
      </c>
      <c r="C1711" s="1">
        <v>45522</v>
      </c>
      <c r="D1711" s="1">
        <v>45577</v>
      </c>
      <c r="E1711" s="1">
        <v>45578</v>
      </c>
      <c r="F1711" t="s">
        <v>29</v>
      </c>
      <c r="G1711" t="s">
        <v>39</v>
      </c>
      <c r="H1711" t="s">
        <v>46</v>
      </c>
      <c r="I1711">
        <v>55</v>
      </c>
      <c r="J1711">
        <v>1</v>
      </c>
      <c r="K1711">
        <v>2528</v>
      </c>
      <c r="L1711">
        <v>2528</v>
      </c>
      <c r="M1711" t="s">
        <v>24</v>
      </c>
      <c r="N1711">
        <v>1</v>
      </c>
      <c r="O1711" t="s">
        <v>31</v>
      </c>
    </row>
    <row r="1712" spans="1:15" x14ac:dyDescent="0.35">
      <c r="A1712">
        <v>2711</v>
      </c>
      <c r="B1712" t="s">
        <v>734</v>
      </c>
      <c r="C1712" s="1">
        <v>45344</v>
      </c>
      <c r="D1712" s="1">
        <v>45381</v>
      </c>
      <c r="E1712" s="1">
        <v>45384</v>
      </c>
      <c r="F1712" t="s">
        <v>38</v>
      </c>
      <c r="G1712" t="s">
        <v>39</v>
      </c>
      <c r="H1712" t="s">
        <v>30</v>
      </c>
      <c r="I1712">
        <v>37</v>
      </c>
      <c r="J1712">
        <v>3</v>
      </c>
      <c r="K1712">
        <v>3205</v>
      </c>
      <c r="L1712">
        <v>9615</v>
      </c>
      <c r="M1712" t="s">
        <v>51</v>
      </c>
      <c r="N1712">
        <v>1</v>
      </c>
      <c r="O1712" t="s">
        <v>25</v>
      </c>
    </row>
    <row r="1713" spans="1:15" x14ac:dyDescent="0.35">
      <c r="A1713">
        <v>2712</v>
      </c>
      <c r="B1713" t="s">
        <v>252</v>
      </c>
      <c r="C1713" s="1">
        <v>45586</v>
      </c>
      <c r="D1713" s="1">
        <v>45637</v>
      </c>
      <c r="E1713" s="1">
        <v>45640</v>
      </c>
      <c r="F1713" t="s">
        <v>29</v>
      </c>
      <c r="G1713" t="s">
        <v>39</v>
      </c>
      <c r="H1713" t="s">
        <v>30</v>
      </c>
      <c r="I1713">
        <v>51</v>
      </c>
      <c r="J1713">
        <v>3</v>
      </c>
      <c r="K1713">
        <v>3520</v>
      </c>
      <c r="L1713">
        <v>10560</v>
      </c>
      <c r="M1713" t="s">
        <v>51</v>
      </c>
      <c r="N1713">
        <v>1</v>
      </c>
      <c r="O1713" t="s">
        <v>25</v>
      </c>
    </row>
    <row r="1714" spans="1:15" x14ac:dyDescent="0.35">
      <c r="A1714">
        <v>2713</v>
      </c>
      <c r="B1714" t="s">
        <v>545</v>
      </c>
      <c r="C1714" s="1">
        <v>45612</v>
      </c>
      <c r="D1714" s="1">
        <v>45664</v>
      </c>
      <c r="E1714" s="1">
        <v>45666</v>
      </c>
      <c r="F1714" t="s">
        <v>21</v>
      </c>
      <c r="G1714" t="s">
        <v>22</v>
      </c>
      <c r="H1714" t="s">
        <v>30</v>
      </c>
      <c r="I1714">
        <v>52</v>
      </c>
      <c r="J1714">
        <v>2</v>
      </c>
      <c r="K1714">
        <v>4563</v>
      </c>
      <c r="L1714">
        <v>9126</v>
      </c>
      <c r="M1714" t="s">
        <v>51</v>
      </c>
      <c r="N1714">
        <v>1</v>
      </c>
      <c r="O1714" t="s">
        <v>31</v>
      </c>
    </row>
    <row r="1715" spans="1:15" x14ac:dyDescent="0.35">
      <c r="A1715">
        <v>2714</v>
      </c>
      <c r="B1715" t="s">
        <v>550</v>
      </c>
      <c r="C1715" s="1">
        <v>45524</v>
      </c>
      <c r="D1715" s="1">
        <v>45528</v>
      </c>
      <c r="E1715" s="1">
        <v>45529</v>
      </c>
      <c r="F1715" t="s">
        <v>38</v>
      </c>
      <c r="G1715" t="s">
        <v>39</v>
      </c>
      <c r="H1715" t="s">
        <v>30</v>
      </c>
      <c r="I1715">
        <v>4</v>
      </c>
      <c r="J1715">
        <v>1</v>
      </c>
      <c r="K1715">
        <v>3946</v>
      </c>
      <c r="L1715">
        <v>3946</v>
      </c>
      <c r="M1715" t="s">
        <v>24</v>
      </c>
      <c r="N1715">
        <v>0</v>
      </c>
      <c r="O1715" t="s">
        <v>25</v>
      </c>
    </row>
    <row r="1716" spans="1:15" x14ac:dyDescent="0.35">
      <c r="A1716">
        <v>2715</v>
      </c>
      <c r="B1716" t="s">
        <v>1094</v>
      </c>
      <c r="C1716" s="1">
        <v>45449</v>
      </c>
      <c r="D1716" s="1">
        <v>45471</v>
      </c>
      <c r="E1716" s="1">
        <v>45475</v>
      </c>
      <c r="F1716" t="s">
        <v>60</v>
      </c>
      <c r="G1716" t="s">
        <v>22</v>
      </c>
      <c r="H1716" t="s">
        <v>46</v>
      </c>
      <c r="I1716">
        <v>22</v>
      </c>
      <c r="J1716">
        <v>4</v>
      </c>
      <c r="K1716">
        <v>6164</v>
      </c>
      <c r="L1716">
        <v>24656</v>
      </c>
      <c r="M1716" t="s">
        <v>51</v>
      </c>
      <c r="N1716">
        <v>0</v>
      </c>
      <c r="O1716" t="s">
        <v>25</v>
      </c>
    </row>
    <row r="1717" spans="1:15" x14ac:dyDescent="0.35">
      <c r="A1717">
        <v>2716</v>
      </c>
      <c r="B1717" t="s">
        <v>1095</v>
      </c>
      <c r="C1717" s="1">
        <v>45560</v>
      </c>
      <c r="D1717" s="1">
        <v>45586</v>
      </c>
      <c r="E1717" s="1">
        <v>45588</v>
      </c>
      <c r="F1717" t="s">
        <v>60</v>
      </c>
      <c r="G1717" t="s">
        <v>39</v>
      </c>
      <c r="H1717" t="s">
        <v>46</v>
      </c>
      <c r="I1717">
        <v>26</v>
      </c>
      <c r="J1717">
        <v>2</v>
      </c>
      <c r="K1717">
        <v>5487</v>
      </c>
      <c r="L1717">
        <v>10974</v>
      </c>
      <c r="M1717" t="s">
        <v>51</v>
      </c>
      <c r="N1717">
        <v>0</v>
      </c>
      <c r="O1717" t="s">
        <v>25</v>
      </c>
    </row>
    <row r="1718" spans="1:15" x14ac:dyDescent="0.35">
      <c r="A1718">
        <v>2717</v>
      </c>
      <c r="B1718" t="s">
        <v>1096</v>
      </c>
      <c r="C1718" s="1">
        <v>45312</v>
      </c>
      <c r="D1718" s="1">
        <v>45361</v>
      </c>
      <c r="E1718" s="1">
        <v>45362</v>
      </c>
      <c r="F1718" t="s">
        <v>21</v>
      </c>
      <c r="G1718" t="s">
        <v>22</v>
      </c>
      <c r="H1718" t="s">
        <v>46</v>
      </c>
      <c r="I1718">
        <v>49</v>
      </c>
      <c r="J1718">
        <v>1</v>
      </c>
      <c r="K1718">
        <v>8255</v>
      </c>
      <c r="L1718">
        <v>8255</v>
      </c>
      <c r="M1718" t="s">
        <v>51</v>
      </c>
      <c r="N1718">
        <v>1</v>
      </c>
      <c r="O1718" t="s">
        <v>25</v>
      </c>
    </row>
    <row r="1719" spans="1:15" x14ac:dyDescent="0.35">
      <c r="A1719">
        <v>2718</v>
      </c>
      <c r="B1719" t="s">
        <v>552</v>
      </c>
      <c r="C1719" s="1">
        <v>45344</v>
      </c>
      <c r="D1719" s="1">
        <v>45387</v>
      </c>
      <c r="E1719" s="1">
        <v>45392</v>
      </c>
      <c r="F1719" t="s">
        <v>38</v>
      </c>
      <c r="G1719" t="s">
        <v>22</v>
      </c>
      <c r="H1719" t="s">
        <v>23</v>
      </c>
      <c r="I1719">
        <v>43</v>
      </c>
      <c r="J1719">
        <v>5</v>
      </c>
      <c r="K1719">
        <v>6102</v>
      </c>
      <c r="L1719">
        <v>30510</v>
      </c>
      <c r="M1719" t="s">
        <v>24</v>
      </c>
      <c r="N1719">
        <v>1</v>
      </c>
      <c r="O1719" t="s">
        <v>25</v>
      </c>
    </row>
    <row r="1720" spans="1:15" x14ac:dyDescent="0.35">
      <c r="A1720">
        <v>2719</v>
      </c>
      <c r="B1720" t="s">
        <v>637</v>
      </c>
      <c r="C1720" s="1">
        <v>45566</v>
      </c>
      <c r="D1720" s="1">
        <v>45602</v>
      </c>
      <c r="E1720" s="1">
        <v>45605</v>
      </c>
      <c r="F1720" t="s">
        <v>60</v>
      </c>
      <c r="G1720" t="s">
        <v>39</v>
      </c>
      <c r="H1720" t="s">
        <v>46</v>
      </c>
      <c r="I1720">
        <v>36</v>
      </c>
      <c r="J1720">
        <v>3</v>
      </c>
      <c r="K1720">
        <v>7562</v>
      </c>
      <c r="L1720">
        <v>22686</v>
      </c>
      <c r="M1720" t="s">
        <v>24</v>
      </c>
      <c r="N1720">
        <v>0</v>
      </c>
      <c r="O1720" t="s">
        <v>31</v>
      </c>
    </row>
    <row r="1721" spans="1:15" x14ac:dyDescent="0.35">
      <c r="A1721">
        <v>2720</v>
      </c>
      <c r="B1721" t="s">
        <v>791</v>
      </c>
      <c r="C1721" s="1">
        <v>45604</v>
      </c>
      <c r="D1721" s="1">
        <v>45662</v>
      </c>
      <c r="E1721" s="1">
        <v>45666</v>
      </c>
      <c r="F1721" t="s">
        <v>21</v>
      </c>
      <c r="G1721" t="s">
        <v>39</v>
      </c>
      <c r="H1721" t="s">
        <v>23</v>
      </c>
      <c r="I1721">
        <v>58</v>
      </c>
      <c r="J1721">
        <v>4</v>
      </c>
      <c r="K1721">
        <v>6185</v>
      </c>
      <c r="L1721">
        <v>24740</v>
      </c>
      <c r="M1721" t="s">
        <v>51</v>
      </c>
      <c r="N1721">
        <v>1</v>
      </c>
      <c r="O1721" t="s">
        <v>25</v>
      </c>
    </row>
    <row r="1722" spans="1:15" x14ac:dyDescent="0.35">
      <c r="A1722">
        <v>2721</v>
      </c>
      <c r="B1722" t="s">
        <v>695</v>
      </c>
      <c r="C1722" s="1">
        <v>45572</v>
      </c>
      <c r="D1722" s="1">
        <v>45585</v>
      </c>
      <c r="E1722" s="1">
        <v>45589</v>
      </c>
      <c r="F1722" t="s">
        <v>21</v>
      </c>
      <c r="G1722" t="s">
        <v>39</v>
      </c>
      <c r="H1722" t="s">
        <v>23</v>
      </c>
      <c r="I1722">
        <v>13</v>
      </c>
      <c r="J1722">
        <v>4</v>
      </c>
      <c r="K1722">
        <v>8872</v>
      </c>
      <c r="L1722">
        <v>35488</v>
      </c>
      <c r="M1722" t="s">
        <v>24</v>
      </c>
      <c r="N1722">
        <v>1</v>
      </c>
      <c r="O1722" t="s">
        <v>31</v>
      </c>
    </row>
    <row r="1723" spans="1:15" x14ac:dyDescent="0.35">
      <c r="A1723">
        <v>2722</v>
      </c>
      <c r="B1723" t="s">
        <v>969</v>
      </c>
      <c r="C1723" s="1">
        <v>45505</v>
      </c>
      <c r="D1723" s="1">
        <v>45557</v>
      </c>
      <c r="E1723" s="1">
        <v>45561</v>
      </c>
      <c r="F1723" t="s">
        <v>29</v>
      </c>
      <c r="G1723" t="s">
        <v>39</v>
      </c>
      <c r="H1723" t="s">
        <v>46</v>
      </c>
      <c r="I1723">
        <v>52</v>
      </c>
      <c r="J1723">
        <v>4</v>
      </c>
      <c r="K1723">
        <v>5868</v>
      </c>
      <c r="L1723">
        <v>23472</v>
      </c>
      <c r="M1723" t="s">
        <v>51</v>
      </c>
      <c r="N1723">
        <v>0</v>
      </c>
      <c r="O1723" t="s">
        <v>31</v>
      </c>
    </row>
    <row r="1724" spans="1:15" x14ac:dyDescent="0.35">
      <c r="A1724">
        <v>2723</v>
      </c>
      <c r="B1724" t="s">
        <v>899</v>
      </c>
      <c r="C1724" s="1">
        <v>45322</v>
      </c>
      <c r="D1724" s="1">
        <v>45380</v>
      </c>
      <c r="E1724" s="1">
        <v>45383</v>
      </c>
      <c r="F1724" t="s">
        <v>60</v>
      </c>
      <c r="G1724" t="s">
        <v>22</v>
      </c>
      <c r="H1724" t="s">
        <v>46</v>
      </c>
      <c r="I1724">
        <v>58</v>
      </c>
      <c r="J1724">
        <v>3</v>
      </c>
      <c r="K1724">
        <v>6081</v>
      </c>
      <c r="L1724">
        <v>18243</v>
      </c>
      <c r="M1724" t="s">
        <v>51</v>
      </c>
      <c r="N1724">
        <v>1</v>
      </c>
      <c r="O1724" t="s">
        <v>31</v>
      </c>
    </row>
    <row r="1725" spans="1:15" x14ac:dyDescent="0.35">
      <c r="A1725">
        <v>2724</v>
      </c>
      <c r="B1725" t="s">
        <v>1097</v>
      </c>
      <c r="C1725" s="1">
        <v>45628</v>
      </c>
      <c r="D1725" s="1">
        <v>45660</v>
      </c>
      <c r="E1725" s="1">
        <v>45661</v>
      </c>
      <c r="F1725" t="s">
        <v>38</v>
      </c>
      <c r="G1725" t="s">
        <v>39</v>
      </c>
      <c r="H1725" t="s">
        <v>46</v>
      </c>
      <c r="I1725">
        <v>32</v>
      </c>
      <c r="J1725">
        <v>1</v>
      </c>
      <c r="K1725">
        <v>5262</v>
      </c>
      <c r="L1725">
        <v>5262</v>
      </c>
      <c r="M1725" t="s">
        <v>51</v>
      </c>
      <c r="N1725">
        <v>0</v>
      </c>
      <c r="O1725" t="s">
        <v>25</v>
      </c>
    </row>
    <row r="1726" spans="1:15" x14ac:dyDescent="0.35">
      <c r="A1726">
        <v>2725</v>
      </c>
      <c r="B1726" t="s">
        <v>1098</v>
      </c>
      <c r="C1726" s="1">
        <v>45474</v>
      </c>
      <c r="D1726" s="1">
        <v>45491</v>
      </c>
      <c r="E1726" s="1">
        <v>45493</v>
      </c>
      <c r="F1726" t="s">
        <v>60</v>
      </c>
      <c r="G1726" t="s">
        <v>22</v>
      </c>
      <c r="H1726" t="s">
        <v>23</v>
      </c>
      <c r="I1726">
        <v>17</v>
      </c>
      <c r="J1726">
        <v>2</v>
      </c>
      <c r="K1726">
        <v>6537</v>
      </c>
      <c r="L1726">
        <v>13074</v>
      </c>
      <c r="M1726" t="s">
        <v>51</v>
      </c>
      <c r="N1726">
        <v>0</v>
      </c>
      <c r="O1726" t="s">
        <v>31</v>
      </c>
    </row>
    <row r="1727" spans="1:15" x14ac:dyDescent="0.35">
      <c r="A1727">
        <v>2726</v>
      </c>
      <c r="B1727" t="s">
        <v>1099</v>
      </c>
      <c r="C1727" s="1">
        <v>45314</v>
      </c>
      <c r="D1727" s="1">
        <v>45355</v>
      </c>
      <c r="E1727" s="1">
        <v>45356</v>
      </c>
      <c r="F1727" t="s">
        <v>60</v>
      </c>
      <c r="G1727" t="s">
        <v>39</v>
      </c>
      <c r="H1727" t="s">
        <v>30</v>
      </c>
      <c r="I1727">
        <v>41</v>
      </c>
      <c r="J1727">
        <v>1</v>
      </c>
      <c r="K1727">
        <v>3072</v>
      </c>
      <c r="L1727">
        <v>3072</v>
      </c>
      <c r="M1727" t="s">
        <v>24</v>
      </c>
      <c r="N1727">
        <v>1</v>
      </c>
      <c r="O1727" t="s">
        <v>31</v>
      </c>
    </row>
    <row r="1728" spans="1:15" x14ac:dyDescent="0.35">
      <c r="A1728">
        <v>2727</v>
      </c>
      <c r="B1728" t="s">
        <v>1100</v>
      </c>
      <c r="C1728" s="1">
        <v>45323</v>
      </c>
      <c r="D1728" s="1">
        <v>45359</v>
      </c>
      <c r="E1728" s="1">
        <v>45361</v>
      </c>
      <c r="F1728" t="s">
        <v>60</v>
      </c>
      <c r="G1728" t="s">
        <v>39</v>
      </c>
      <c r="H1728" t="s">
        <v>46</v>
      </c>
      <c r="I1728">
        <v>36</v>
      </c>
      <c r="J1728">
        <v>2</v>
      </c>
      <c r="K1728">
        <v>8202</v>
      </c>
      <c r="L1728">
        <v>16404</v>
      </c>
      <c r="M1728" t="s">
        <v>51</v>
      </c>
      <c r="N1728">
        <v>0</v>
      </c>
      <c r="O1728" t="s">
        <v>31</v>
      </c>
    </row>
    <row r="1729" spans="1:15" x14ac:dyDescent="0.35">
      <c r="A1729">
        <v>2728</v>
      </c>
      <c r="B1729" t="s">
        <v>389</v>
      </c>
      <c r="C1729" s="1">
        <v>45365</v>
      </c>
      <c r="D1729" s="1">
        <v>45420</v>
      </c>
      <c r="E1729" s="1">
        <v>45424</v>
      </c>
      <c r="F1729" t="s">
        <v>21</v>
      </c>
      <c r="G1729" t="s">
        <v>39</v>
      </c>
      <c r="H1729" t="s">
        <v>23</v>
      </c>
      <c r="I1729">
        <v>55</v>
      </c>
      <c r="J1729">
        <v>4</v>
      </c>
      <c r="K1729">
        <v>6588</v>
      </c>
      <c r="L1729">
        <v>26352</v>
      </c>
      <c r="M1729" t="s">
        <v>51</v>
      </c>
      <c r="N1729">
        <v>1</v>
      </c>
      <c r="O1729" t="s">
        <v>31</v>
      </c>
    </row>
    <row r="1730" spans="1:15" x14ac:dyDescent="0.35">
      <c r="A1730">
        <v>2729</v>
      </c>
      <c r="B1730" t="s">
        <v>279</v>
      </c>
      <c r="C1730" s="1">
        <v>45301</v>
      </c>
      <c r="D1730" s="1">
        <v>45347</v>
      </c>
      <c r="E1730" s="1">
        <v>45348</v>
      </c>
      <c r="F1730" t="s">
        <v>35</v>
      </c>
      <c r="G1730" t="s">
        <v>39</v>
      </c>
      <c r="H1730" t="s">
        <v>23</v>
      </c>
      <c r="I1730">
        <v>46</v>
      </c>
      <c r="J1730">
        <v>1</v>
      </c>
      <c r="K1730">
        <v>3114</v>
      </c>
      <c r="L1730">
        <v>3114</v>
      </c>
      <c r="M1730" t="s">
        <v>24</v>
      </c>
      <c r="N1730">
        <v>1</v>
      </c>
      <c r="O1730" t="s">
        <v>25</v>
      </c>
    </row>
    <row r="1731" spans="1:15" x14ac:dyDescent="0.35">
      <c r="A1731">
        <v>2730</v>
      </c>
      <c r="B1731" t="s">
        <v>278</v>
      </c>
      <c r="C1731" s="1">
        <v>45345</v>
      </c>
      <c r="D1731" s="1">
        <v>45364</v>
      </c>
      <c r="E1731" s="1">
        <v>45368</v>
      </c>
      <c r="F1731" t="s">
        <v>35</v>
      </c>
      <c r="G1731" t="s">
        <v>39</v>
      </c>
      <c r="H1731" t="s">
        <v>46</v>
      </c>
      <c r="I1731">
        <v>19</v>
      </c>
      <c r="J1731">
        <v>4</v>
      </c>
      <c r="K1731">
        <v>6550</v>
      </c>
      <c r="L1731">
        <v>26200</v>
      </c>
      <c r="M1731" t="s">
        <v>51</v>
      </c>
      <c r="N1731">
        <v>1</v>
      </c>
      <c r="O1731" t="s">
        <v>31</v>
      </c>
    </row>
    <row r="1732" spans="1:15" x14ac:dyDescent="0.35">
      <c r="A1732">
        <v>2731</v>
      </c>
      <c r="B1732" t="s">
        <v>384</v>
      </c>
      <c r="C1732" s="1">
        <v>45343</v>
      </c>
      <c r="D1732" s="1">
        <v>45401</v>
      </c>
      <c r="E1732" s="1">
        <v>45406</v>
      </c>
      <c r="F1732" t="s">
        <v>29</v>
      </c>
      <c r="G1732" t="s">
        <v>22</v>
      </c>
      <c r="H1732" t="s">
        <v>23</v>
      </c>
      <c r="I1732">
        <v>58</v>
      </c>
      <c r="J1732">
        <v>5</v>
      </c>
      <c r="K1732">
        <v>2825</v>
      </c>
      <c r="L1732">
        <v>14125</v>
      </c>
      <c r="M1732" t="s">
        <v>24</v>
      </c>
      <c r="N1732">
        <v>1</v>
      </c>
      <c r="O1732" t="s">
        <v>31</v>
      </c>
    </row>
    <row r="1733" spans="1:15" x14ac:dyDescent="0.35">
      <c r="A1733">
        <v>2732</v>
      </c>
      <c r="B1733" t="s">
        <v>750</v>
      </c>
      <c r="C1733" s="1">
        <v>45439</v>
      </c>
      <c r="D1733" s="1">
        <v>45474</v>
      </c>
      <c r="E1733" s="1">
        <v>45478</v>
      </c>
      <c r="F1733" t="s">
        <v>60</v>
      </c>
      <c r="G1733" t="s">
        <v>39</v>
      </c>
      <c r="H1733" t="s">
        <v>46</v>
      </c>
      <c r="I1733">
        <v>35</v>
      </c>
      <c r="J1733">
        <v>4</v>
      </c>
      <c r="K1733">
        <v>6240</v>
      </c>
      <c r="L1733">
        <v>24960</v>
      </c>
      <c r="M1733" t="s">
        <v>51</v>
      </c>
      <c r="N1733">
        <v>1</v>
      </c>
      <c r="O1733" t="s">
        <v>31</v>
      </c>
    </row>
    <row r="1734" spans="1:15" x14ac:dyDescent="0.35">
      <c r="A1734">
        <v>2733</v>
      </c>
      <c r="B1734" t="s">
        <v>512</v>
      </c>
      <c r="C1734" s="1">
        <v>45451</v>
      </c>
      <c r="D1734" s="1">
        <v>45497</v>
      </c>
      <c r="E1734" s="1">
        <v>45501</v>
      </c>
      <c r="F1734" t="s">
        <v>35</v>
      </c>
      <c r="G1734" t="s">
        <v>22</v>
      </c>
      <c r="H1734" t="s">
        <v>23</v>
      </c>
      <c r="I1734">
        <v>46</v>
      </c>
      <c r="J1734">
        <v>4</v>
      </c>
      <c r="K1734">
        <v>2858</v>
      </c>
      <c r="L1734">
        <v>11432</v>
      </c>
      <c r="M1734" t="s">
        <v>51</v>
      </c>
      <c r="N1734">
        <v>1</v>
      </c>
      <c r="O1734" t="s">
        <v>31</v>
      </c>
    </row>
    <row r="1735" spans="1:15" x14ac:dyDescent="0.35">
      <c r="A1735">
        <v>2734</v>
      </c>
      <c r="B1735" t="s">
        <v>1019</v>
      </c>
      <c r="C1735" s="1">
        <v>45305</v>
      </c>
      <c r="D1735" s="1">
        <v>45345</v>
      </c>
      <c r="E1735" s="1">
        <v>45347</v>
      </c>
      <c r="F1735" t="s">
        <v>29</v>
      </c>
      <c r="G1735" t="s">
        <v>39</v>
      </c>
      <c r="H1735" t="s">
        <v>30</v>
      </c>
      <c r="I1735">
        <v>40</v>
      </c>
      <c r="J1735">
        <v>2</v>
      </c>
      <c r="K1735">
        <v>6277</v>
      </c>
      <c r="L1735">
        <v>12554</v>
      </c>
      <c r="M1735" t="s">
        <v>51</v>
      </c>
      <c r="N1735">
        <v>0</v>
      </c>
      <c r="O1735" t="s">
        <v>25</v>
      </c>
    </row>
    <row r="1736" spans="1:15" x14ac:dyDescent="0.35">
      <c r="A1736">
        <v>2735</v>
      </c>
      <c r="B1736" t="s">
        <v>99</v>
      </c>
      <c r="C1736" s="1">
        <v>45469</v>
      </c>
      <c r="D1736" s="1">
        <v>45525</v>
      </c>
      <c r="E1736" s="1">
        <v>45530</v>
      </c>
      <c r="F1736" t="s">
        <v>21</v>
      </c>
      <c r="G1736" t="s">
        <v>22</v>
      </c>
      <c r="H1736" t="s">
        <v>23</v>
      </c>
      <c r="I1736">
        <v>56</v>
      </c>
      <c r="J1736">
        <v>5</v>
      </c>
      <c r="K1736">
        <v>8406</v>
      </c>
      <c r="L1736">
        <v>42030</v>
      </c>
      <c r="M1736" t="s">
        <v>51</v>
      </c>
      <c r="N1736">
        <v>1</v>
      </c>
      <c r="O1736" t="s">
        <v>31</v>
      </c>
    </row>
    <row r="1737" spans="1:15" x14ac:dyDescent="0.35">
      <c r="A1737">
        <v>2736</v>
      </c>
      <c r="B1737" t="s">
        <v>1101</v>
      </c>
      <c r="C1737" s="1">
        <v>45344</v>
      </c>
      <c r="D1737" s="1">
        <v>45403</v>
      </c>
      <c r="E1737" s="1">
        <v>45407</v>
      </c>
      <c r="F1737" t="s">
        <v>60</v>
      </c>
      <c r="G1737" t="s">
        <v>39</v>
      </c>
      <c r="H1737" t="s">
        <v>46</v>
      </c>
      <c r="I1737">
        <v>59</v>
      </c>
      <c r="J1737">
        <v>4</v>
      </c>
      <c r="K1737">
        <v>4871</v>
      </c>
      <c r="L1737">
        <v>19484</v>
      </c>
      <c r="M1737" t="s">
        <v>24</v>
      </c>
      <c r="N1737">
        <v>1</v>
      </c>
      <c r="O1737" t="s">
        <v>31</v>
      </c>
    </row>
    <row r="1738" spans="1:15" x14ac:dyDescent="0.35">
      <c r="A1738">
        <v>2737</v>
      </c>
      <c r="B1738" t="s">
        <v>1102</v>
      </c>
      <c r="C1738" s="1">
        <v>45626</v>
      </c>
      <c r="D1738" s="1">
        <v>45654</v>
      </c>
      <c r="E1738" s="1">
        <v>45658</v>
      </c>
      <c r="F1738" t="s">
        <v>38</v>
      </c>
      <c r="G1738" t="s">
        <v>39</v>
      </c>
      <c r="H1738" t="s">
        <v>30</v>
      </c>
      <c r="I1738">
        <v>28</v>
      </c>
      <c r="J1738">
        <v>4</v>
      </c>
      <c r="K1738">
        <v>4221</v>
      </c>
      <c r="L1738">
        <v>16884</v>
      </c>
      <c r="M1738" t="s">
        <v>51</v>
      </c>
      <c r="N1738">
        <v>1</v>
      </c>
      <c r="O1738" t="s">
        <v>31</v>
      </c>
    </row>
    <row r="1739" spans="1:15" x14ac:dyDescent="0.35">
      <c r="A1739">
        <v>2738</v>
      </c>
      <c r="B1739" t="s">
        <v>786</v>
      </c>
      <c r="C1739" s="1">
        <v>45313</v>
      </c>
      <c r="D1739" s="1">
        <v>45314</v>
      </c>
      <c r="E1739" s="1">
        <v>45319</v>
      </c>
      <c r="F1739" t="s">
        <v>21</v>
      </c>
      <c r="G1739" t="s">
        <v>39</v>
      </c>
      <c r="H1739" t="s">
        <v>46</v>
      </c>
      <c r="I1739">
        <v>1</v>
      </c>
      <c r="J1739">
        <v>5</v>
      </c>
      <c r="K1739">
        <v>3849</v>
      </c>
      <c r="L1739">
        <v>19245</v>
      </c>
      <c r="M1739" t="s">
        <v>24</v>
      </c>
      <c r="N1739">
        <v>0</v>
      </c>
      <c r="O1739" t="s">
        <v>31</v>
      </c>
    </row>
    <row r="1740" spans="1:15" x14ac:dyDescent="0.35">
      <c r="A1740">
        <v>2739</v>
      </c>
      <c r="B1740" t="s">
        <v>1103</v>
      </c>
      <c r="C1740" s="1">
        <v>45321</v>
      </c>
      <c r="D1740" s="1">
        <v>45363</v>
      </c>
      <c r="E1740" s="1">
        <v>45368</v>
      </c>
      <c r="F1740" t="s">
        <v>29</v>
      </c>
      <c r="G1740" t="s">
        <v>22</v>
      </c>
      <c r="H1740" t="s">
        <v>23</v>
      </c>
      <c r="I1740">
        <v>42</v>
      </c>
      <c r="J1740">
        <v>5</v>
      </c>
      <c r="K1740">
        <v>6196</v>
      </c>
      <c r="L1740">
        <v>30980</v>
      </c>
      <c r="M1740" t="s">
        <v>24</v>
      </c>
      <c r="N1740">
        <v>1</v>
      </c>
      <c r="O1740" t="s">
        <v>31</v>
      </c>
    </row>
    <row r="1741" spans="1:15" x14ac:dyDescent="0.35">
      <c r="A1741">
        <v>2740</v>
      </c>
      <c r="B1741" t="s">
        <v>900</v>
      </c>
      <c r="C1741" s="1">
        <v>45482</v>
      </c>
      <c r="D1741" s="1">
        <v>45500</v>
      </c>
      <c r="E1741" s="1">
        <v>45501</v>
      </c>
      <c r="F1741" t="s">
        <v>21</v>
      </c>
      <c r="G1741" t="s">
        <v>22</v>
      </c>
      <c r="H1741" t="s">
        <v>30</v>
      </c>
      <c r="I1741">
        <v>18</v>
      </c>
      <c r="J1741">
        <v>1</v>
      </c>
      <c r="K1741">
        <v>6396</v>
      </c>
      <c r="L1741">
        <v>6396</v>
      </c>
      <c r="M1741" t="s">
        <v>24</v>
      </c>
      <c r="N1741">
        <v>1</v>
      </c>
      <c r="O1741" t="s">
        <v>31</v>
      </c>
    </row>
    <row r="1742" spans="1:15" x14ac:dyDescent="0.35">
      <c r="A1742">
        <v>2741</v>
      </c>
      <c r="B1742" t="s">
        <v>313</v>
      </c>
      <c r="C1742" s="1">
        <v>45551</v>
      </c>
      <c r="D1742" s="1">
        <v>45599</v>
      </c>
      <c r="E1742" s="1">
        <v>45601</v>
      </c>
      <c r="F1742" t="s">
        <v>38</v>
      </c>
      <c r="G1742" t="s">
        <v>39</v>
      </c>
      <c r="H1742" t="s">
        <v>30</v>
      </c>
      <c r="I1742">
        <v>48</v>
      </c>
      <c r="J1742">
        <v>2</v>
      </c>
      <c r="K1742">
        <v>6760</v>
      </c>
      <c r="L1742">
        <v>13520</v>
      </c>
      <c r="M1742" t="s">
        <v>51</v>
      </c>
      <c r="N1742">
        <v>0</v>
      </c>
      <c r="O1742" t="s">
        <v>25</v>
      </c>
    </row>
    <row r="1743" spans="1:15" x14ac:dyDescent="0.35">
      <c r="A1743">
        <v>2742</v>
      </c>
      <c r="B1743" t="s">
        <v>52</v>
      </c>
      <c r="C1743" s="1">
        <v>45496</v>
      </c>
      <c r="D1743" s="1">
        <v>45536</v>
      </c>
      <c r="E1743" s="1">
        <v>45541</v>
      </c>
      <c r="F1743" t="s">
        <v>21</v>
      </c>
      <c r="G1743" t="s">
        <v>39</v>
      </c>
      <c r="H1743" t="s">
        <v>23</v>
      </c>
      <c r="I1743">
        <v>40</v>
      </c>
      <c r="J1743">
        <v>5</v>
      </c>
      <c r="K1743">
        <v>4096</v>
      </c>
      <c r="L1743">
        <v>20480</v>
      </c>
      <c r="M1743" t="s">
        <v>24</v>
      </c>
      <c r="N1743">
        <v>0</v>
      </c>
      <c r="O1743" t="s">
        <v>31</v>
      </c>
    </row>
    <row r="1744" spans="1:15" x14ac:dyDescent="0.35">
      <c r="A1744">
        <v>2743</v>
      </c>
      <c r="B1744" t="s">
        <v>1048</v>
      </c>
      <c r="C1744" s="1">
        <v>45350</v>
      </c>
      <c r="D1744" s="1">
        <v>45383</v>
      </c>
      <c r="E1744" s="1">
        <v>45388</v>
      </c>
      <c r="F1744" t="s">
        <v>29</v>
      </c>
      <c r="G1744" t="s">
        <v>39</v>
      </c>
      <c r="H1744" t="s">
        <v>30</v>
      </c>
      <c r="I1744">
        <v>33</v>
      </c>
      <c r="J1744">
        <v>5</v>
      </c>
      <c r="K1744">
        <v>4127</v>
      </c>
      <c r="L1744">
        <v>20635</v>
      </c>
      <c r="M1744" t="s">
        <v>24</v>
      </c>
      <c r="N1744">
        <v>1</v>
      </c>
      <c r="O1744" t="s">
        <v>25</v>
      </c>
    </row>
    <row r="1745" spans="1:15" x14ac:dyDescent="0.35">
      <c r="A1745">
        <v>2744</v>
      </c>
      <c r="B1745" t="s">
        <v>137</v>
      </c>
      <c r="C1745" s="1">
        <v>45555</v>
      </c>
      <c r="D1745" s="1">
        <v>45567</v>
      </c>
      <c r="E1745" s="1">
        <v>45570</v>
      </c>
      <c r="F1745" t="s">
        <v>38</v>
      </c>
      <c r="G1745" t="s">
        <v>22</v>
      </c>
      <c r="H1745" t="s">
        <v>30</v>
      </c>
      <c r="I1745">
        <v>12</v>
      </c>
      <c r="J1745">
        <v>3</v>
      </c>
      <c r="K1745">
        <v>5002</v>
      </c>
      <c r="L1745">
        <v>15006</v>
      </c>
      <c r="M1745" t="s">
        <v>24</v>
      </c>
      <c r="N1745">
        <v>1</v>
      </c>
      <c r="O1745" t="s">
        <v>25</v>
      </c>
    </row>
    <row r="1746" spans="1:15" x14ac:dyDescent="0.35">
      <c r="A1746">
        <v>2745</v>
      </c>
      <c r="B1746" t="s">
        <v>1104</v>
      </c>
      <c r="C1746" s="1">
        <v>45303</v>
      </c>
      <c r="D1746" s="1">
        <v>45311</v>
      </c>
      <c r="E1746" s="1">
        <v>45316</v>
      </c>
      <c r="F1746" t="s">
        <v>38</v>
      </c>
      <c r="G1746" t="s">
        <v>39</v>
      </c>
      <c r="H1746" t="s">
        <v>30</v>
      </c>
      <c r="I1746">
        <v>8</v>
      </c>
      <c r="J1746">
        <v>5</v>
      </c>
      <c r="K1746">
        <v>7772</v>
      </c>
      <c r="L1746">
        <v>38860</v>
      </c>
      <c r="M1746" t="s">
        <v>51</v>
      </c>
      <c r="N1746">
        <v>0</v>
      </c>
      <c r="O1746" t="s">
        <v>31</v>
      </c>
    </row>
    <row r="1747" spans="1:15" x14ac:dyDescent="0.35">
      <c r="A1747">
        <v>2746</v>
      </c>
      <c r="B1747" t="s">
        <v>278</v>
      </c>
      <c r="C1747" s="1">
        <v>45410</v>
      </c>
      <c r="D1747" s="1">
        <v>45434</v>
      </c>
      <c r="E1747" s="1">
        <v>45436</v>
      </c>
      <c r="F1747" t="s">
        <v>21</v>
      </c>
      <c r="G1747" t="s">
        <v>22</v>
      </c>
      <c r="H1747" t="s">
        <v>46</v>
      </c>
      <c r="I1747">
        <v>24</v>
      </c>
      <c r="J1747">
        <v>2</v>
      </c>
      <c r="K1747">
        <v>6308</v>
      </c>
      <c r="L1747">
        <v>12616</v>
      </c>
      <c r="M1747" t="s">
        <v>51</v>
      </c>
      <c r="N1747">
        <v>0</v>
      </c>
      <c r="O1747" t="s">
        <v>25</v>
      </c>
    </row>
    <row r="1748" spans="1:15" x14ac:dyDescent="0.35">
      <c r="A1748">
        <v>2747</v>
      </c>
      <c r="B1748" t="s">
        <v>1100</v>
      </c>
      <c r="C1748" s="1">
        <v>45581</v>
      </c>
      <c r="D1748" s="1">
        <v>45597</v>
      </c>
      <c r="E1748" s="1">
        <v>45601</v>
      </c>
      <c r="F1748" t="s">
        <v>38</v>
      </c>
      <c r="G1748" t="s">
        <v>39</v>
      </c>
      <c r="H1748" t="s">
        <v>46</v>
      </c>
      <c r="I1748">
        <v>16</v>
      </c>
      <c r="J1748">
        <v>4</v>
      </c>
      <c r="K1748">
        <v>7746</v>
      </c>
      <c r="L1748">
        <v>30984</v>
      </c>
      <c r="M1748" t="s">
        <v>24</v>
      </c>
      <c r="N1748">
        <v>1</v>
      </c>
      <c r="O1748" t="s">
        <v>31</v>
      </c>
    </row>
    <row r="1749" spans="1:15" x14ac:dyDescent="0.35">
      <c r="A1749">
        <v>2748</v>
      </c>
      <c r="B1749" t="s">
        <v>1105</v>
      </c>
      <c r="C1749" s="1">
        <v>45629</v>
      </c>
      <c r="D1749" s="1">
        <v>45679</v>
      </c>
      <c r="E1749" s="1">
        <v>45683</v>
      </c>
      <c r="F1749" t="s">
        <v>21</v>
      </c>
      <c r="G1749" t="s">
        <v>22</v>
      </c>
      <c r="H1749" t="s">
        <v>30</v>
      </c>
      <c r="I1749">
        <v>50</v>
      </c>
      <c r="J1749">
        <v>4</v>
      </c>
      <c r="K1749">
        <v>2692</v>
      </c>
      <c r="L1749">
        <v>10768</v>
      </c>
      <c r="M1749" t="s">
        <v>24</v>
      </c>
      <c r="N1749">
        <v>1</v>
      </c>
      <c r="O1749" t="s">
        <v>25</v>
      </c>
    </row>
    <row r="1750" spans="1:15" x14ac:dyDescent="0.35">
      <c r="A1750">
        <v>2749</v>
      </c>
      <c r="B1750" t="s">
        <v>1106</v>
      </c>
      <c r="C1750" s="1">
        <v>45539</v>
      </c>
      <c r="D1750" s="1">
        <v>45543</v>
      </c>
      <c r="E1750" s="1">
        <v>45547</v>
      </c>
      <c r="F1750" t="s">
        <v>60</v>
      </c>
      <c r="G1750" t="s">
        <v>22</v>
      </c>
      <c r="H1750" t="s">
        <v>23</v>
      </c>
      <c r="I1750">
        <v>4</v>
      </c>
      <c r="J1750">
        <v>4</v>
      </c>
      <c r="K1750">
        <v>5174</v>
      </c>
      <c r="L1750">
        <v>20696</v>
      </c>
      <c r="M1750" t="s">
        <v>51</v>
      </c>
      <c r="N1750">
        <v>0</v>
      </c>
      <c r="O1750" t="s">
        <v>31</v>
      </c>
    </row>
    <row r="1751" spans="1:15" x14ac:dyDescent="0.35">
      <c r="A1751">
        <v>2750</v>
      </c>
      <c r="B1751" t="s">
        <v>1107</v>
      </c>
      <c r="C1751" s="1">
        <v>45645</v>
      </c>
      <c r="D1751" s="1">
        <v>45683</v>
      </c>
      <c r="E1751" s="1">
        <v>45687</v>
      </c>
      <c r="F1751" t="s">
        <v>38</v>
      </c>
      <c r="G1751" t="s">
        <v>22</v>
      </c>
      <c r="H1751" t="s">
        <v>23</v>
      </c>
      <c r="I1751">
        <v>38</v>
      </c>
      <c r="J1751">
        <v>4</v>
      </c>
      <c r="K1751">
        <v>6345</v>
      </c>
      <c r="L1751">
        <v>25380</v>
      </c>
      <c r="M1751" t="s">
        <v>24</v>
      </c>
      <c r="N1751">
        <v>1</v>
      </c>
      <c r="O1751" t="s">
        <v>25</v>
      </c>
    </row>
    <row r="1752" spans="1:15" x14ac:dyDescent="0.35">
      <c r="A1752">
        <v>2751</v>
      </c>
      <c r="B1752" t="s">
        <v>1027</v>
      </c>
      <c r="C1752" s="1">
        <v>45418</v>
      </c>
      <c r="D1752" s="1">
        <v>45462</v>
      </c>
      <c r="E1752" s="1">
        <v>45465</v>
      </c>
      <c r="F1752" t="s">
        <v>21</v>
      </c>
      <c r="G1752" t="s">
        <v>39</v>
      </c>
      <c r="H1752" t="s">
        <v>46</v>
      </c>
      <c r="I1752">
        <v>44</v>
      </c>
      <c r="J1752">
        <v>3</v>
      </c>
      <c r="K1752">
        <v>5077</v>
      </c>
      <c r="L1752">
        <v>15231</v>
      </c>
      <c r="M1752" t="s">
        <v>24</v>
      </c>
      <c r="N1752">
        <v>1</v>
      </c>
      <c r="O1752" t="s">
        <v>25</v>
      </c>
    </row>
    <row r="1753" spans="1:15" x14ac:dyDescent="0.35">
      <c r="A1753">
        <v>2752</v>
      </c>
      <c r="B1753" t="s">
        <v>945</v>
      </c>
      <c r="C1753" s="1">
        <v>45366</v>
      </c>
      <c r="D1753" s="1">
        <v>45393</v>
      </c>
      <c r="E1753" s="1">
        <v>45398</v>
      </c>
      <c r="F1753" t="s">
        <v>60</v>
      </c>
      <c r="G1753" t="s">
        <v>22</v>
      </c>
      <c r="H1753" t="s">
        <v>23</v>
      </c>
      <c r="I1753">
        <v>27</v>
      </c>
      <c r="J1753">
        <v>5</v>
      </c>
      <c r="K1753">
        <v>2591</v>
      </c>
      <c r="L1753">
        <v>12955</v>
      </c>
      <c r="M1753" t="s">
        <v>24</v>
      </c>
      <c r="N1753">
        <v>0</v>
      </c>
      <c r="O1753" t="s">
        <v>31</v>
      </c>
    </row>
    <row r="1754" spans="1:15" x14ac:dyDescent="0.35">
      <c r="A1754">
        <v>2753</v>
      </c>
      <c r="B1754" t="s">
        <v>559</v>
      </c>
      <c r="C1754" s="1">
        <v>45652</v>
      </c>
      <c r="D1754" s="1">
        <v>45661</v>
      </c>
      <c r="E1754" s="1">
        <v>45665</v>
      </c>
      <c r="F1754" t="s">
        <v>38</v>
      </c>
      <c r="G1754" t="s">
        <v>39</v>
      </c>
      <c r="H1754" t="s">
        <v>30</v>
      </c>
      <c r="I1754">
        <v>9</v>
      </c>
      <c r="J1754">
        <v>4</v>
      </c>
      <c r="K1754">
        <v>6734</v>
      </c>
      <c r="L1754">
        <v>26936</v>
      </c>
      <c r="M1754" t="s">
        <v>51</v>
      </c>
      <c r="N1754">
        <v>0</v>
      </c>
      <c r="O1754" t="s">
        <v>25</v>
      </c>
    </row>
    <row r="1755" spans="1:15" x14ac:dyDescent="0.35">
      <c r="A1755">
        <v>2754</v>
      </c>
      <c r="B1755" t="s">
        <v>1108</v>
      </c>
      <c r="C1755" s="1">
        <v>45495</v>
      </c>
      <c r="D1755" s="1">
        <v>45542</v>
      </c>
      <c r="E1755" s="1">
        <v>45543</v>
      </c>
      <c r="F1755" t="s">
        <v>60</v>
      </c>
      <c r="G1755" t="s">
        <v>22</v>
      </c>
      <c r="H1755" t="s">
        <v>23</v>
      </c>
      <c r="I1755">
        <v>47</v>
      </c>
      <c r="J1755">
        <v>1</v>
      </c>
      <c r="K1755">
        <v>2980</v>
      </c>
      <c r="L1755">
        <v>2980</v>
      </c>
      <c r="M1755" t="s">
        <v>24</v>
      </c>
      <c r="N1755">
        <v>1</v>
      </c>
      <c r="O1755" t="s">
        <v>25</v>
      </c>
    </row>
    <row r="1756" spans="1:15" x14ac:dyDescent="0.35">
      <c r="A1756">
        <v>2755</v>
      </c>
      <c r="B1756" t="s">
        <v>1109</v>
      </c>
      <c r="C1756" s="1">
        <v>45340</v>
      </c>
      <c r="D1756" s="1">
        <v>45356</v>
      </c>
      <c r="E1756" s="1">
        <v>45360</v>
      </c>
      <c r="F1756" t="s">
        <v>38</v>
      </c>
      <c r="G1756" t="s">
        <v>39</v>
      </c>
      <c r="H1756" t="s">
        <v>46</v>
      </c>
      <c r="I1756">
        <v>16</v>
      </c>
      <c r="J1756">
        <v>4</v>
      </c>
      <c r="K1756">
        <v>7952</v>
      </c>
      <c r="L1756">
        <v>31808</v>
      </c>
      <c r="M1756" t="s">
        <v>24</v>
      </c>
      <c r="N1756">
        <v>0</v>
      </c>
      <c r="O1756" t="s">
        <v>25</v>
      </c>
    </row>
    <row r="1757" spans="1:15" x14ac:dyDescent="0.35">
      <c r="A1757">
        <v>2756</v>
      </c>
      <c r="B1757" t="s">
        <v>453</v>
      </c>
      <c r="C1757" s="1">
        <v>45370</v>
      </c>
      <c r="D1757" s="1">
        <v>45426</v>
      </c>
      <c r="E1757" s="1">
        <v>45431</v>
      </c>
      <c r="F1757" t="s">
        <v>29</v>
      </c>
      <c r="G1757" t="s">
        <v>22</v>
      </c>
      <c r="H1757" t="s">
        <v>46</v>
      </c>
      <c r="I1757">
        <v>56</v>
      </c>
      <c r="J1757">
        <v>5</v>
      </c>
      <c r="K1757">
        <v>5416</v>
      </c>
      <c r="L1757">
        <v>27080</v>
      </c>
      <c r="M1757" t="s">
        <v>51</v>
      </c>
      <c r="N1757">
        <v>1</v>
      </c>
      <c r="O1757" t="s">
        <v>25</v>
      </c>
    </row>
    <row r="1758" spans="1:15" x14ac:dyDescent="0.35">
      <c r="A1758">
        <v>2757</v>
      </c>
      <c r="B1758" t="s">
        <v>1110</v>
      </c>
      <c r="C1758" s="1">
        <v>45532</v>
      </c>
      <c r="D1758" s="1">
        <v>45544</v>
      </c>
      <c r="E1758" s="1">
        <v>45548</v>
      </c>
      <c r="F1758" t="s">
        <v>29</v>
      </c>
      <c r="G1758" t="s">
        <v>22</v>
      </c>
      <c r="H1758" t="s">
        <v>30</v>
      </c>
      <c r="I1758">
        <v>12</v>
      </c>
      <c r="J1758">
        <v>4</v>
      </c>
      <c r="K1758">
        <v>6935</v>
      </c>
      <c r="L1758">
        <v>27740</v>
      </c>
      <c r="M1758" t="s">
        <v>24</v>
      </c>
      <c r="N1758">
        <v>0</v>
      </c>
      <c r="O1758" t="s">
        <v>25</v>
      </c>
    </row>
    <row r="1759" spans="1:15" x14ac:dyDescent="0.35">
      <c r="A1759">
        <v>2758</v>
      </c>
      <c r="B1759" t="s">
        <v>1111</v>
      </c>
      <c r="C1759" s="1">
        <v>45640</v>
      </c>
      <c r="D1759" s="1">
        <v>45671</v>
      </c>
      <c r="E1759" s="1">
        <v>45674</v>
      </c>
      <c r="F1759" t="s">
        <v>21</v>
      </c>
      <c r="G1759" t="s">
        <v>39</v>
      </c>
      <c r="H1759" t="s">
        <v>46</v>
      </c>
      <c r="I1759">
        <v>31</v>
      </c>
      <c r="J1759">
        <v>3</v>
      </c>
      <c r="K1759">
        <v>3575</v>
      </c>
      <c r="L1759">
        <v>10725</v>
      </c>
      <c r="M1759" t="s">
        <v>51</v>
      </c>
      <c r="N1759">
        <v>1</v>
      </c>
      <c r="O1759" t="s">
        <v>31</v>
      </c>
    </row>
    <row r="1760" spans="1:15" x14ac:dyDescent="0.35">
      <c r="A1760">
        <v>2759</v>
      </c>
      <c r="B1760" t="s">
        <v>678</v>
      </c>
      <c r="C1760" s="1">
        <v>45445</v>
      </c>
      <c r="D1760" s="1">
        <v>45469</v>
      </c>
      <c r="E1760" s="1">
        <v>45471</v>
      </c>
      <c r="F1760" t="s">
        <v>35</v>
      </c>
      <c r="G1760" t="s">
        <v>39</v>
      </c>
      <c r="H1760" t="s">
        <v>46</v>
      </c>
      <c r="I1760">
        <v>24</v>
      </c>
      <c r="J1760">
        <v>2</v>
      </c>
      <c r="K1760">
        <v>5013</v>
      </c>
      <c r="L1760">
        <v>10026</v>
      </c>
      <c r="M1760" t="s">
        <v>51</v>
      </c>
      <c r="N1760">
        <v>0</v>
      </c>
      <c r="O1760" t="s">
        <v>25</v>
      </c>
    </row>
    <row r="1761" spans="1:15" x14ac:dyDescent="0.35">
      <c r="A1761">
        <v>2760</v>
      </c>
      <c r="B1761" t="s">
        <v>901</v>
      </c>
      <c r="C1761" s="1">
        <v>45565</v>
      </c>
      <c r="D1761" s="1">
        <v>45620</v>
      </c>
      <c r="E1761" s="1">
        <v>45622</v>
      </c>
      <c r="F1761" t="s">
        <v>29</v>
      </c>
      <c r="G1761" t="s">
        <v>22</v>
      </c>
      <c r="H1761" t="s">
        <v>46</v>
      </c>
      <c r="I1761">
        <v>55</v>
      </c>
      <c r="J1761">
        <v>2</v>
      </c>
      <c r="K1761">
        <v>3298</v>
      </c>
      <c r="L1761">
        <v>6596</v>
      </c>
      <c r="M1761" t="s">
        <v>51</v>
      </c>
      <c r="N1761">
        <v>0</v>
      </c>
      <c r="O1761" t="s">
        <v>25</v>
      </c>
    </row>
    <row r="1762" spans="1:15" x14ac:dyDescent="0.35">
      <c r="A1762">
        <v>2761</v>
      </c>
      <c r="B1762" t="s">
        <v>999</v>
      </c>
      <c r="C1762" s="1">
        <v>45387</v>
      </c>
      <c r="D1762" s="1">
        <v>45401</v>
      </c>
      <c r="E1762" s="1">
        <v>45406</v>
      </c>
      <c r="F1762" t="s">
        <v>35</v>
      </c>
      <c r="G1762" t="s">
        <v>22</v>
      </c>
      <c r="H1762" t="s">
        <v>23</v>
      </c>
      <c r="I1762">
        <v>14</v>
      </c>
      <c r="J1762">
        <v>5</v>
      </c>
      <c r="K1762">
        <v>7070</v>
      </c>
      <c r="L1762">
        <v>35350</v>
      </c>
      <c r="M1762" t="s">
        <v>24</v>
      </c>
      <c r="N1762">
        <v>0</v>
      </c>
      <c r="O1762" t="s">
        <v>31</v>
      </c>
    </row>
    <row r="1763" spans="1:15" x14ac:dyDescent="0.35">
      <c r="A1763">
        <v>2762</v>
      </c>
      <c r="B1763" t="s">
        <v>555</v>
      </c>
      <c r="C1763" s="1">
        <v>45505</v>
      </c>
      <c r="D1763" s="1">
        <v>45550</v>
      </c>
      <c r="E1763" s="1">
        <v>45552</v>
      </c>
      <c r="F1763" t="s">
        <v>60</v>
      </c>
      <c r="G1763" t="s">
        <v>39</v>
      </c>
      <c r="H1763" t="s">
        <v>46</v>
      </c>
      <c r="I1763">
        <v>45</v>
      </c>
      <c r="J1763">
        <v>2</v>
      </c>
      <c r="K1763">
        <v>8058</v>
      </c>
      <c r="L1763">
        <v>16116</v>
      </c>
      <c r="M1763" t="s">
        <v>24</v>
      </c>
      <c r="N1763">
        <v>0</v>
      </c>
      <c r="O1763" t="s">
        <v>31</v>
      </c>
    </row>
    <row r="1764" spans="1:15" x14ac:dyDescent="0.35">
      <c r="A1764">
        <v>2763</v>
      </c>
      <c r="B1764" t="s">
        <v>995</v>
      </c>
      <c r="C1764" s="1">
        <v>45585</v>
      </c>
      <c r="D1764" s="1">
        <v>45610</v>
      </c>
      <c r="E1764" s="1">
        <v>45612</v>
      </c>
      <c r="F1764" t="s">
        <v>60</v>
      </c>
      <c r="G1764" t="s">
        <v>22</v>
      </c>
      <c r="H1764" t="s">
        <v>23</v>
      </c>
      <c r="I1764">
        <v>25</v>
      </c>
      <c r="J1764">
        <v>2</v>
      </c>
      <c r="K1764">
        <v>6449</v>
      </c>
      <c r="L1764">
        <v>12898</v>
      </c>
      <c r="M1764" t="s">
        <v>24</v>
      </c>
      <c r="N1764">
        <v>0</v>
      </c>
      <c r="O1764" t="s">
        <v>31</v>
      </c>
    </row>
    <row r="1765" spans="1:15" x14ac:dyDescent="0.35">
      <c r="A1765">
        <v>2764</v>
      </c>
      <c r="B1765" t="s">
        <v>762</v>
      </c>
      <c r="C1765" s="1">
        <v>45500</v>
      </c>
      <c r="D1765" s="1">
        <v>45534</v>
      </c>
      <c r="E1765" s="1">
        <v>45535</v>
      </c>
      <c r="F1765" t="s">
        <v>35</v>
      </c>
      <c r="G1765" t="s">
        <v>22</v>
      </c>
      <c r="H1765" t="s">
        <v>46</v>
      </c>
      <c r="I1765">
        <v>34</v>
      </c>
      <c r="J1765">
        <v>1</v>
      </c>
      <c r="K1765">
        <v>3104</v>
      </c>
      <c r="L1765">
        <v>3104</v>
      </c>
      <c r="M1765" t="s">
        <v>24</v>
      </c>
      <c r="N1765">
        <v>1</v>
      </c>
      <c r="O1765" t="s">
        <v>25</v>
      </c>
    </row>
    <row r="1766" spans="1:15" x14ac:dyDescent="0.35">
      <c r="A1766">
        <v>2765</v>
      </c>
      <c r="B1766" t="s">
        <v>852</v>
      </c>
      <c r="C1766" s="1">
        <v>45634</v>
      </c>
      <c r="D1766" s="1">
        <v>45637</v>
      </c>
      <c r="E1766" s="1">
        <v>45642</v>
      </c>
      <c r="F1766" t="s">
        <v>21</v>
      </c>
      <c r="G1766" t="s">
        <v>39</v>
      </c>
      <c r="H1766" t="s">
        <v>46</v>
      </c>
      <c r="I1766">
        <v>3</v>
      </c>
      <c r="J1766">
        <v>5</v>
      </c>
      <c r="K1766">
        <v>5479</v>
      </c>
      <c r="L1766">
        <v>27395</v>
      </c>
      <c r="M1766" t="s">
        <v>24</v>
      </c>
      <c r="N1766">
        <v>0</v>
      </c>
      <c r="O1766" t="s">
        <v>25</v>
      </c>
    </row>
    <row r="1767" spans="1:15" x14ac:dyDescent="0.35">
      <c r="A1767">
        <v>2766</v>
      </c>
      <c r="B1767" t="s">
        <v>301</v>
      </c>
      <c r="C1767" s="1">
        <v>45379</v>
      </c>
      <c r="D1767" s="1">
        <v>45437</v>
      </c>
      <c r="E1767" s="1">
        <v>45442</v>
      </c>
      <c r="F1767" t="s">
        <v>38</v>
      </c>
      <c r="G1767" t="s">
        <v>39</v>
      </c>
      <c r="H1767" t="s">
        <v>23</v>
      </c>
      <c r="I1767">
        <v>58</v>
      </c>
      <c r="J1767">
        <v>5</v>
      </c>
      <c r="K1767">
        <v>7416</v>
      </c>
      <c r="L1767">
        <v>37080</v>
      </c>
      <c r="M1767" t="s">
        <v>24</v>
      </c>
      <c r="N1767">
        <v>1</v>
      </c>
      <c r="O1767" t="s">
        <v>25</v>
      </c>
    </row>
    <row r="1768" spans="1:15" x14ac:dyDescent="0.35">
      <c r="A1768">
        <v>2767</v>
      </c>
      <c r="B1768" t="s">
        <v>641</v>
      </c>
      <c r="C1768" s="1">
        <v>45597</v>
      </c>
      <c r="D1768" s="1">
        <v>45621</v>
      </c>
      <c r="E1768" s="1">
        <v>45623</v>
      </c>
      <c r="F1768" t="s">
        <v>35</v>
      </c>
      <c r="G1768" t="s">
        <v>39</v>
      </c>
      <c r="H1768" t="s">
        <v>23</v>
      </c>
      <c r="I1768">
        <v>24</v>
      </c>
      <c r="J1768">
        <v>2</v>
      </c>
      <c r="K1768">
        <v>3097</v>
      </c>
      <c r="L1768">
        <v>6194</v>
      </c>
      <c r="M1768" t="s">
        <v>24</v>
      </c>
      <c r="N1768">
        <v>0</v>
      </c>
      <c r="O1768" t="s">
        <v>25</v>
      </c>
    </row>
    <row r="1769" spans="1:15" x14ac:dyDescent="0.35">
      <c r="A1769">
        <v>2768</v>
      </c>
      <c r="B1769" t="s">
        <v>1062</v>
      </c>
      <c r="C1769" s="1">
        <v>45555</v>
      </c>
      <c r="D1769" s="1">
        <v>45609</v>
      </c>
      <c r="E1769" s="1">
        <v>45611</v>
      </c>
      <c r="F1769" t="s">
        <v>35</v>
      </c>
      <c r="G1769" t="s">
        <v>22</v>
      </c>
      <c r="H1769" t="s">
        <v>30</v>
      </c>
      <c r="I1769">
        <v>54</v>
      </c>
      <c r="J1769">
        <v>2</v>
      </c>
      <c r="K1769">
        <v>4032</v>
      </c>
      <c r="L1769">
        <v>8064</v>
      </c>
      <c r="M1769" t="s">
        <v>24</v>
      </c>
      <c r="N1769">
        <v>1</v>
      </c>
      <c r="O1769" t="s">
        <v>31</v>
      </c>
    </row>
    <row r="1770" spans="1:15" x14ac:dyDescent="0.35">
      <c r="A1770">
        <v>2769</v>
      </c>
      <c r="B1770" t="s">
        <v>87</v>
      </c>
      <c r="C1770" s="1">
        <v>45616</v>
      </c>
      <c r="D1770" s="1">
        <v>45658</v>
      </c>
      <c r="E1770" s="1">
        <v>45660</v>
      </c>
      <c r="F1770" t="s">
        <v>35</v>
      </c>
      <c r="G1770" t="s">
        <v>22</v>
      </c>
      <c r="H1770" t="s">
        <v>30</v>
      </c>
      <c r="I1770">
        <v>42</v>
      </c>
      <c r="J1770">
        <v>2</v>
      </c>
      <c r="K1770">
        <v>3013</v>
      </c>
      <c r="L1770">
        <v>6026</v>
      </c>
      <c r="M1770" t="s">
        <v>51</v>
      </c>
      <c r="N1770">
        <v>0</v>
      </c>
      <c r="O1770" t="s">
        <v>31</v>
      </c>
    </row>
    <row r="1771" spans="1:15" x14ac:dyDescent="0.35">
      <c r="A1771">
        <v>2770</v>
      </c>
      <c r="B1771" t="s">
        <v>503</v>
      </c>
      <c r="C1771" s="1">
        <v>45611</v>
      </c>
      <c r="D1771" s="1">
        <v>45620</v>
      </c>
      <c r="E1771" s="1">
        <v>45623</v>
      </c>
      <c r="F1771" t="s">
        <v>35</v>
      </c>
      <c r="G1771" t="s">
        <v>22</v>
      </c>
      <c r="H1771" t="s">
        <v>23</v>
      </c>
      <c r="I1771">
        <v>9</v>
      </c>
      <c r="J1771">
        <v>3</v>
      </c>
      <c r="K1771">
        <v>8122</v>
      </c>
      <c r="L1771">
        <v>24366</v>
      </c>
      <c r="M1771" t="s">
        <v>24</v>
      </c>
      <c r="N1771">
        <v>0</v>
      </c>
      <c r="O1771" t="s">
        <v>25</v>
      </c>
    </row>
    <row r="1772" spans="1:15" x14ac:dyDescent="0.35">
      <c r="A1772">
        <v>2771</v>
      </c>
      <c r="B1772" t="s">
        <v>345</v>
      </c>
      <c r="C1772" s="1">
        <v>45448</v>
      </c>
      <c r="D1772" s="1">
        <v>45474</v>
      </c>
      <c r="E1772" s="1">
        <v>45478</v>
      </c>
      <c r="F1772" t="s">
        <v>35</v>
      </c>
      <c r="G1772" t="s">
        <v>39</v>
      </c>
      <c r="H1772" t="s">
        <v>46</v>
      </c>
      <c r="I1772">
        <v>26</v>
      </c>
      <c r="J1772">
        <v>4</v>
      </c>
      <c r="K1772">
        <v>4377</v>
      </c>
      <c r="L1772">
        <v>17508</v>
      </c>
      <c r="M1772" t="s">
        <v>24</v>
      </c>
      <c r="N1772">
        <v>0</v>
      </c>
      <c r="O1772" t="s">
        <v>25</v>
      </c>
    </row>
    <row r="1773" spans="1:15" x14ac:dyDescent="0.35">
      <c r="A1773">
        <v>2772</v>
      </c>
      <c r="B1773" t="s">
        <v>1112</v>
      </c>
      <c r="C1773" s="1">
        <v>45447</v>
      </c>
      <c r="D1773" s="1">
        <v>45467</v>
      </c>
      <c r="E1773" s="1">
        <v>45470</v>
      </c>
      <c r="F1773" t="s">
        <v>21</v>
      </c>
      <c r="G1773" t="s">
        <v>22</v>
      </c>
      <c r="H1773" t="s">
        <v>30</v>
      </c>
      <c r="I1773">
        <v>20</v>
      </c>
      <c r="J1773">
        <v>3</v>
      </c>
      <c r="K1773">
        <v>6472</v>
      </c>
      <c r="L1773">
        <v>19416</v>
      </c>
      <c r="M1773" t="s">
        <v>51</v>
      </c>
      <c r="N1773">
        <v>0</v>
      </c>
      <c r="O1773" t="s">
        <v>25</v>
      </c>
    </row>
    <row r="1774" spans="1:15" x14ac:dyDescent="0.35">
      <c r="A1774">
        <v>2773</v>
      </c>
      <c r="B1774" t="s">
        <v>1113</v>
      </c>
      <c r="C1774" s="1">
        <v>45430</v>
      </c>
      <c r="D1774" s="1">
        <v>45470</v>
      </c>
      <c r="E1774" s="1">
        <v>45475</v>
      </c>
      <c r="F1774" t="s">
        <v>29</v>
      </c>
      <c r="G1774" t="s">
        <v>39</v>
      </c>
      <c r="H1774" t="s">
        <v>23</v>
      </c>
      <c r="I1774">
        <v>40</v>
      </c>
      <c r="J1774">
        <v>5</v>
      </c>
      <c r="K1774">
        <v>6343</v>
      </c>
      <c r="L1774">
        <v>31715</v>
      </c>
      <c r="M1774" t="s">
        <v>24</v>
      </c>
      <c r="N1774">
        <v>1</v>
      </c>
      <c r="O1774" t="s">
        <v>25</v>
      </c>
    </row>
    <row r="1775" spans="1:15" x14ac:dyDescent="0.35">
      <c r="A1775">
        <v>2774</v>
      </c>
      <c r="B1775" t="s">
        <v>1114</v>
      </c>
      <c r="C1775" s="1">
        <v>45412</v>
      </c>
      <c r="D1775" s="1">
        <v>45422</v>
      </c>
      <c r="E1775" s="1">
        <v>45423</v>
      </c>
      <c r="F1775" t="s">
        <v>38</v>
      </c>
      <c r="G1775" t="s">
        <v>39</v>
      </c>
      <c r="H1775" t="s">
        <v>23</v>
      </c>
      <c r="I1775">
        <v>10</v>
      </c>
      <c r="J1775">
        <v>1</v>
      </c>
      <c r="K1775">
        <v>4199</v>
      </c>
      <c r="L1775">
        <v>4199</v>
      </c>
      <c r="M1775" t="s">
        <v>51</v>
      </c>
      <c r="N1775">
        <v>1</v>
      </c>
      <c r="O1775" t="s">
        <v>31</v>
      </c>
    </row>
    <row r="1776" spans="1:15" x14ac:dyDescent="0.35">
      <c r="A1776">
        <v>2775</v>
      </c>
      <c r="B1776" t="s">
        <v>485</v>
      </c>
      <c r="C1776" s="1">
        <v>45356</v>
      </c>
      <c r="D1776" s="1">
        <v>45375</v>
      </c>
      <c r="E1776" s="1">
        <v>45379</v>
      </c>
      <c r="F1776" t="s">
        <v>29</v>
      </c>
      <c r="G1776" t="s">
        <v>22</v>
      </c>
      <c r="H1776" t="s">
        <v>46</v>
      </c>
      <c r="I1776">
        <v>19</v>
      </c>
      <c r="J1776">
        <v>4</v>
      </c>
      <c r="K1776">
        <v>3529</v>
      </c>
      <c r="L1776">
        <v>14116</v>
      </c>
      <c r="M1776" t="s">
        <v>24</v>
      </c>
      <c r="N1776">
        <v>1</v>
      </c>
      <c r="O1776" t="s">
        <v>31</v>
      </c>
    </row>
    <row r="1777" spans="1:15" x14ac:dyDescent="0.35">
      <c r="A1777">
        <v>2776</v>
      </c>
      <c r="B1777" t="s">
        <v>106</v>
      </c>
      <c r="C1777" s="1">
        <v>45398</v>
      </c>
      <c r="D1777" s="1">
        <v>45401</v>
      </c>
      <c r="E1777" s="1">
        <v>45402</v>
      </c>
      <c r="F1777" t="s">
        <v>35</v>
      </c>
      <c r="G1777" t="s">
        <v>39</v>
      </c>
      <c r="H1777" t="s">
        <v>23</v>
      </c>
      <c r="I1777">
        <v>3</v>
      </c>
      <c r="J1777">
        <v>1</v>
      </c>
      <c r="K1777">
        <v>7095</v>
      </c>
      <c r="L1777">
        <v>7095</v>
      </c>
      <c r="M1777" t="s">
        <v>24</v>
      </c>
      <c r="N1777">
        <v>0</v>
      </c>
      <c r="O1777" t="s">
        <v>25</v>
      </c>
    </row>
    <row r="1778" spans="1:15" x14ac:dyDescent="0.35">
      <c r="A1778">
        <v>2777</v>
      </c>
      <c r="B1778" t="s">
        <v>531</v>
      </c>
      <c r="C1778" s="1">
        <v>45438</v>
      </c>
      <c r="D1778" s="1">
        <v>45462</v>
      </c>
      <c r="E1778" s="1">
        <v>45467</v>
      </c>
      <c r="F1778" t="s">
        <v>29</v>
      </c>
      <c r="G1778" t="s">
        <v>22</v>
      </c>
      <c r="H1778" t="s">
        <v>30</v>
      </c>
      <c r="I1778">
        <v>24</v>
      </c>
      <c r="J1778">
        <v>5</v>
      </c>
      <c r="K1778">
        <v>8280</v>
      </c>
      <c r="L1778">
        <v>41400</v>
      </c>
      <c r="M1778" t="s">
        <v>51</v>
      </c>
      <c r="N1778">
        <v>0</v>
      </c>
      <c r="O1778" t="s">
        <v>31</v>
      </c>
    </row>
    <row r="1779" spans="1:15" x14ac:dyDescent="0.35">
      <c r="A1779">
        <v>2778</v>
      </c>
      <c r="B1779" t="s">
        <v>1115</v>
      </c>
      <c r="C1779" s="1">
        <v>45428</v>
      </c>
      <c r="D1779" s="1">
        <v>45433</v>
      </c>
      <c r="E1779" s="1">
        <v>45438</v>
      </c>
      <c r="F1779" t="s">
        <v>21</v>
      </c>
      <c r="G1779" t="s">
        <v>39</v>
      </c>
      <c r="H1779" t="s">
        <v>46</v>
      </c>
      <c r="I1779">
        <v>5</v>
      </c>
      <c r="J1779">
        <v>5</v>
      </c>
      <c r="K1779">
        <v>3216</v>
      </c>
      <c r="L1779">
        <v>16080</v>
      </c>
      <c r="M1779" t="s">
        <v>51</v>
      </c>
      <c r="N1779">
        <v>0</v>
      </c>
      <c r="O1779" t="s">
        <v>25</v>
      </c>
    </row>
    <row r="1780" spans="1:15" x14ac:dyDescent="0.35">
      <c r="A1780">
        <v>2779</v>
      </c>
      <c r="B1780" t="s">
        <v>716</v>
      </c>
      <c r="C1780" s="1">
        <v>45453</v>
      </c>
      <c r="D1780" s="1">
        <v>45456</v>
      </c>
      <c r="E1780" s="1">
        <v>45457</v>
      </c>
      <c r="F1780" t="s">
        <v>60</v>
      </c>
      <c r="G1780" t="s">
        <v>39</v>
      </c>
      <c r="H1780" t="s">
        <v>23</v>
      </c>
      <c r="I1780">
        <v>3</v>
      </c>
      <c r="J1780">
        <v>1</v>
      </c>
      <c r="K1780">
        <v>7737</v>
      </c>
      <c r="L1780">
        <v>7737</v>
      </c>
      <c r="M1780" t="s">
        <v>24</v>
      </c>
      <c r="N1780">
        <v>0</v>
      </c>
      <c r="O1780" t="s">
        <v>25</v>
      </c>
    </row>
    <row r="1781" spans="1:15" x14ac:dyDescent="0.35">
      <c r="A1781">
        <v>2780</v>
      </c>
      <c r="B1781" t="s">
        <v>350</v>
      </c>
      <c r="C1781" s="1">
        <v>45391</v>
      </c>
      <c r="D1781" s="1">
        <v>45449</v>
      </c>
      <c r="E1781" s="1">
        <v>45450</v>
      </c>
      <c r="F1781" t="s">
        <v>29</v>
      </c>
      <c r="G1781" t="s">
        <v>39</v>
      </c>
      <c r="H1781" t="s">
        <v>23</v>
      </c>
      <c r="I1781">
        <v>58</v>
      </c>
      <c r="J1781">
        <v>1</v>
      </c>
      <c r="K1781">
        <v>8104</v>
      </c>
      <c r="L1781">
        <v>8104</v>
      </c>
      <c r="M1781" t="s">
        <v>51</v>
      </c>
      <c r="N1781">
        <v>1</v>
      </c>
      <c r="O1781" t="s">
        <v>31</v>
      </c>
    </row>
    <row r="1782" spans="1:15" x14ac:dyDescent="0.35">
      <c r="A1782">
        <v>2781</v>
      </c>
      <c r="B1782" t="s">
        <v>579</v>
      </c>
      <c r="C1782" s="1">
        <v>45629</v>
      </c>
      <c r="D1782" s="1">
        <v>45656</v>
      </c>
      <c r="E1782" s="1">
        <v>45657</v>
      </c>
      <c r="F1782" t="s">
        <v>38</v>
      </c>
      <c r="G1782" t="s">
        <v>22</v>
      </c>
      <c r="H1782" t="s">
        <v>46</v>
      </c>
      <c r="I1782">
        <v>27</v>
      </c>
      <c r="J1782">
        <v>1</v>
      </c>
      <c r="K1782">
        <v>6586</v>
      </c>
      <c r="L1782">
        <v>6586</v>
      </c>
      <c r="M1782" t="s">
        <v>24</v>
      </c>
      <c r="N1782">
        <v>1</v>
      </c>
      <c r="O1782" t="s">
        <v>25</v>
      </c>
    </row>
    <row r="1783" spans="1:15" x14ac:dyDescent="0.35">
      <c r="A1783">
        <v>2782</v>
      </c>
      <c r="B1783" t="s">
        <v>1116</v>
      </c>
      <c r="C1783" s="1">
        <v>45598</v>
      </c>
      <c r="D1783" s="1">
        <v>45614</v>
      </c>
      <c r="E1783" s="1">
        <v>45619</v>
      </c>
      <c r="F1783" t="s">
        <v>21</v>
      </c>
      <c r="G1783" t="s">
        <v>39</v>
      </c>
      <c r="H1783" t="s">
        <v>46</v>
      </c>
      <c r="I1783">
        <v>16</v>
      </c>
      <c r="J1783">
        <v>5</v>
      </c>
      <c r="K1783">
        <v>3165</v>
      </c>
      <c r="L1783">
        <v>15825</v>
      </c>
      <c r="M1783" t="s">
        <v>24</v>
      </c>
      <c r="N1783">
        <v>1</v>
      </c>
      <c r="O1783" t="s">
        <v>31</v>
      </c>
    </row>
    <row r="1784" spans="1:15" x14ac:dyDescent="0.35">
      <c r="A1784">
        <v>2783</v>
      </c>
      <c r="B1784" t="s">
        <v>84</v>
      </c>
      <c r="C1784" s="1">
        <v>45432</v>
      </c>
      <c r="D1784" s="1">
        <v>45481</v>
      </c>
      <c r="E1784" s="1">
        <v>45483</v>
      </c>
      <c r="F1784" t="s">
        <v>60</v>
      </c>
      <c r="G1784" t="s">
        <v>22</v>
      </c>
      <c r="H1784" t="s">
        <v>46</v>
      </c>
      <c r="I1784">
        <v>49</v>
      </c>
      <c r="J1784">
        <v>2</v>
      </c>
      <c r="K1784">
        <v>4708</v>
      </c>
      <c r="L1784">
        <v>9416</v>
      </c>
      <c r="M1784" t="s">
        <v>24</v>
      </c>
      <c r="N1784">
        <v>1</v>
      </c>
      <c r="O1784" t="s">
        <v>25</v>
      </c>
    </row>
    <row r="1785" spans="1:15" x14ac:dyDescent="0.35">
      <c r="A1785">
        <v>2784</v>
      </c>
      <c r="B1785" t="s">
        <v>789</v>
      </c>
      <c r="C1785" s="1">
        <v>45374</v>
      </c>
      <c r="D1785" s="1">
        <v>45389</v>
      </c>
      <c r="E1785" s="1">
        <v>45390</v>
      </c>
      <c r="F1785" t="s">
        <v>21</v>
      </c>
      <c r="G1785" t="s">
        <v>39</v>
      </c>
      <c r="H1785" t="s">
        <v>30</v>
      </c>
      <c r="I1785">
        <v>15</v>
      </c>
      <c r="J1785">
        <v>1</v>
      </c>
      <c r="K1785">
        <v>8913</v>
      </c>
      <c r="L1785">
        <v>8913</v>
      </c>
      <c r="M1785" t="s">
        <v>24</v>
      </c>
      <c r="N1785">
        <v>0</v>
      </c>
      <c r="O1785" t="s">
        <v>31</v>
      </c>
    </row>
    <row r="1786" spans="1:15" x14ac:dyDescent="0.35">
      <c r="A1786">
        <v>2785</v>
      </c>
      <c r="B1786" t="s">
        <v>605</v>
      </c>
      <c r="C1786" s="1">
        <v>45468</v>
      </c>
      <c r="D1786" s="1">
        <v>45503</v>
      </c>
      <c r="E1786" s="1">
        <v>45507</v>
      </c>
      <c r="F1786" t="s">
        <v>35</v>
      </c>
      <c r="G1786" t="s">
        <v>39</v>
      </c>
      <c r="H1786" t="s">
        <v>30</v>
      </c>
      <c r="I1786">
        <v>35</v>
      </c>
      <c r="J1786">
        <v>4</v>
      </c>
      <c r="K1786">
        <v>3579</v>
      </c>
      <c r="L1786">
        <v>14316</v>
      </c>
      <c r="M1786" t="s">
        <v>24</v>
      </c>
      <c r="N1786">
        <v>1</v>
      </c>
      <c r="O1786" t="s">
        <v>25</v>
      </c>
    </row>
    <row r="1787" spans="1:15" x14ac:dyDescent="0.35">
      <c r="A1787">
        <v>2786</v>
      </c>
      <c r="B1787" t="s">
        <v>1117</v>
      </c>
      <c r="C1787" s="1">
        <v>45489</v>
      </c>
      <c r="D1787" s="1">
        <v>45501</v>
      </c>
      <c r="E1787" s="1">
        <v>45506</v>
      </c>
      <c r="F1787" t="s">
        <v>60</v>
      </c>
      <c r="G1787" t="s">
        <v>39</v>
      </c>
      <c r="H1787" t="s">
        <v>23</v>
      </c>
      <c r="I1787">
        <v>12</v>
      </c>
      <c r="J1787">
        <v>5</v>
      </c>
      <c r="K1787">
        <v>2727</v>
      </c>
      <c r="L1787">
        <v>13635</v>
      </c>
      <c r="M1787" t="s">
        <v>24</v>
      </c>
      <c r="N1787">
        <v>1</v>
      </c>
      <c r="O1787" t="s">
        <v>31</v>
      </c>
    </row>
    <row r="1788" spans="1:15" x14ac:dyDescent="0.35">
      <c r="A1788">
        <v>2787</v>
      </c>
      <c r="B1788" t="s">
        <v>208</v>
      </c>
      <c r="C1788" s="1">
        <v>45403</v>
      </c>
      <c r="D1788" s="1">
        <v>45444</v>
      </c>
      <c r="E1788" s="1">
        <v>45447</v>
      </c>
      <c r="F1788" t="s">
        <v>38</v>
      </c>
      <c r="G1788" t="s">
        <v>22</v>
      </c>
      <c r="H1788" t="s">
        <v>23</v>
      </c>
      <c r="I1788">
        <v>41</v>
      </c>
      <c r="J1788">
        <v>3</v>
      </c>
      <c r="K1788">
        <v>2648</v>
      </c>
      <c r="L1788">
        <v>7944</v>
      </c>
      <c r="M1788" t="s">
        <v>51</v>
      </c>
      <c r="N1788">
        <v>1</v>
      </c>
      <c r="O1788" t="s">
        <v>25</v>
      </c>
    </row>
    <row r="1789" spans="1:15" x14ac:dyDescent="0.35">
      <c r="A1789">
        <v>2788</v>
      </c>
      <c r="B1789" t="s">
        <v>173</v>
      </c>
      <c r="C1789" s="1">
        <v>45347</v>
      </c>
      <c r="D1789" s="1">
        <v>45400</v>
      </c>
      <c r="E1789" s="1">
        <v>45403</v>
      </c>
      <c r="F1789" t="s">
        <v>60</v>
      </c>
      <c r="G1789" t="s">
        <v>22</v>
      </c>
      <c r="H1789" t="s">
        <v>46</v>
      </c>
      <c r="I1789">
        <v>53</v>
      </c>
      <c r="J1789">
        <v>3</v>
      </c>
      <c r="K1789">
        <v>3569</v>
      </c>
      <c r="L1789">
        <v>10707</v>
      </c>
      <c r="M1789" t="s">
        <v>51</v>
      </c>
      <c r="N1789">
        <v>1</v>
      </c>
      <c r="O1789" t="s">
        <v>25</v>
      </c>
    </row>
    <row r="1790" spans="1:15" x14ac:dyDescent="0.35">
      <c r="A1790">
        <v>2789</v>
      </c>
      <c r="B1790" t="s">
        <v>1118</v>
      </c>
      <c r="C1790" s="1">
        <v>45470</v>
      </c>
      <c r="D1790" s="1">
        <v>45514</v>
      </c>
      <c r="E1790" s="1">
        <v>45518</v>
      </c>
      <c r="F1790" t="s">
        <v>38</v>
      </c>
      <c r="G1790" t="s">
        <v>22</v>
      </c>
      <c r="H1790" t="s">
        <v>23</v>
      </c>
      <c r="I1790">
        <v>44</v>
      </c>
      <c r="J1790">
        <v>4</v>
      </c>
      <c r="K1790">
        <v>7763</v>
      </c>
      <c r="L1790">
        <v>31052</v>
      </c>
      <c r="M1790" t="s">
        <v>51</v>
      </c>
      <c r="N1790">
        <v>0</v>
      </c>
      <c r="O1790" t="s">
        <v>31</v>
      </c>
    </row>
    <row r="1791" spans="1:15" x14ac:dyDescent="0.35">
      <c r="A1791">
        <v>2790</v>
      </c>
      <c r="B1791" t="s">
        <v>823</v>
      </c>
      <c r="C1791" s="1">
        <v>45477</v>
      </c>
      <c r="D1791" s="1">
        <v>45503</v>
      </c>
      <c r="E1791" s="1">
        <v>45505</v>
      </c>
      <c r="F1791" t="s">
        <v>35</v>
      </c>
      <c r="G1791" t="s">
        <v>22</v>
      </c>
      <c r="H1791" t="s">
        <v>23</v>
      </c>
      <c r="I1791">
        <v>26</v>
      </c>
      <c r="J1791">
        <v>2</v>
      </c>
      <c r="K1791">
        <v>7227</v>
      </c>
      <c r="L1791">
        <v>14454</v>
      </c>
      <c r="M1791" t="s">
        <v>24</v>
      </c>
      <c r="N1791">
        <v>1</v>
      </c>
      <c r="O1791" t="s">
        <v>25</v>
      </c>
    </row>
    <row r="1792" spans="1:15" x14ac:dyDescent="0.35">
      <c r="A1792">
        <v>2791</v>
      </c>
      <c r="B1792" t="s">
        <v>1119</v>
      </c>
      <c r="C1792" s="1">
        <v>45509</v>
      </c>
      <c r="D1792" s="1">
        <v>45556</v>
      </c>
      <c r="E1792" s="1">
        <v>45557</v>
      </c>
      <c r="F1792" t="s">
        <v>38</v>
      </c>
      <c r="G1792" t="s">
        <v>22</v>
      </c>
      <c r="H1792" t="s">
        <v>46</v>
      </c>
      <c r="I1792">
        <v>47</v>
      </c>
      <c r="J1792">
        <v>1</v>
      </c>
      <c r="K1792">
        <v>3863</v>
      </c>
      <c r="L1792">
        <v>3863</v>
      </c>
      <c r="M1792" t="s">
        <v>51</v>
      </c>
      <c r="N1792">
        <v>1</v>
      </c>
      <c r="O1792" t="s">
        <v>31</v>
      </c>
    </row>
    <row r="1793" spans="1:15" x14ac:dyDescent="0.35">
      <c r="A1793">
        <v>2792</v>
      </c>
      <c r="B1793" t="s">
        <v>404</v>
      </c>
      <c r="C1793" s="1">
        <v>45607</v>
      </c>
      <c r="D1793" s="1">
        <v>45641</v>
      </c>
      <c r="E1793" s="1">
        <v>45646</v>
      </c>
      <c r="F1793" t="s">
        <v>21</v>
      </c>
      <c r="G1793" t="s">
        <v>39</v>
      </c>
      <c r="H1793" t="s">
        <v>30</v>
      </c>
      <c r="I1793">
        <v>34</v>
      </c>
      <c r="J1793">
        <v>5</v>
      </c>
      <c r="K1793">
        <v>7008</v>
      </c>
      <c r="L1793">
        <v>35040</v>
      </c>
      <c r="M1793" t="s">
        <v>24</v>
      </c>
      <c r="N1793">
        <v>1</v>
      </c>
      <c r="O1793" t="s">
        <v>31</v>
      </c>
    </row>
    <row r="1794" spans="1:15" x14ac:dyDescent="0.35">
      <c r="A1794">
        <v>2793</v>
      </c>
      <c r="B1794" t="s">
        <v>1120</v>
      </c>
      <c r="C1794" s="1">
        <v>45508</v>
      </c>
      <c r="D1794" s="1">
        <v>45531</v>
      </c>
      <c r="E1794" s="1">
        <v>45532</v>
      </c>
      <c r="F1794" t="s">
        <v>29</v>
      </c>
      <c r="G1794" t="s">
        <v>39</v>
      </c>
      <c r="H1794" t="s">
        <v>30</v>
      </c>
      <c r="I1794">
        <v>23</v>
      </c>
      <c r="J1794">
        <v>1</v>
      </c>
      <c r="K1794">
        <v>4255</v>
      </c>
      <c r="L1794">
        <v>4255</v>
      </c>
      <c r="M1794" t="s">
        <v>51</v>
      </c>
      <c r="N1794">
        <v>0</v>
      </c>
      <c r="O1794" t="s">
        <v>25</v>
      </c>
    </row>
    <row r="1795" spans="1:15" x14ac:dyDescent="0.35">
      <c r="A1795">
        <v>2794</v>
      </c>
      <c r="B1795" t="s">
        <v>723</v>
      </c>
      <c r="C1795" s="1">
        <v>45411</v>
      </c>
      <c r="D1795" s="1">
        <v>45442</v>
      </c>
      <c r="E1795" s="1">
        <v>45447</v>
      </c>
      <c r="F1795" t="s">
        <v>21</v>
      </c>
      <c r="G1795" t="s">
        <v>22</v>
      </c>
      <c r="H1795" t="s">
        <v>30</v>
      </c>
      <c r="I1795">
        <v>31</v>
      </c>
      <c r="J1795">
        <v>5</v>
      </c>
      <c r="K1795">
        <v>3019</v>
      </c>
      <c r="L1795">
        <v>15095</v>
      </c>
      <c r="M1795" t="s">
        <v>24</v>
      </c>
      <c r="N1795">
        <v>1</v>
      </c>
      <c r="O1795" t="s">
        <v>25</v>
      </c>
    </row>
    <row r="1796" spans="1:15" x14ac:dyDescent="0.35">
      <c r="A1796">
        <v>2795</v>
      </c>
      <c r="B1796" t="s">
        <v>494</v>
      </c>
      <c r="C1796" s="1">
        <v>45466</v>
      </c>
      <c r="D1796" s="1">
        <v>45516</v>
      </c>
      <c r="E1796" s="1">
        <v>45519</v>
      </c>
      <c r="F1796" t="s">
        <v>21</v>
      </c>
      <c r="G1796" t="s">
        <v>22</v>
      </c>
      <c r="H1796" t="s">
        <v>23</v>
      </c>
      <c r="I1796">
        <v>50</v>
      </c>
      <c r="J1796">
        <v>3</v>
      </c>
      <c r="K1796">
        <v>7963</v>
      </c>
      <c r="L1796">
        <v>23889</v>
      </c>
      <c r="M1796" t="s">
        <v>24</v>
      </c>
      <c r="N1796">
        <v>1</v>
      </c>
      <c r="O1796" t="s">
        <v>25</v>
      </c>
    </row>
    <row r="1797" spans="1:15" x14ac:dyDescent="0.35">
      <c r="A1797">
        <v>2796</v>
      </c>
      <c r="B1797" t="s">
        <v>517</v>
      </c>
      <c r="C1797" s="1">
        <v>45314</v>
      </c>
      <c r="D1797" s="1">
        <v>45334</v>
      </c>
      <c r="E1797" s="1">
        <v>45335</v>
      </c>
      <c r="F1797" t="s">
        <v>60</v>
      </c>
      <c r="G1797" t="s">
        <v>22</v>
      </c>
      <c r="H1797" t="s">
        <v>46</v>
      </c>
      <c r="I1797">
        <v>20</v>
      </c>
      <c r="J1797">
        <v>1</v>
      </c>
      <c r="K1797">
        <v>6044</v>
      </c>
      <c r="L1797">
        <v>6044</v>
      </c>
      <c r="M1797" t="s">
        <v>24</v>
      </c>
      <c r="N1797">
        <v>0</v>
      </c>
      <c r="O1797" t="s">
        <v>25</v>
      </c>
    </row>
    <row r="1798" spans="1:15" x14ac:dyDescent="0.35">
      <c r="A1798">
        <v>2797</v>
      </c>
      <c r="B1798" t="s">
        <v>340</v>
      </c>
      <c r="C1798" s="1">
        <v>45504</v>
      </c>
      <c r="D1798" s="1">
        <v>45516</v>
      </c>
      <c r="E1798" s="1">
        <v>45520</v>
      </c>
      <c r="F1798" t="s">
        <v>35</v>
      </c>
      <c r="G1798" t="s">
        <v>22</v>
      </c>
      <c r="H1798" t="s">
        <v>30</v>
      </c>
      <c r="I1798">
        <v>12</v>
      </c>
      <c r="J1798">
        <v>4</v>
      </c>
      <c r="K1798">
        <v>4822</v>
      </c>
      <c r="L1798">
        <v>19288</v>
      </c>
      <c r="M1798" t="s">
        <v>24</v>
      </c>
      <c r="N1798">
        <v>0</v>
      </c>
      <c r="O1798" t="s">
        <v>31</v>
      </c>
    </row>
    <row r="1799" spans="1:15" x14ac:dyDescent="0.35">
      <c r="A1799">
        <v>2798</v>
      </c>
      <c r="B1799" t="s">
        <v>532</v>
      </c>
      <c r="C1799" s="1">
        <v>45526</v>
      </c>
      <c r="D1799" s="1">
        <v>45549</v>
      </c>
      <c r="E1799" s="1">
        <v>45551</v>
      </c>
      <c r="F1799" t="s">
        <v>29</v>
      </c>
      <c r="G1799" t="s">
        <v>39</v>
      </c>
      <c r="H1799" t="s">
        <v>23</v>
      </c>
      <c r="I1799">
        <v>23</v>
      </c>
      <c r="J1799">
        <v>2</v>
      </c>
      <c r="K1799">
        <v>8996</v>
      </c>
      <c r="L1799">
        <v>17992</v>
      </c>
      <c r="M1799" t="s">
        <v>24</v>
      </c>
      <c r="N1799">
        <v>0</v>
      </c>
      <c r="O1799" t="s">
        <v>25</v>
      </c>
    </row>
    <row r="1800" spans="1:15" x14ac:dyDescent="0.35">
      <c r="A1800">
        <v>2799</v>
      </c>
      <c r="B1800" t="s">
        <v>617</v>
      </c>
      <c r="C1800" s="1">
        <v>45304</v>
      </c>
      <c r="D1800" s="1">
        <v>45308</v>
      </c>
      <c r="E1800" s="1">
        <v>45312</v>
      </c>
      <c r="F1800" t="s">
        <v>38</v>
      </c>
      <c r="G1800" t="s">
        <v>22</v>
      </c>
      <c r="H1800" t="s">
        <v>46</v>
      </c>
      <c r="I1800">
        <v>4</v>
      </c>
      <c r="J1800">
        <v>4</v>
      </c>
      <c r="K1800">
        <v>3602</v>
      </c>
      <c r="L1800">
        <v>14408</v>
      </c>
      <c r="M1800" t="s">
        <v>51</v>
      </c>
      <c r="N1800">
        <v>0</v>
      </c>
      <c r="O1800" t="s">
        <v>25</v>
      </c>
    </row>
    <row r="1801" spans="1:15" x14ac:dyDescent="0.35">
      <c r="A1801">
        <v>2800</v>
      </c>
      <c r="B1801" t="s">
        <v>36</v>
      </c>
      <c r="C1801" s="1">
        <v>45392</v>
      </c>
      <c r="D1801" s="1">
        <v>45415</v>
      </c>
      <c r="E1801" s="1">
        <v>45417</v>
      </c>
      <c r="F1801" t="s">
        <v>60</v>
      </c>
      <c r="G1801" t="s">
        <v>22</v>
      </c>
      <c r="H1801" t="s">
        <v>30</v>
      </c>
      <c r="I1801">
        <v>23</v>
      </c>
      <c r="J1801">
        <v>2</v>
      </c>
      <c r="K1801">
        <v>3097</v>
      </c>
      <c r="L1801">
        <v>6194</v>
      </c>
      <c r="M1801" t="s">
        <v>24</v>
      </c>
      <c r="N1801">
        <v>1</v>
      </c>
      <c r="O1801" t="s">
        <v>25</v>
      </c>
    </row>
    <row r="1802" spans="1:15" x14ac:dyDescent="0.35">
      <c r="A1802">
        <v>2801</v>
      </c>
      <c r="B1802" t="s">
        <v>1121</v>
      </c>
      <c r="C1802" s="1">
        <v>45315</v>
      </c>
      <c r="D1802" s="1">
        <v>45363</v>
      </c>
      <c r="E1802" s="1">
        <v>45364</v>
      </c>
      <c r="F1802" t="s">
        <v>35</v>
      </c>
      <c r="G1802" t="s">
        <v>22</v>
      </c>
      <c r="H1802" t="s">
        <v>30</v>
      </c>
      <c r="I1802">
        <v>48</v>
      </c>
      <c r="J1802">
        <v>1</v>
      </c>
      <c r="K1802">
        <v>8255</v>
      </c>
      <c r="L1802">
        <v>8255</v>
      </c>
      <c r="M1802" t="s">
        <v>51</v>
      </c>
      <c r="N1802">
        <v>1</v>
      </c>
      <c r="O1802" t="s">
        <v>31</v>
      </c>
    </row>
    <row r="1803" spans="1:15" x14ac:dyDescent="0.35">
      <c r="A1803">
        <v>2802</v>
      </c>
      <c r="B1803" t="s">
        <v>735</v>
      </c>
      <c r="C1803" s="1">
        <v>45655</v>
      </c>
      <c r="D1803" s="1">
        <v>45710</v>
      </c>
      <c r="E1803" s="1">
        <v>45711</v>
      </c>
      <c r="F1803" t="s">
        <v>29</v>
      </c>
      <c r="G1803" t="s">
        <v>22</v>
      </c>
      <c r="H1803" t="s">
        <v>46</v>
      </c>
      <c r="I1803">
        <v>55</v>
      </c>
      <c r="J1803">
        <v>1</v>
      </c>
      <c r="K1803">
        <v>5773</v>
      </c>
      <c r="L1803">
        <v>5773</v>
      </c>
      <c r="M1803" t="s">
        <v>24</v>
      </c>
      <c r="N1803">
        <v>1</v>
      </c>
      <c r="O1803" t="s">
        <v>25</v>
      </c>
    </row>
    <row r="1804" spans="1:15" x14ac:dyDescent="0.35">
      <c r="A1804">
        <v>2803</v>
      </c>
      <c r="B1804" t="s">
        <v>874</v>
      </c>
      <c r="C1804" s="1">
        <v>45302</v>
      </c>
      <c r="D1804" s="1">
        <v>45350</v>
      </c>
      <c r="E1804" s="1">
        <v>45352</v>
      </c>
      <c r="F1804" t="s">
        <v>21</v>
      </c>
      <c r="G1804" t="s">
        <v>39</v>
      </c>
      <c r="H1804" t="s">
        <v>23</v>
      </c>
      <c r="I1804">
        <v>48</v>
      </c>
      <c r="J1804">
        <v>2</v>
      </c>
      <c r="K1804">
        <v>6549</v>
      </c>
      <c r="L1804">
        <v>13098</v>
      </c>
      <c r="M1804" t="s">
        <v>24</v>
      </c>
      <c r="N1804">
        <v>1</v>
      </c>
      <c r="O1804" t="s">
        <v>31</v>
      </c>
    </row>
    <row r="1805" spans="1:15" x14ac:dyDescent="0.35">
      <c r="A1805">
        <v>2804</v>
      </c>
      <c r="B1805" t="s">
        <v>546</v>
      </c>
      <c r="C1805" s="1">
        <v>45564</v>
      </c>
      <c r="D1805" s="1">
        <v>45565</v>
      </c>
      <c r="E1805" s="1">
        <v>45568</v>
      </c>
      <c r="F1805" t="s">
        <v>35</v>
      </c>
      <c r="G1805" t="s">
        <v>39</v>
      </c>
      <c r="H1805" t="s">
        <v>23</v>
      </c>
      <c r="I1805">
        <v>1</v>
      </c>
      <c r="J1805">
        <v>3</v>
      </c>
      <c r="K1805">
        <v>8281</v>
      </c>
      <c r="L1805">
        <v>24843</v>
      </c>
      <c r="M1805" t="s">
        <v>24</v>
      </c>
      <c r="N1805">
        <v>1</v>
      </c>
      <c r="O1805" t="s">
        <v>25</v>
      </c>
    </row>
    <row r="1806" spans="1:15" x14ac:dyDescent="0.35">
      <c r="A1806">
        <v>2805</v>
      </c>
      <c r="B1806" t="s">
        <v>304</v>
      </c>
      <c r="C1806" s="1">
        <v>45572</v>
      </c>
      <c r="D1806" s="1">
        <v>45626</v>
      </c>
      <c r="E1806" s="1">
        <v>45631</v>
      </c>
      <c r="F1806" t="s">
        <v>35</v>
      </c>
      <c r="G1806" t="s">
        <v>22</v>
      </c>
      <c r="H1806" t="s">
        <v>30</v>
      </c>
      <c r="I1806">
        <v>54</v>
      </c>
      <c r="J1806">
        <v>5</v>
      </c>
      <c r="K1806">
        <v>5105</v>
      </c>
      <c r="L1806">
        <v>25525</v>
      </c>
      <c r="M1806" t="s">
        <v>51</v>
      </c>
      <c r="N1806">
        <v>1</v>
      </c>
      <c r="O1806" t="s">
        <v>31</v>
      </c>
    </row>
    <row r="1807" spans="1:15" x14ac:dyDescent="0.35">
      <c r="A1807">
        <v>2806</v>
      </c>
      <c r="B1807" t="s">
        <v>293</v>
      </c>
      <c r="C1807" s="1">
        <v>45385</v>
      </c>
      <c r="D1807" s="1">
        <v>45410</v>
      </c>
      <c r="E1807" s="1">
        <v>45414</v>
      </c>
      <c r="F1807" t="s">
        <v>35</v>
      </c>
      <c r="G1807" t="s">
        <v>39</v>
      </c>
      <c r="H1807" t="s">
        <v>46</v>
      </c>
      <c r="I1807">
        <v>25</v>
      </c>
      <c r="J1807">
        <v>4</v>
      </c>
      <c r="K1807">
        <v>8756</v>
      </c>
      <c r="L1807">
        <v>35024</v>
      </c>
      <c r="M1807" t="s">
        <v>24</v>
      </c>
      <c r="N1807">
        <v>0</v>
      </c>
      <c r="O1807" t="s">
        <v>25</v>
      </c>
    </row>
    <row r="1808" spans="1:15" x14ac:dyDescent="0.35">
      <c r="A1808">
        <v>2807</v>
      </c>
      <c r="B1808" t="s">
        <v>1122</v>
      </c>
      <c r="C1808" s="1">
        <v>45492</v>
      </c>
      <c r="D1808" s="1">
        <v>45494</v>
      </c>
      <c r="E1808" s="1">
        <v>45498</v>
      </c>
      <c r="F1808" t="s">
        <v>21</v>
      </c>
      <c r="G1808" t="s">
        <v>39</v>
      </c>
      <c r="H1808" t="s">
        <v>23</v>
      </c>
      <c r="I1808">
        <v>2</v>
      </c>
      <c r="J1808">
        <v>4</v>
      </c>
      <c r="K1808">
        <v>4688</v>
      </c>
      <c r="L1808">
        <v>18752</v>
      </c>
      <c r="M1808" t="s">
        <v>51</v>
      </c>
      <c r="N1808">
        <v>1</v>
      </c>
      <c r="O1808" t="s">
        <v>25</v>
      </c>
    </row>
    <row r="1809" spans="1:15" x14ac:dyDescent="0.35">
      <c r="A1809">
        <v>2808</v>
      </c>
      <c r="B1809" t="s">
        <v>924</v>
      </c>
      <c r="C1809" s="1">
        <v>45312</v>
      </c>
      <c r="D1809" s="1">
        <v>45342</v>
      </c>
      <c r="E1809" s="1">
        <v>45346</v>
      </c>
      <c r="F1809" t="s">
        <v>38</v>
      </c>
      <c r="G1809" t="s">
        <v>22</v>
      </c>
      <c r="H1809" t="s">
        <v>46</v>
      </c>
      <c r="I1809">
        <v>30</v>
      </c>
      <c r="J1809">
        <v>4</v>
      </c>
      <c r="K1809">
        <v>8520</v>
      </c>
      <c r="L1809">
        <v>34080</v>
      </c>
      <c r="M1809" t="s">
        <v>24</v>
      </c>
      <c r="N1809">
        <v>0</v>
      </c>
      <c r="O1809" t="s">
        <v>31</v>
      </c>
    </row>
    <row r="1810" spans="1:15" x14ac:dyDescent="0.35">
      <c r="A1810">
        <v>2809</v>
      </c>
      <c r="B1810" t="s">
        <v>369</v>
      </c>
      <c r="C1810" s="1">
        <v>45631</v>
      </c>
      <c r="D1810" s="1">
        <v>45634</v>
      </c>
      <c r="E1810" s="1">
        <v>45635</v>
      </c>
      <c r="F1810" t="s">
        <v>60</v>
      </c>
      <c r="G1810" t="s">
        <v>22</v>
      </c>
      <c r="H1810" t="s">
        <v>46</v>
      </c>
      <c r="I1810">
        <v>3</v>
      </c>
      <c r="J1810">
        <v>1</v>
      </c>
      <c r="K1810">
        <v>7325</v>
      </c>
      <c r="L1810">
        <v>7325</v>
      </c>
      <c r="M1810" t="s">
        <v>51</v>
      </c>
      <c r="N1810">
        <v>0</v>
      </c>
      <c r="O1810" t="s">
        <v>25</v>
      </c>
    </row>
    <row r="1811" spans="1:15" x14ac:dyDescent="0.35">
      <c r="A1811">
        <v>2810</v>
      </c>
      <c r="B1811" t="s">
        <v>56</v>
      </c>
      <c r="C1811" s="1">
        <v>45502</v>
      </c>
      <c r="D1811" s="1">
        <v>45560</v>
      </c>
      <c r="E1811" s="1">
        <v>45564</v>
      </c>
      <c r="F1811" t="s">
        <v>38</v>
      </c>
      <c r="G1811" t="s">
        <v>39</v>
      </c>
      <c r="H1811" t="s">
        <v>30</v>
      </c>
      <c r="I1811">
        <v>58</v>
      </c>
      <c r="J1811">
        <v>4</v>
      </c>
      <c r="K1811">
        <v>3088</v>
      </c>
      <c r="L1811">
        <v>12352</v>
      </c>
      <c r="M1811" t="s">
        <v>51</v>
      </c>
      <c r="N1811">
        <v>1</v>
      </c>
      <c r="O1811" t="s">
        <v>25</v>
      </c>
    </row>
    <row r="1812" spans="1:15" x14ac:dyDescent="0.35">
      <c r="A1812">
        <v>2811</v>
      </c>
      <c r="B1812" t="s">
        <v>538</v>
      </c>
      <c r="C1812" s="1">
        <v>45431</v>
      </c>
      <c r="D1812" s="1">
        <v>45452</v>
      </c>
      <c r="E1812" s="1">
        <v>45457</v>
      </c>
      <c r="F1812" t="s">
        <v>29</v>
      </c>
      <c r="G1812" t="s">
        <v>39</v>
      </c>
      <c r="H1812" t="s">
        <v>46</v>
      </c>
      <c r="I1812">
        <v>21</v>
      </c>
      <c r="J1812">
        <v>5</v>
      </c>
      <c r="K1812">
        <v>6972</v>
      </c>
      <c r="L1812">
        <v>34860</v>
      </c>
      <c r="M1812" t="s">
        <v>51</v>
      </c>
      <c r="N1812">
        <v>0</v>
      </c>
      <c r="O1812" t="s">
        <v>25</v>
      </c>
    </row>
    <row r="1813" spans="1:15" x14ac:dyDescent="0.35">
      <c r="A1813">
        <v>2812</v>
      </c>
      <c r="B1813" t="s">
        <v>1123</v>
      </c>
      <c r="C1813" s="1">
        <v>45584</v>
      </c>
      <c r="D1813" s="1">
        <v>45609</v>
      </c>
      <c r="E1813" s="1">
        <v>45614</v>
      </c>
      <c r="F1813" t="s">
        <v>60</v>
      </c>
      <c r="G1813" t="s">
        <v>39</v>
      </c>
      <c r="H1813" t="s">
        <v>46</v>
      </c>
      <c r="I1813">
        <v>25</v>
      </c>
      <c r="J1813">
        <v>5</v>
      </c>
      <c r="K1813">
        <v>3907</v>
      </c>
      <c r="L1813">
        <v>19535</v>
      </c>
      <c r="M1813" t="s">
        <v>24</v>
      </c>
      <c r="N1813">
        <v>0</v>
      </c>
      <c r="O1813" t="s">
        <v>31</v>
      </c>
    </row>
    <row r="1814" spans="1:15" x14ac:dyDescent="0.35">
      <c r="A1814">
        <v>2813</v>
      </c>
      <c r="B1814" t="s">
        <v>90</v>
      </c>
      <c r="C1814" s="1">
        <v>45589</v>
      </c>
      <c r="D1814" s="1">
        <v>45609</v>
      </c>
      <c r="E1814" s="1">
        <v>45611</v>
      </c>
      <c r="F1814" t="s">
        <v>29</v>
      </c>
      <c r="G1814" t="s">
        <v>39</v>
      </c>
      <c r="H1814" t="s">
        <v>46</v>
      </c>
      <c r="I1814">
        <v>20</v>
      </c>
      <c r="J1814">
        <v>2</v>
      </c>
      <c r="K1814">
        <v>8465</v>
      </c>
      <c r="L1814">
        <v>16930</v>
      </c>
      <c r="M1814" t="s">
        <v>24</v>
      </c>
      <c r="N1814">
        <v>0</v>
      </c>
      <c r="O1814" t="s">
        <v>25</v>
      </c>
    </row>
    <row r="1815" spans="1:15" x14ac:dyDescent="0.35">
      <c r="A1815">
        <v>2814</v>
      </c>
      <c r="B1815" t="s">
        <v>1052</v>
      </c>
      <c r="C1815" s="1">
        <v>45392</v>
      </c>
      <c r="D1815" s="1">
        <v>45441</v>
      </c>
      <c r="E1815" s="1">
        <v>45442</v>
      </c>
      <c r="F1815" t="s">
        <v>21</v>
      </c>
      <c r="G1815" t="s">
        <v>39</v>
      </c>
      <c r="H1815" t="s">
        <v>23</v>
      </c>
      <c r="I1815">
        <v>49</v>
      </c>
      <c r="J1815">
        <v>1</v>
      </c>
      <c r="K1815">
        <v>7346</v>
      </c>
      <c r="L1815">
        <v>7346</v>
      </c>
      <c r="M1815" t="s">
        <v>51</v>
      </c>
      <c r="N1815">
        <v>1</v>
      </c>
      <c r="O1815" t="s">
        <v>31</v>
      </c>
    </row>
    <row r="1816" spans="1:15" x14ac:dyDescent="0.35">
      <c r="A1816">
        <v>2815</v>
      </c>
      <c r="B1816" t="s">
        <v>1108</v>
      </c>
      <c r="C1816" s="1">
        <v>45595</v>
      </c>
      <c r="D1816" s="1">
        <v>45647</v>
      </c>
      <c r="E1816" s="1">
        <v>45652</v>
      </c>
      <c r="F1816" t="s">
        <v>38</v>
      </c>
      <c r="G1816" t="s">
        <v>22</v>
      </c>
      <c r="H1816" t="s">
        <v>30</v>
      </c>
      <c r="I1816">
        <v>52</v>
      </c>
      <c r="J1816">
        <v>5</v>
      </c>
      <c r="K1816">
        <v>7222</v>
      </c>
      <c r="L1816">
        <v>36110</v>
      </c>
      <c r="M1816" t="s">
        <v>24</v>
      </c>
      <c r="N1816">
        <v>1</v>
      </c>
      <c r="O1816" t="s">
        <v>31</v>
      </c>
    </row>
    <row r="1817" spans="1:15" x14ac:dyDescent="0.35">
      <c r="A1817">
        <v>2816</v>
      </c>
      <c r="B1817" t="s">
        <v>118</v>
      </c>
      <c r="C1817" s="1">
        <v>45650</v>
      </c>
      <c r="D1817" s="1">
        <v>45672</v>
      </c>
      <c r="E1817" s="1">
        <v>45675</v>
      </c>
      <c r="F1817" t="s">
        <v>35</v>
      </c>
      <c r="G1817" t="s">
        <v>39</v>
      </c>
      <c r="H1817" t="s">
        <v>30</v>
      </c>
      <c r="I1817">
        <v>22</v>
      </c>
      <c r="J1817">
        <v>3</v>
      </c>
      <c r="K1817">
        <v>5890</v>
      </c>
      <c r="L1817">
        <v>17670</v>
      </c>
      <c r="M1817" t="s">
        <v>24</v>
      </c>
      <c r="N1817">
        <v>0</v>
      </c>
      <c r="O1817" t="s">
        <v>31</v>
      </c>
    </row>
    <row r="1818" spans="1:15" x14ac:dyDescent="0.35">
      <c r="A1818">
        <v>2817</v>
      </c>
      <c r="B1818" t="s">
        <v>779</v>
      </c>
      <c r="C1818" s="1">
        <v>45319</v>
      </c>
      <c r="D1818" s="1">
        <v>45340</v>
      </c>
      <c r="E1818" s="1">
        <v>45341</v>
      </c>
      <c r="F1818" t="s">
        <v>60</v>
      </c>
      <c r="G1818" t="s">
        <v>39</v>
      </c>
      <c r="H1818" t="s">
        <v>46</v>
      </c>
      <c r="I1818">
        <v>21</v>
      </c>
      <c r="J1818">
        <v>1</v>
      </c>
      <c r="K1818">
        <v>5940</v>
      </c>
      <c r="L1818">
        <v>5940</v>
      </c>
      <c r="M1818" t="s">
        <v>24</v>
      </c>
      <c r="N1818">
        <v>0</v>
      </c>
      <c r="O1818" t="s">
        <v>25</v>
      </c>
    </row>
    <row r="1819" spans="1:15" x14ac:dyDescent="0.35">
      <c r="A1819">
        <v>2818</v>
      </c>
      <c r="B1819" t="s">
        <v>664</v>
      </c>
      <c r="C1819" s="1">
        <v>45332</v>
      </c>
      <c r="D1819" s="1">
        <v>45365</v>
      </c>
      <c r="E1819" s="1">
        <v>45366</v>
      </c>
      <c r="F1819" t="s">
        <v>35</v>
      </c>
      <c r="G1819" t="s">
        <v>39</v>
      </c>
      <c r="H1819" t="s">
        <v>46</v>
      </c>
      <c r="I1819">
        <v>33</v>
      </c>
      <c r="J1819">
        <v>1</v>
      </c>
      <c r="K1819">
        <v>4129</v>
      </c>
      <c r="L1819">
        <v>4129</v>
      </c>
      <c r="M1819" t="s">
        <v>51</v>
      </c>
      <c r="N1819">
        <v>0</v>
      </c>
      <c r="O1819" t="s">
        <v>31</v>
      </c>
    </row>
    <row r="1820" spans="1:15" x14ac:dyDescent="0.35">
      <c r="A1820">
        <v>2819</v>
      </c>
      <c r="B1820" t="s">
        <v>1124</v>
      </c>
      <c r="C1820" s="1">
        <v>45646</v>
      </c>
      <c r="D1820" s="1">
        <v>45698</v>
      </c>
      <c r="E1820" s="1">
        <v>45703</v>
      </c>
      <c r="F1820" t="s">
        <v>29</v>
      </c>
      <c r="G1820" t="s">
        <v>39</v>
      </c>
      <c r="H1820" t="s">
        <v>23</v>
      </c>
      <c r="I1820">
        <v>52</v>
      </c>
      <c r="J1820">
        <v>5</v>
      </c>
      <c r="K1820">
        <v>3494</v>
      </c>
      <c r="L1820">
        <v>17470</v>
      </c>
      <c r="M1820" t="s">
        <v>51</v>
      </c>
      <c r="N1820">
        <v>1</v>
      </c>
      <c r="O1820" t="s">
        <v>31</v>
      </c>
    </row>
    <row r="1821" spans="1:15" x14ac:dyDescent="0.35">
      <c r="A1821">
        <v>2820</v>
      </c>
      <c r="B1821" t="s">
        <v>1125</v>
      </c>
      <c r="C1821" s="1">
        <v>45594</v>
      </c>
      <c r="D1821" s="1">
        <v>45632</v>
      </c>
      <c r="E1821" s="1">
        <v>45635</v>
      </c>
      <c r="F1821" t="s">
        <v>35</v>
      </c>
      <c r="G1821" t="s">
        <v>39</v>
      </c>
      <c r="H1821" t="s">
        <v>30</v>
      </c>
      <c r="I1821">
        <v>38</v>
      </c>
      <c r="J1821">
        <v>3</v>
      </c>
      <c r="K1821">
        <v>8179</v>
      </c>
      <c r="L1821">
        <v>24537</v>
      </c>
      <c r="M1821" t="s">
        <v>24</v>
      </c>
      <c r="N1821">
        <v>1</v>
      </c>
      <c r="O1821" t="s">
        <v>25</v>
      </c>
    </row>
    <row r="1822" spans="1:15" x14ac:dyDescent="0.35">
      <c r="A1822">
        <v>2821</v>
      </c>
      <c r="B1822" t="s">
        <v>283</v>
      </c>
      <c r="C1822" s="1">
        <v>45437</v>
      </c>
      <c r="D1822" s="1">
        <v>45452</v>
      </c>
      <c r="E1822" s="1">
        <v>45454</v>
      </c>
      <c r="F1822" t="s">
        <v>35</v>
      </c>
      <c r="G1822" t="s">
        <v>39</v>
      </c>
      <c r="H1822" t="s">
        <v>23</v>
      </c>
      <c r="I1822">
        <v>15</v>
      </c>
      <c r="J1822">
        <v>2</v>
      </c>
      <c r="K1822">
        <v>7298</v>
      </c>
      <c r="L1822">
        <v>14596</v>
      </c>
      <c r="M1822" t="s">
        <v>51</v>
      </c>
      <c r="N1822">
        <v>0</v>
      </c>
      <c r="O1822" t="s">
        <v>31</v>
      </c>
    </row>
    <row r="1823" spans="1:15" x14ac:dyDescent="0.35">
      <c r="A1823">
        <v>2822</v>
      </c>
      <c r="B1823" t="s">
        <v>775</v>
      </c>
      <c r="C1823" s="1">
        <v>45547</v>
      </c>
      <c r="D1823" s="1">
        <v>45605</v>
      </c>
      <c r="E1823" s="1">
        <v>45610</v>
      </c>
      <c r="F1823" t="s">
        <v>21</v>
      </c>
      <c r="G1823" t="s">
        <v>39</v>
      </c>
      <c r="H1823" t="s">
        <v>30</v>
      </c>
      <c r="I1823">
        <v>58</v>
      </c>
      <c r="J1823">
        <v>5</v>
      </c>
      <c r="K1823">
        <v>4559</v>
      </c>
      <c r="L1823">
        <v>22795</v>
      </c>
      <c r="M1823" t="s">
        <v>24</v>
      </c>
      <c r="N1823">
        <v>1</v>
      </c>
      <c r="O1823" t="s">
        <v>31</v>
      </c>
    </row>
    <row r="1824" spans="1:15" x14ac:dyDescent="0.35">
      <c r="A1824">
        <v>2823</v>
      </c>
      <c r="B1824" t="s">
        <v>404</v>
      </c>
      <c r="C1824" s="1">
        <v>45518</v>
      </c>
      <c r="D1824" s="1">
        <v>45576</v>
      </c>
      <c r="E1824" s="1">
        <v>45579</v>
      </c>
      <c r="F1824" t="s">
        <v>21</v>
      </c>
      <c r="G1824" t="s">
        <v>39</v>
      </c>
      <c r="H1824" t="s">
        <v>23</v>
      </c>
      <c r="I1824">
        <v>58</v>
      </c>
      <c r="J1824">
        <v>3</v>
      </c>
      <c r="K1824">
        <v>7775</v>
      </c>
      <c r="L1824">
        <v>23325</v>
      </c>
      <c r="M1824" t="s">
        <v>24</v>
      </c>
      <c r="N1824">
        <v>0</v>
      </c>
      <c r="O1824" t="s">
        <v>25</v>
      </c>
    </row>
    <row r="1825" spans="1:15" x14ac:dyDescent="0.35">
      <c r="A1825">
        <v>2824</v>
      </c>
      <c r="B1825" t="s">
        <v>633</v>
      </c>
      <c r="C1825" s="1">
        <v>45527</v>
      </c>
      <c r="D1825" s="1">
        <v>45573</v>
      </c>
      <c r="E1825" s="1">
        <v>45574</v>
      </c>
      <c r="F1825" t="s">
        <v>38</v>
      </c>
      <c r="G1825" t="s">
        <v>22</v>
      </c>
      <c r="H1825" t="s">
        <v>46</v>
      </c>
      <c r="I1825">
        <v>46</v>
      </c>
      <c r="J1825">
        <v>1</v>
      </c>
      <c r="K1825">
        <v>7072</v>
      </c>
      <c r="L1825">
        <v>7072</v>
      </c>
      <c r="M1825" t="s">
        <v>51</v>
      </c>
      <c r="N1825">
        <v>0</v>
      </c>
      <c r="O1825" t="s">
        <v>25</v>
      </c>
    </row>
    <row r="1826" spans="1:15" x14ac:dyDescent="0.35">
      <c r="A1826">
        <v>2825</v>
      </c>
      <c r="B1826" t="s">
        <v>1126</v>
      </c>
      <c r="C1826" s="1">
        <v>45652</v>
      </c>
      <c r="D1826" s="1">
        <v>45704</v>
      </c>
      <c r="E1826" s="1">
        <v>45707</v>
      </c>
      <c r="F1826" t="s">
        <v>29</v>
      </c>
      <c r="G1826" t="s">
        <v>22</v>
      </c>
      <c r="H1826" t="s">
        <v>23</v>
      </c>
      <c r="I1826">
        <v>52</v>
      </c>
      <c r="J1826">
        <v>3</v>
      </c>
      <c r="K1826">
        <v>5486</v>
      </c>
      <c r="L1826">
        <v>16458</v>
      </c>
      <c r="M1826" t="s">
        <v>51</v>
      </c>
      <c r="N1826">
        <v>1</v>
      </c>
      <c r="O1826" t="s">
        <v>31</v>
      </c>
    </row>
    <row r="1827" spans="1:15" x14ac:dyDescent="0.35">
      <c r="A1827">
        <v>2826</v>
      </c>
      <c r="B1827" t="s">
        <v>357</v>
      </c>
      <c r="C1827" s="1">
        <v>45304</v>
      </c>
      <c r="D1827" s="1">
        <v>45319</v>
      </c>
      <c r="E1827" s="1">
        <v>45320</v>
      </c>
      <c r="F1827" t="s">
        <v>21</v>
      </c>
      <c r="G1827" t="s">
        <v>39</v>
      </c>
      <c r="H1827" t="s">
        <v>46</v>
      </c>
      <c r="I1827">
        <v>15</v>
      </c>
      <c r="J1827">
        <v>1</v>
      </c>
      <c r="K1827">
        <v>2900</v>
      </c>
      <c r="L1827">
        <v>2900</v>
      </c>
      <c r="M1827" t="s">
        <v>24</v>
      </c>
      <c r="N1827">
        <v>0</v>
      </c>
      <c r="O1827" t="s">
        <v>25</v>
      </c>
    </row>
    <row r="1828" spans="1:15" x14ac:dyDescent="0.35">
      <c r="A1828">
        <v>2827</v>
      </c>
      <c r="B1828" t="s">
        <v>497</v>
      </c>
      <c r="C1828" s="1">
        <v>45501</v>
      </c>
      <c r="D1828" s="1">
        <v>45547</v>
      </c>
      <c r="E1828" s="1">
        <v>45552</v>
      </c>
      <c r="F1828" t="s">
        <v>21</v>
      </c>
      <c r="G1828" t="s">
        <v>22</v>
      </c>
      <c r="H1828" t="s">
        <v>30</v>
      </c>
      <c r="I1828">
        <v>46</v>
      </c>
      <c r="J1828">
        <v>5</v>
      </c>
      <c r="K1828">
        <v>5355</v>
      </c>
      <c r="L1828">
        <v>26775</v>
      </c>
      <c r="M1828" t="s">
        <v>24</v>
      </c>
      <c r="N1828">
        <v>1</v>
      </c>
      <c r="O1828" t="s">
        <v>25</v>
      </c>
    </row>
    <row r="1829" spans="1:15" x14ac:dyDescent="0.35">
      <c r="A1829">
        <v>2828</v>
      </c>
      <c r="B1829" t="s">
        <v>1127</v>
      </c>
      <c r="C1829" s="1">
        <v>45520</v>
      </c>
      <c r="D1829" s="1">
        <v>45545</v>
      </c>
      <c r="E1829" s="1">
        <v>45550</v>
      </c>
      <c r="F1829" t="s">
        <v>38</v>
      </c>
      <c r="G1829" t="s">
        <v>22</v>
      </c>
      <c r="H1829" t="s">
        <v>30</v>
      </c>
      <c r="I1829">
        <v>25</v>
      </c>
      <c r="J1829">
        <v>5</v>
      </c>
      <c r="K1829">
        <v>4724</v>
      </c>
      <c r="L1829">
        <v>23620</v>
      </c>
      <c r="M1829" t="s">
        <v>24</v>
      </c>
      <c r="N1829">
        <v>0</v>
      </c>
      <c r="O1829" t="s">
        <v>25</v>
      </c>
    </row>
    <row r="1830" spans="1:15" x14ac:dyDescent="0.35">
      <c r="A1830">
        <v>2829</v>
      </c>
      <c r="B1830" t="s">
        <v>176</v>
      </c>
      <c r="C1830" s="1">
        <v>45391</v>
      </c>
      <c r="D1830" s="1">
        <v>45412</v>
      </c>
      <c r="E1830" s="1">
        <v>45416</v>
      </c>
      <c r="F1830" t="s">
        <v>60</v>
      </c>
      <c r="G1830" t="s">
        <v>22</v>
      </c>
      <c r="H1830" t="s">
        <v>46</v>
      </c>
      <c r="I1830">
        <v>21</v>
      </c>
      <c r="J1830">
        <v>4</v>
      </c>
      <c r="K1830">
        <v>5912</v>
      </c>
      <c r="L1830">
        <v>23648</v>
      </c>
      <c r="M1830" t="s">
        <v>51</v>
      </c>
      <c r="N1830">
        <v>0</v>
      </c>
      <c r="O1830" t="s">
        <v>31</v>
      </c>
    </row>
    <row r="1831" spans="1:15" x14ac:dyDescent="0.35">
      <c r="A1831">
        <v>2830</v>
      </c>
      <c r="B1831" t="s">
        <v>36</v>
      </c>
      <c r="C1831" s="1">
        <v>45322</v>
      </c>
      <c r="D1831" s="1">
        <v>45346</v>
      </c>
      <c r="E1831" s="1">
        <v>45350</v>
      </c>
      <c r="F1831" t="s">
        <v>38</v>
      </c>
      <c r="G1831" t="s">
        <v>22</v>
      </c>
      <c r="H1831" t="s">
        <v>30</v>
      </c>
      <c r="I1831">
        <v>24</v>
      </c>
      <c r="J1831">
        <v>4</v>
      </c>
      <c r="K1831">
        <v>2556</v>
      </c>
      <c r="L1831">
        <v>10224</v>
      </c>
      <c r="M1831" t="s">
        <v>51</v>
      </c>
      <c r="N1831">
        <v>0</v>
      </c>
      <c r="O1831" t="s">
        <v>31</v>
      </c>
    </row>
    <row r="1832" spans="1:15" x14ac:dyDescent="0.35">
      <c r="A1832">
        <v>2831</v>
      </c>
      <c r="B1832" t="s">
        <v>598</v>
      </c>
      <c r="C1832" s="1">
        <v>45307</v>
      </c>
      <c r="D1832" s="1">
        <v>45364</v>
      </c>
      <c r="E1832" s="1">
        <v>45368</v>
      </c>
      <c r="F1832" t="s">
        <v>35</v>
      </c>
      <c r="G1832" t="s">
        <v>22</v>
      </c>
      <c r="H1832" t="s">
        <v>23</v>
      </c>
      <c r="I1832">
        <v>57</v>
      </c>
      <c r="J1832">
        <v>4</v>
      </c>
      <c r="K1832">
        <v>4375</v>
      </c>
      <c r="L1832">
        <v>17500</v>
      </c>
      <c r="M1832" t="s">
        <v>24</v>
      </c>
      <c r="N1832">
        <v>1</v>
      </c>
      <c r="O1832" t="s">
        <v>25</v>
      </c>
    </row>
    <row r="1833" spans="1:15" x14ac:dyDescent="0.35">
      <c r="A1833">
        <v>2832</v>
      </c>
      <c r="B1833" t="s">
        <v>341</v>
      </c>
      <c r="C1833" s="1">
        <v>45428</v>
      </c>
      <c r="D1833" s="1">
        <v>45486</v>
      </c>
      <c r="E1833" s="1">
        <v>45491</v>
      </c>
      <c r="F1833" t="s">
        <v>35</v>
      </c>
      <c r="G1833" t="s">
        <v>22</v>
      </c>
      <c r="H1833" t="s">
        <v>46</v>
      </c>
      <c r="I1833">
        <v>58</v>
      </c>
      <c r="J1833">
        <v>5</v>
      </c>
      <c r="K1833">
        <v>7043</v>
      </c>
      <c r="L1833">
        <v>35215</v>
      </c>
      <c r="M1833" t="s">
        <v>24</v>
      </c>
      <c r="N1833">
        <v>1</v>
      </c>
      <c r="O1833" t="s">
        <v>31</v>
      </c>
    </row>
    <row r="1834" spans="1:15" x14ac:dyDescent="0.35">
      <c r="A1834">
        <v>2833</v>
      </c>
      <c r="B1834" t="s">
        <v>1128</v>
      </c>
      <c r="C1834" s="1">
        <v>45620</v>
      </c>
      <c r="D1834" s="1">
        <v>45625</v>
      </c>
      <c r="E1834" s="1">
        <v>45627</v>
      </c>
      <c r="F1834" t="s">
        <v>21</v>
      </c>
      <c r="G1834" t="s">
        <v>39</v>
      </c>
      <c r="H1834" t="s">
        <v>30</v>
      </c>
      <c r="I1834">
        <v>5</v>
      </c>
      <c r="J1834">
        <v>2</v>
      </c>
      <c r="K1834">
        <v>6798</v>
      </c>
      <c r="L1834">
        <v>13596</v>
      </c>
      <c r="M1834" t="s">
        <v>51</v>
      </c>
      <c r="N1834">
        <v>1</v>
      </c>
      <c r="O1834" t="s">
        <v>25</v>
      </c>
    </row>
    <row r="1835" spans="1:15" x14ac:dyDescent="0.35">
      <c r="A1835">
        <v>2834</v>
      </c>
      <c r="B1835" t="s">
        <v>1129</v>
      </c>
      <c r="C1835" s="1">
        <v>45457</v>
      </c>
      <c r="D1835" s="1">
        <v>45463</v>
      </c>
      <c r="E1835" s="1">
        <v>45468</v>
      </c>
      <c r="F1835" t="s">
        <v>21</v>
      </c>
      <c r="G1835" t="s">
        <v>39</v>
      </c>
      <c r="H1835" t="s">
        <v>23</v>
      </c>
      <c r="I1835">
        <v>6</v>
      </c>
      <c r="J1835">
        <v>5</v>
      </c>
      <c r="K1835">
        <v>6268</v>
      </c>
      <c r="L1835">
        <v>31340</v>
      </c>
      <c r="M1835" t="s">
        <v>24</v>
      </c>
      <c r="N1835">
        <v>0</v>
      </c>
      <c r="O1835" t="s">
        <v>25</v>
      </c>
    </row>
    <row r="1836" spans="1:15" x14ac:dyDescent="0.35">
      <c r="A1836">
        <v>2835</v>
      </c>
      <c r="B1836" t="s">
        <v>896</v>
      </c>
      <c r="C1836" s="1">
        <v>45601</v>
      </c>
      <c r="D1836" s="1">
        <v>45650</v>
      </c>
      <c r="E1836" s="1">
        <v>45653</v>
      </c>
      <c r="F1836" t="s">
        <v>38</v>
      </c>
      <c r="G1836" t="s">
        <v>22</v>
      </c>
      <c r="H1836" t="s">
        <v>23</v>
      </c>
      <c r="I1836">
        <v>49</v>
      </c>
      <c r="J1836">
        <v>3</v>
      </c>
      <c r="K1836">
        <v>8252</v>
      </c>
      <c r="L1836">
        <v>24756</v>
      </c>
      <c r="M1836" t="s">
        <v>51</v>
      </c>
      <c r="N1836">
        <v>1</v>
      </c>
      <c r="O1836" t="s">
        <v>25</v>
      </c>
    </row>
    <row r="1837" spans="1:15" x14ac:dyDescent="0.35">
      <c r="A1837">
        <v>2836</v>
      </c>
      <c r="B1837" t="s">
        <v>68</v>
      </c>
      <c r="C1837" s="1">
        <v>45391</v>
      </c>
      <c r="D1837" s="1">
        <v>45434</v>
      </c>
      <c r="E1837" s="1">
        <v>45439</v>
      </c>
      <c r="F1837" t="s">
        <v>38</v>
      </c>
      <c r="G1837" t="s">
        <v>39</v>
      </c>
      <c r="H1837" t="s">
        <v>30</v>
      </c>
      <c r="I1837">
        <v>43</v>
      </c>
      <c r="J1837">
        <v>5</v>
      </c>
      <c r="K1837">
        <v>7333</v>
      </c>
      <c r="L1837">
        <v>36665</v>
      </c>
      <c r="M1837" t="s">
        <v>51</v>
      </c>
      <c r="N1837">
        <v>1</v>
      </c>
      <c r="O1837" t="s">
        <v>25</v>
      </c>
    </row>
    <row r="1838" spans="1:15" x14ac:dyDescent="0.35">
      <c r="A1838">
        <v>2837</v>
      </c>
      <c r="B1838" t="s">
        <v>1130</v>
      </c>
      <c r="C1838" s="1">
        <v>45400</v>
      </c>
      <c r="D1838" s="1">
        <v>45448</v>
      </c>
      <c r="E1838" s="1">
        <v>45453</v>
      </c>
      <c r="F1838" t="s">
        <v>29</v>
      </c>
      <c r="G1838" t="s">
        <v>22</v>
      </c>
      <c r="H1838" t="s">
        <v>30</v>
      </c>
      <c r="I1838">
        <v>48</v>
      </c>
      <c r="J1838">
        <v>5</v>
      </c>
      <c r="K1838">
        <v>6797</v>
      </c>
      <c r="L1838">
        <v>33985</v>
      </c>
      <c r="M1838" t="s">
        <v>24</v>
      </c>
      <c r="N1838">
        <v>1</v>
      </c>
      <c r="O1838" t="s">
        <v>25</v>
      </c>
    </row>
    <row r="1839" spans="1:15" x14ac:dyDescent="0.35">
      <c r="A1839">
        <v>2838</v>
      </c>
      <c r="B1839" t="s">
        <v>1131</v>
      </c>
      <c r="C1839" s="1">
        <v>45634</v>
      </c>
      <c r="D1839" s="1">
        <v>45678</v>
      </c>
      <c r="E1839" s="1">
        <v>45679</v>
      </c>
      <c r="F1839" t="s">
        <v>35</v>
      </c>
      <c r="G1839" t="s">
        <v>39</v>
      </c>
      <c r="H1839" t="s">
        <v>23</v>
      </c>
      <c r="I1839">
        <v>44</v>
      </c>
      <c r="J1839">
        <v>1</v>
      </c>
      <c r="K1839">
        <v>3853</v>
      </c>
      <c r="L1839">
        <v>3853</v>
      </c>
      <c r="M1839" t="s">
        <v>24</v>
      </c>
      <c r="N1839">
        <v>1</v>
      </c>
      <c r="O1839" t="s">
        <v>31</v>
      </c>
    </row>
    <row r="1840" spans="1:15" x14ac:dyDescent="0.35">
      <c r="A1840">
        <v>2839</v>
      </c>
      <c r="B1840" t="s">
        <v>1132</v>
      </c>
      <c r="C1840" s="1">
        <v>45464</v>
      </c>
      <c r="D1840" s="1">
        <v>45511</v>
      </c>
      <c r="E1840" s="1">
        <v>45512</v>
      </c>
      <c r="F1840" t="s">
        <v>38</v>
      </c>
      <c r="G1840" t="s">
        <v>39</v>
      </c>
      <c r="H1840" t="s">
        <v>46</v>
      </c>
      <c r="I1840">
        <v>47</v>
      </c>
      <c r="J1840">
        <v>1</v>
      </c>
      <c r="K1840">
        <v>4910</v>
      </c>
      <c r="L1840">
        <v>4910</v>
      </c>
      <c r="M1840" t="s">
        <v>51</v>
      </c>
      <c r="N1840">
        <v>1</v>
      </c>
      <c r="O1840" t="s">
        <v>31</v>
      </c>
    </row>
    <row r="1841" spans="1:15" x14ac:dyDescent="0.35">
      <c r="A1841">
        <v>2840</v>
      </c>
      <c r="B1841" t="s">
        <v>1133</v>
      </c>
      <c r="C1841" s="1">
        <v>45528</v>
      </c>
      <c r="D1841" s="1">
        <v>45551</v>
      </c>
      <c r="E1841" s="1">
        <v>45552</v>
      </c>
      <c r="F1841" t="s">
        <v>60</v>
      </c>
      <c r="G1841" t="s">
        <v>39</v>
      </c>
      <c r="H1841" t="s">
        <v>30</v>
      </c>
      <c r="I1841">
        <v>23</v>
      </c>
      <c r="J1841">
        <v>1</v>
      </c>
      <c r="K1841">
        <v>7487</v>
      </c>
      <c r="L1841">
        <v>7487</v>
      </c>
      <c r="M1841" t="s">
        <v>24</v>
      </c>
      <c r="N1841">
        <v>1</v>
      </c>
      <c r="O1841" t="s">
        <v>31</v>
      </c>
    </row>
    <row r="1842" spans="1:15" x14ac:dyDescent="0.35">
      <c r="A1842">
        <v>2841</v>
      </c>
      <c r="B1842" t="s">
        <v>627</v>
      </c>
      <c r="C1842" s="1">
        <v>45453</v>
      </c>
      <c r="D1842" s="1">
        <v>45457</v>
      </c>
      <c r="E1842" s="1">
        <v>45462</v>
      </c>
      <c r="F1842" t="s">
        <v>29</v>
      </c>
      <c r="G1842" t="s">
        <v>22</v>
      </c>
      <c r="H1842" t="s">
        <v>30</v>
      </c>
      <c r="I1842">
        <v>4</v>
      </c>
      <c r="J1842">
        <v>5</v>
      </c>
      <c r="K1842">
        <v>8999</v>
      </c>
      <c r="L1842">
        <v>44995</v>
      </c>
      <c r="M1842" t="s">
        <v>51</v>
      </c>
      <c r="N1842">
        <v>1</v>
      </c>
      <c r="O1842" t="s">
        <v>31</v>
      </c>
    </row>
    <row r="1843" spans="1:15" x14ac:dyDescent="0.35">
      <c r="A1843">
        <v>2842</v>
      </c>
      <c r="B1843" t="s">
        <v>1088</v>
      </c>
      <c r="C1843" s="1">
        <v>45507</v>
      </c>
      <c r="D1843" s="1">
        <v>45534</v>
      </c>
      <c r="E1843" s="1">
        <v>45536</v>
      </c>
      <c r="F1843" t="s">
        <v>38</v>
      </c>
      <c r="G1843" t="s">
        <v>39</v>
      </c>
      <c r="H1843" t="s">
        <v>46</v>
      </c>
      <c r="I1843">
        <v>27</v>
      </c>
      <c r="J1843">
        <v>2</v>
      </c>
      <c r="K1843">
        <v>6811</v>
      </c>
      <c r="L1843">
        <v>13622</v>
      </c>
      <c r="M1843" t="s">
        <v>51</v>
      </c>
      <c r="N1843">
        <v>1</v>
      </c>
      <c r="O1843" t="s">
        <v>25</v>
      </c>
    </row>
    <row r="1844" spans="1:15" x14ac:dyDescent="0.35">
      <c r="A1844">
        <v>2843</v>
      </c>
      <c r="B1844" t="s">
        <v>379</v>
      </c>
      <c r="C1844" s="1">
        <v>45555</v>
      </c>
      <c r="D1844" s="1">
        <v>45573</v>
      </c>
      <c r="E1844" s="1">
        <v>45576</v>
      </c>
      <c r="F1844" t="s">
        <v>21</v>
      </c>
      <c r="G1844" t="s">
        <v>39</v>
      </c>
      <c r="H1844" t="s">
        <v>46</v>
      </c>
      <c r="I1844">
        <v>18</v>
      </c>
      <c r="J1844">
        <v>3</v>
      </c>
      <c r="K1844">
        <v>5102</v>
      </c>
      <c r="L1844">
        <v>15306</v>
      </c>
      <c r="M1844" t="s">
        <v>51</v>
      </c>
      <c r="N1844">
        <v>0</v>
      </c>
      <c r="O1844" t="s">
        <v>25</v>
      </c>
    </row>
    <row r="1845" spans="1:15" x14ac:dyDescent="0.35">
      <c r="A1845">
        <v>2844</v>
      </c>
      <c r="B1845" t="s">
        <v>1006</v>
      </c>
      <c r="C1845" s="1">
        <v>45554</v>
      </c>
      <c r="D1845" s="1">
        <v>45575</v>
      </c>
      <c r="E1845" s="1">
        <v>45578</v>
      </c>
      <c r="F1845" t="s">
        <v>38</v>
      </c>
      <c r="G1845" t="s">
        <v>22</v>
      </c>
      <c r="H1845" t="s">
        <v>30</v>
      </c>
      <c r="I1845">
        <v>21</v>
      </c>
      <c r="J1845">
        <v>3</v>
      </c>
      <c r="K1845">
        <v>5434</v>
      </c>
      <c r="L1845">
        <v>16302</v>
      </c>
      <c r="M1845" t="s">
        <v>24</v>
      </c>
      <c r="N1845">
        <v>0</v>
      </c>
      <c r="O1845" t="s">
        <v>31</v>
      </c>
    </row>
    <row r="1846" spans="1:15" x14ac:dyDescent="0.35">
      <c r="A1846">
        <v>2845</v>
      </c>
      <c r="B1846" t="s">
        <v>1134</v>
      </c>
      <c r="C1846" s="1">
        <v>45583</v>
      </c>
      <c r="D1846" s="1">
        <v>45611</v>
      </c>
      <c r="E1846" s="1">
        <v>45613</v>
      </c>
      <c r="F1846" t="s">
        <v>21</v>
      </c>
      <c r="G1846" t="s">
        <v>22</v>
      </c>
      <c r="H1846" t="s">
        <v>46</v>
      </c>
      <c r="I1846">
        <v>28</v>
      </c>
      <c r="J1846">
        <v>2</v>
      </c>
      <c r="K1846">
        <v>2522</v>
      </c>
      <c r="L1846">
        <v>5044</v>
      </c>
      <c r="M1846" t="s">
        <v>24</v>
      </c>
      <c r="N1846">
        <v>1</v>
      </c>
      <c r="O1846" t="s">
        <v>31</v>
      </c>
    </row>
    <row r="1847" spans="1:15" x14ac:dyDescent="0.35">
      <c r="A1847">
        <v>2846</v>
      </c>
      <c r="B1847" t="s">
        <v>812</v>
      </c>
      <c r="C1847" s="1">
        <v>45565</v>
      </c>
      <c r="D1847" s="1">
        <v>45600</v>
      </c>
      <c r="E1847" s="1">
        <v>45602</v>
      </c>
      <c r="F1847" t="s">
        <v>21</v>
      </c>
      <c r="G1847" t="s">
        <v>39</v>
      </c>
      <c r="H1847" t="s">
        <v>23</v>
      </c>
      <c r="I1847">
        <v>35</v>
      </c>
      <c r="J1847">
        <v>2</v>
      </c>
      <c r="K1847">
        <v>4702</v>
      </c>
      <c r="L1847">
        <v>9404</v>
      </c>
      <c r="M1847" t="s">
        <v>24</v>
      </c>
      <c r="N1847">
        <v>0</v>
      </c>
      <c r="O1847" t="s">
        <v>25</v>
      </c>
    </row>
    <row r="1848" spans="1:15" x14ac:dyDescent="0.35">
      <c r="A1848">
        <v>2847</v>
      </c>
      <c r="B1848" t="s">
        <v>1110</v>
      </c>
      <c r="C1848" s="1">
        <v>45294</v>
      </c>
      <c r="D1848" s="1">
        <v>45316</v>
      </c>
      <c r="E1848" s="1">
        <v>45319</v>
      </c>
      <c r="F1848" t="s">
        <v>35</v>
      </c>
      <c r="G1848" t="s">
        <v>22</v>
      </c>
      <c r="H1848" t="s">
        <v>23</v>
      </c>
      <c r="I1848">
        <v>22</v>
      </c>
      <c r="J1848">
        <v>3</v>
      </c>
      <c r="K1848">
        <v>3709</v>
      </c>
      <c r="L1848">
        <v>11127</v>
      </c>
      <c r="M1848" t="s">
        <v>51</v>
      </c>
      <c r="N1848">
        <v>0</v>
      </c>
      <c r="O1848" t="s">
        <v>25</v>
      </c>
    </row>
    <row r="1849" spans="1:15" x14ac:dyDescent="0.35">
      <c r="A1849">
        <v>2848</v>
      </c>
      <c r="B1849" t="s">
        <v>1135</v>
      </c>
      <c r="C1849" s="1">
        <v>45319</v>
      </c>
      <c r="D1849" s="1">
        <v>45359</v>
      </c>
      <c r="E1849" s="1">
        <v>45363</v>
      </c>
      <c r="F1849" t="s">
        <v>35</v>
      </c>
      <c r="G1849" t="s">
        <v>39</v>
      </c>
      <c r="H1849" t="s">
        <v>23</v>
      </c>
      <c r="I1849">
        <v>40</v>
      </c>
      <c r="J1849">
        <v>4</v>
      </c>
      <c r="K1849">
        <v>4796</v>
      </c>
      <c r="L1849">
        <v>19184</v>
      </c>
      <c r="M1849" t="s">
        <v>51</v>
      </c>
      <c r="N1849">
        <v>1</v>
      </c>
      <c r="O1849" t="s">
        <v>25</v>
      </c>
    </row>
    <row r="1850" spans="1:15" x14ac:dyDescent="0.35">
      <c r="A1850">
        <v>2849</v>
      </c>
      <c r="B1850" t="s">
        <v>996</v>
      </c>
      <c r="C1850" s="1">
        <v>45617</v>
      </c>
      <c r="D1850" s="1">
        <v>45640</v>
      </c>
      <c r="E1850" s="1">
        <v>45641</v>
      </c>
      <c r="F1850" t="s">
        <v>38</v>
      </c>
      <c r="G1850" t="s">
        <v>39</v>
      </c>
      <c r="H1850" t="s">
        <v>30</v>
      </c>
      <c r="I1850">
        <v>23</v>
      </c>
      <c r="J1850">
        <v>1</v>
      </c>
      <c r="K1850">
        <v>3248</v>
      </c>
      <c r="L1850">
        <v>3248</v>
      </c>
      <c r="M1850" t="s">
        <v>51</v>
      </c>
      <c r="N1850">
        <v>0</v>
      </c>
      <c r="O1850" t="s">
        <v>31</v>
      </c>
    </row>
    <row r="1851" spans="1:15" x14ac:dyDescent="0.35">
      <c r="A1851">
        <v>2850</v>
      </c>
      <c r="B1851" t="s">
        <v>1136</v>
      </c>
      <c r="C1851" s="1">
        <v>45440</v>
      </c>
      <c r="D1851" s="1">
        <v>45443</v>
      </c>
      <c r="E1851" s="1">
        <v>45444</v>
      </c>
      <c r="F1851" t="s">
        <v>38</v>
      </c>
      <c r="G1851" t="s">
        <v>22</v>
      </c>
      <c r="H1851" t="s">
        <v>46</v>
      </c>
      <c r="I1851">
        <v>3</v>
      </c>
      <c r="J1851">
        <v>1</v>
      </c>
      <c r="K1851">
        <v>3304</v>
      </c>
      <c r="L1851">
        <v>3304</v>
      </c>
      <c r="M1851" t="s">
        <v>51</v>
      </c>
      <c r="N1851">
        <v>0</v>
      </c>
      <c r="O1851" t="s">
        <v>25</v>
      </c>
    </row>
    <row r="1852" spans="1:15" x14ac:dyDescent="0.35">
      <c r="A1852">
        <v>2851</v>
      </c>
      <c r="B1852" t="s">
        <v>143</v>
      </c>
      <c r="C1852" s="1">
        <v>45319</v>
      </c>
      <c r="D1852" s="1">
        <v>45359</v>
      </c>
      <c r="E1852" s="1">
        <v>45362</v>
      </c>
      <c r="F1852" t="s">
        <v>60</v>
      </c>
      <c r="G1852" t="s">
        <v>22</v>
      </c>
      <c r="H1852" t="s">
        <v>23</v>
      </c>
      <c r="I1852">
        <v>40</v>
      </c>
      <c r="J1852">
        <v>3</v>
      </c>
      <c r="K1852">
        <v>2633</v>
      </c>
      <c r="L1852">
        <v>7899</v>
      </c>
      <c r="M1852" t="s">
        <v>24</v>
      </c>
      <c r="N1852">
        <v>1</v>
      </c>
      <c r="O1852" t="s">
        <v>25</v>
      </c>
    </row>
    <row r="1853" spans="1:15" x14ac:dyDescent="0.35">
      <c r="A1853">
        <v>2852</v>
      </c>
      <c r="B1853" t="s">
        <v>572</v>
      </c>
      <c r="C1853" s="1">
        <v>45601</v>
      </c>
      <c r="D1853" s="1">
        <v>45651</v>
      </c>
      <c r="E1853" s="1">
        <v>45653</v>
      </c>
      <c r="F1853" t="s">
        <v>29</v>
      </c>
      <c r="G1853" t="s">
        <v>39</v>
      </c>
      <c r="H1853" t="s">
        <v>46</v>
      </c>
      <c r="I1853">
        <v>50</v>
      </c>
      <c r="J1853">
        <v>2</v>
      </c>
      <c r="K1853">
        <v>6916</v>
      </c>
      <c r="L1853">
        <v>13832</v>
      </c>
      <c r="M1853" t="s">
        <v>24</v>
      </c>
      <c r="N1853">
        <v>1</v>
      </c>
      <c r="O1853" t="s">
        <v>31</v>
      </c>
    </row>
    <row r="1854" spans="1:15" x14ac:dyDescent="0.35">
      <c r="A1854">
        <v>2853</v>
      </c>
      <c r="B1854" t="s">
        <v>563</v>
      </c>
      <c r="C1854" s="1">
        <v>45356</v>
      </c>
      <c r="D1854" s="1">
        <v>45366</v>
      </c>
      <c r="E1854" s="1">
        <v>45370</v>
      </c>
      <c r="F1854" t="s">
        <v>29</v>
      </c>
      <c r="G1854" t="s">
        <v>22</v>
      </c>
      <c r="H1854" t="s">
        <v>23</v>
      </c>
      <c r="I1854">
        <v>10</v>
      </c>
      <c r="J1854">
        <v>4</v>
      </c>
      <c r="K1854">
        <v>4937</v>
      </c>
      <c r="L1854">
        <v>19748</v>
      </c>
      <c r="M1854" t="s">
        <v>24</v>
      </c>
      <c r="N1854">
        <v>0</v>
      </c>
      <c r="O1854" t="s">
        <v>31</v>
      </c>
    </row>
    <row r="1855" spans="1:15" x14ac:dyDescent="0.35">
      <c r="A1855">
        <v>2854</v>
      </c>
      <c r="B1855" t="s">
        <v>1137</v>
      </c>
      <c r="C1855" s="1">
        <v>45647</v>
      </c>
      <c r="D1855" s="1">
        <v>45672</v>
      </c>
      <c r="E1855" s="1">
        <v>45675</v>
      </c>
      <c r="F1855" t="s">
        <v>38</v>
      </c>
      <c r="G1855" t="s">
        <v>39</v>
      </c>
      <c r="H1855" t="s">
        <v>46</v>
      </c>
      <c r="I1855">
        <v>25</v>
      </c>
      <c r="J1855">
        <v>3</v>
      </c>
      <c r="K1855">
        <v>2933</v>
      </c>
      <c r="L1855">
        <v>8799</v>
      </c>
      <c r="M1855" t="s">
        <v>51</v>
      </c>
      <c r="N1855">
        <v>0</v>
      </c>
      <c r="O1855" t="s">
        <v>31</v>
      </c>
    </row>
    <row r="1856" spans="1:15" x14ac:dyDescent="0.35">
      <c r="A1856">
        <v>2855</v>
      </c>
      <c r="B1856" t="s">
        <v>188</v>
      </c>
      <c r="C1856" s="1">
        <v>45312</v>
      </c>
      <c r="D1856" s="1">
        <v>45364</v>
      </c>
      <c r="E1856" s="1">
        <v>45365</v>
      </c>
      <c r="F1856" t="s">
        <v>35</v>
      </c>
      <c r="G1856" t="s">
        <v>22</v>
      </c>
      <c r="H1856" t="s">
        <v>23</v>
      </c>
      <c r="I1856">
        <v>52</v>
      </c>
      <c r="J1856">
        <v>1</v>
      </c>
      <c r="K1856">
        <v>7641</v>
      </c>
      <c r="L1856">
        <v>7641</v>
      </c>
      <c r="M1856" t="s">
        <v>51</v>
      </c>
      <c r="N1856">
        <v>0</v>
      </c>
      <c r="O1856" t="s">
        <v>25</v>
      </c>
    </row>
    <row r="1857" spans="1:15" x14ac:dyDescent="0.35">
      <c r="A1857">
        <v>2856</v>
      </c>
      <c r="B1857" t="s">
        <v>169</v>
      </c>
      <c r="C1857" s="1">
        <v>45543</v>
      </c>
      <c r="D1857" s="1">
        <v>45592</v>
      </c>
      <c r="E1857" s="1">
        <v>45597</v>
      </c>
      <c r="F1857" t="s">
        <v>60</v>
      </c>
      <c r="G1857" t="s">
        <v>22</v>
      </c>
      <c r="H1857" t="s">
        <v>23</v>
      </c>
      <c r="I1857">
        <v>49</v>
      </c>
      <c r="J1857">
        <v>5</v>
      </c>
      <c r="K1857">
        <v>7468</v>
      </c>
      <c r="L1857">
        <v>37340</v>
      </c>
      <c r="M1857" t="s">
        <v>24</v>
      </c>
      <c r="N1857">
        <v>1</v>
      </c>
      <c r="O1857" t="s">
        <v>25</v>
      </c>
    </row>
    <row r="1858" spans="1:15" x14ac:dyDescent="0.35">
      <c r="A1858">
        <v>2857</v>
      </c>
      <c r="B1858" t="s">
        <v>80</v>
      </c>
      <c r="C1858" s="1">
        <v>45526</v>
      </c>
      <c r="D1858" s="1">
        <v>45534</v>
      </c>
      <c r="E1858" s="1">
        <v>45536</v>
      </c>
      <c r="F1858" t="s">
        <v>29</v>
      </c>
      <c r="G1858" t="s">
        <v>22</v>
      </c>
      <c r="H1858" t="s">
        <v>23</v>
      </c>
      <c r="I1858">
        <v>8</v>
      </c>
      <c r="J1858">
        <v>2</v>
      </c>
      <c r="K1858">
        <v>6171</v>
      </c>
      <c r="L1858">
        <v>12342</v>
      </c>
      <c r="M1858" t="s">
        <v>51</v>
      </c>
      <c r="N1858">
        <v>0</v>
      </c>
      <c r="O1858" t="s">
        <v>31</v>
      </c>
    </row>
    <row r="1859" spans="1:15" x14ac:dyDescent="0.35">
      <c r="A1859">
        <v>2858</v>
      </c>
      <c r="B1859" t="s">
        <v>217</v>
      </c>
      <c r="C1859" s="1">
        <v>45518</v>
      </c>
      <c r="D1859" s="1">
        <v>45573</v>
      </c>
      <c r="E1859" s="1">
        <v>45578</v>
      </c>
      <c r="F1859" t="s">
        <v>38</v>
      </c>
      <c r="G1859" t="s">
        <v>22</v>
      </c>
      <c r="H1859" t="s">
        <v>23</v>
      </c>
      <c r="I1859">
        <v>55</v>
      </c>
      <c r="J1859">
        <v>5</v>
      </c>
      <c r="K1859">
        <v>6236</v>
      </c>
      <c r="L1859">
        <v>31180</v>
      </c>
      <c r="M1859" t="s">
        <v>24</v>
      </c>
      <c r="N1859">
        <v>1</v>
      </c>
      <c r="O1859" t="s">
        <v>25</v>
      </c>
    </row>
    <row r="1860" spans="1:15" x14ac:dyDescent="0.35">
      <c r="A1860">
        <v>2859</v>
      </c>
      <c r="B1860" t="s">
        <v>905</v>
      </c>
      <c r="C1860" s="1">
        <v>45304</v>
      </c>
      <c r="D1860" s="1">
        <v>45315</v>
      </c>
      <c r="E1860" s="1">
        <v>45318</v>
      </c>
      <c r="F1860" t="s">
        <v>35</v>
      </c>
      <c r="G1860" t="s">
        <v>22</v>
      </c>
      <c r="H1860" t="s">
        <v>23</v>
      </c>
      <c r="I1860">
        <v>11</v>
      </c>
      <c r="J1860">
        <v>3</v>
      </c>
      <c r="K1860">
        <v>6539</v>
      </c>
      <c r="L1860">
        <v>19617</v>
      </c>
      <c r="M1860" t="s">
        <v>51</v>
      </c>
      <c r="N1860">
        <v>0</v>
      </c>
      <c r="O1860" t="s">
        <v>25</v>
      </c>
    </row>
    <row r="1861" spans="1:15" x14ac:dyDescent="0.35">
      <c r="A1861">
        <v>2860</v>
      </c>
      <c r="B1861" t="s">
        <v>1138</v>
      </c>
      <c r="C1861" s="1">
        <v>45604</v>
      </c>
      <c r="D1861" s="1">
        <v>45609</v>
      </c>
      <c r="E1861" s="1">
        <v>45610</v>
      </c>
      <c r="F1861" t="s">
        <v>35</v>
      </c>
      <c r="G1861" t="s">
        <v>39</v>
      </c>
      <c r="H1861" t="s">
        <v>23</v>
      </c>
      <c r="I1861">
        <v>5</v>
      </c>
      <c r="J1861">
        <v>1</v>
      </c>
      <c r="K1861">
        <v>4598</v>
      </c>
      <c r="L1861">
        <v>4598</v>
      </c>
      <c r="M1861" t="s">
        <v>51</v>
      </c>
      <c r="N1861">
        <v>0</v>
      </c>
      <c r="O1861" t="s">
        <v>25</v>
      </c>
    </row>
    <row r="1862" spans="1:15" x14ac:dyDescent="0.35">
      <c r="A1862">
        <v>2861</v>
      </c>
      <c r="B1862" t="s">
        <v>472</v>
      </c>
      <c r="C1862" s="1">
        <v>45340</v>
      </c>
      <c r="D1862" s="1">
        <v>45398</v>
      </c>
      <c r="E1862" s="1">
        <v>45402</v>
      </c>
      <c r="F1862" t="s">
        <v>35</v>
      </c>
      <c r="G1862" t="s">
        <v>39</v>
      </c>
      <c r="H1862" t="s">
        <v>23</v>
      </c>
      <c r="I1862">
        <v>58</v>
      </c>
      <c r="J1862">
        <v>4</v>
      </c>
      <c r="K1862">
        <v>8819</v>
      </c>
      <c r="L1862">
        <v>35276</v>
      </c>
      <c r="M1862" t="s">
        <v>51</v>
      </c>
      <c r="N1862">
        <v>1</v>
      </c>
      <c r="O1862" t="s">
        <v>31</v>
      </c>
    </row>
    <row r="1863" spans="1:15" x14ac:dyDescent="0.35">
      <c r="A1863">
        <v>2862</v>
      </c>
      <c r="B1863" t="s">
        <v>77</v>
      </c>
      <c r="C1863" s="1">
        <v>45409</v>
      </c>
      <c r="D1863" s="1">
        <v>45454</v>
      </c>
      <c r="E1863" s="1">
        <v>45459</v>
      </c>
      <c r="F1863" t="s">
        <v>21</v>
      </c>
      <c r="G1863" t="s">
        <v>39</v>
      </c>
      <c r="H1863" t="s">
        <v>23</v>
      </c>
      <c r="I1863">
        <v>45</v>
      </c>
      <c r="J1863">
        <v>5</v>
      </c>
      <c r="K1863">
        <v>5417</v>
      </c>
      <c r="L1863">
        <v>27085</v>
      </c>
      <c r="M1863" t="s">
        <v>51</v>
      </c>
      <c r="N1863">
        <v>0</v>
      </c>
      <c r="O1863" t="s">
        <v>31</v>
      </c>
    </row>
    <row r="1864" spans="1:15" x14ac:dyDescent="0.35">
      <c r="A1864">
        <v>2863</v>
      </c>
      <c r="B1864" t="s">
        <v>189</v>
      </c>
      <c r="C1864" s="1">
        <v>45345</v>
      </c>
      <c r="D1864" s="1">
        <v>45398</v>
      </c>
      <c r="E1864" s="1">
        <v>45402</v>
      </c>
      <c r="F1864" t="s">
        <v>35</v>
      </c>
      <c r="G1864" t="s">
        <v>22</v>
      </c>
      <c r="H1864" t="s">
        <v>23</v>
      </c>
      <c r="I1864">
        <v>53</v>
      </c>
      <c r="J1864">
        <v>4</v>
      </c>
      <c r="K1864">
        <v>2752</v>
      </c>
      <c r="L1864">
        <v>11008</v>
      </c>
      <c r="M1864" t="s">
        <v>51</v>
      </c>
      <c r="N1864">
        <v>1</v>
      </c>
      <c r="O1864" t="s">
        <v>25</v>
      </c>
    </row>
    <row r="1865" spans="1:15" x14ac:dyDescent="0.35">
      <c r="A1865">
        <v>2864</v>
      </c>
      <c r="B1865" t="s">
        <v>1139</v>
      </c>
      <c r="C1865" s="1">
        <v>45429</v>
      </c>
      <c r="D1865" s="1">
        <v>45484</v>
      </c>
      <c r="E1865" s="1">
        <v>45485</v>
      </c>
      <c r="F1865" t="s">
        <v>38</v>
      </c>
      <c r="G1865" t="s">
        <v>39</v>
      </c>
      <c r="H1865" t="s">
        <v>46</v>
      </c>
      <c r="I1865">
        <v>55</v>
      </c>
      <c r="J1865">
        <v>1</v>
      </c>
      <c r="K1865">
        <v>7561</v>
      </c>
      <c r="L1865">
        <v>7561</v>
      </c>
      <c r="M1865" t="s">
        <v>24</v>
      </c>
      <c r="N1865">
        <v>0</v>
      </c>
      <c r="O1865" t="s">
        <v>25</v>
      </c>
    </row>
    <row r="1866" spans="1:15" x14ac:dyDescent="0.35">
      <c r="A1866">
        <v>2865</v>
      </c>
      <c r="B1866" t="s">
        <v>1140</v>
      </c>
      <c r="C1866" s="1">
        <v>45344</v>
      </c>
      <c r="D1866" s="1">
        <v>45381</v>
      </c>
      <c r="E1866" s="1">
        <v>45386</v>
      </c>
      <c r="F1866" t="s">
        <v>60</v>
      </c>
      <c r="G1866" t="s">
        <v>39</v>
      </c>
      <c r="H1866" t="s">
        <v>46</v>
      </c>
      <c r="I1866">
        <v>37</v>
      </c>
      <c r="J1866">
        <v>5</v>
      </c>
      <c r="K1866">
        <v>7334</v>
      </c>
      <c r="L1866">
        <v>36670</v>
      </c>
      <c r="M1866" t="s">
        <v>24</v>
      </c>
      <c r="N1866">
        <v>1</v>
      </c>
      <c r="O1866" t="s">
        <v>25</v>
      </c>
    </row>
    <row r="1867" spans="1:15" x14ac:dyDescent="0.35">
      <c r="A1867">
        <v>2866</v>
      </c>
      <c r="B1867" t="s">
        <v>1141</v>
      </c>
      <c r="C1867" s="1">
        <v>45335</v>
      </c>
      <c r="D1867" s="1">
        <v>45391</v>
      </c>
      <c r="E1867" s="1">
        <v>45395</v>
      </c>
      <c r="F1867" t="s">
        <v>38</v>
      </c>
      <c r="G1867" t="s">
        <v>22</v>
      </c>
      <c r="H1867" t="s">
        <v>30</v>
      </c>
      <c r="I1867">
        <v>56</v>
      </c>
      <c r="J1867">
        <v>4</v>
      </c>
      <c r="K1867">
        <v>3629</v>
      </c>
      <c r="L1867">
        <v>14516</v>
      </c>
      <c r="M1867" t="s">
        <v>24</v>
      </c>
      <c r="N1867">
        <v>1</v>
      </c>
      <c r="O1867" t="s">
        <v>25</v>
      </c>
    </row>
    <row r="1868" spans="1:15" x14ac:dyDescent="0.35">
      <c r="A1868">
        <v>2867</v>
      </c>
      <c r="B1868" t="s">
        <v>982</v>
      </c>
      <c r="C1868" s="1">
        <v>45594</v>
      </c>
      <c r="D1868" s="1">
        <v>45653</v>
      </c>
      <c r="E1868" s="1">
        <v>45657</v>
      </c>
      <c r="F1868" t="s">
        <v>35</v>
      </c>
      <c r="G1868" t="s">
        <v>22</v>
      </c>
      <c r="H1868" t="s">
        <v>23</v>
      </c>
      <c r="I1868">
        <v>59</v>
      </c>
      <c r="J1868">
        <v>4</v>
      </c>
      <c r="K1868">
        <v>5764</v>
      </c>
      <c r="L1868">
        <v>23056</v>
      </c>
      <c r="M1868" t="s">
        <v>51</v>
      </c>
      <c r="N1868">
        <v>1</v>
      </c>
      <c r="O1868" t="s">
        <v>31</v>
      </c>
    </row>
    <row r="1869" spans="1:15" x14ac:dyDescent="0.35">
      <c r="A1869">
        <v>2868</v>
      </c>
      <c r="B1869" t="s">
        <v>1142</v>
      </c>
      <c r="C1869" s="1">
        <v>45344</v>
      </c>
      <c r="D1869" s="1">
        <v>45389</v>
      </c>
      <c r="E1869" s="1">
        <v>45394</v>
      </c>
      <c r="F1869" t="s">
        <v>60</v>
      </c>
      <c r="G1869" t="s">
        <v>22</v>
      </c>
      <c r="H1869" t="s">
        <v>46</v>
      </c>
      <c r="I1869">
        <v>45</v>
      </c>
      <c r="J1869">
        <v>5</v>
      </c>
      <c r="K1869">
        <v>7935</v>
      </c>
      <c r="L1869">
        <v>39675</v>
      </c>
      <c r="M1869" t="s">
        <v>24</v>
      </c>
      <c r="N1869">
        <v>1</v>
      </c>
      <c r="O1869" t="s">
        <v>31</v>
      </c>
    </row>
    <row r="1870" spans="1:15" x14ac:dyDescent="0.35">
      <c r="A1870">
        <v>2869</v>
      </c>
      <c r="B1870" t="s">
        <v>1143</v>
      </c>
      <c r="C1870" s="1">
        <v>45365</v>
      </c>
      <c r="D1870" s="1">
        <v>45403</v>
      </c>
      <c r="E1870" s="1">
        <v>45404</v>
      </c>
      <c r="F1870" t="s">
        <v>29</v>
      </c>
      <c r="G1870" t="s">
        <v>39</v>
      </c>
      <c r="H1870" t="s">
        <v>46</v>
      </c>
      <c r="I1870">
        <v>38</v>
      </c>
      <c r="J1870">
        <v>1</v>
      </c>
      <c r="K1870">
        <v>2801</v>
      </c>
      <c r="L1870">
        <v>2801</v>
      </c>
      <c r="M1870" t="s">
        <v>24</v>
      </c>
      <c r="N1870">
        <v>1</v>
      </c>
      <c r="O1870" t="s">
        <v>25</v>
      </c>
    </row>
    <row r="1871" spans="1:15" x14ac:dyDescent="0.35">
      <c r="A1871">
        <v>2870</v>
      </c>
      <c r="B1871" t="s">
        <v>806</v>
      </c>
      <c r="C1871" s="1">
        <v>45337</v>
      </c>
      <c r="D1871" s="1">
        <v>45366</v>
      </c>
      <c r="E1871" s="1">
        <v>45370</v>
      </c>
      <c r="F1871" t="s">
        <v>29</v>
      </c>
      <c r="G1871" t="s">
        <v>39</v>
      </c>
      <c r="H1871" t="s">
        <v>46</v>
      </c>
      <c r="I1871">
        <v>29</v>
      </c>
      <c r="J1871">
        <v>4</v>
      </c>
      <c r="K1871">
        <v>4477</v>
      </c>
      <c r="L1871">
        <v>17908</v>
      </c>
      <c r="M1871" t="s">
        <v>51</v>
      </c>
      <c r="N1871">
        <v>1</v>
      </c>
      <c r="O1871" t="s">
        <v>25</v>
      </c>
    </row>
    <row r="1872" spans="1:15" x14ac:dyDescent="0.35">
      <c r="A1872">
        <v>2871</v>
      </c>
      <c r="B1872" t="s">
        <v>172</v>
      </c>
      <c r="C1872" s="1">
        <v>45304</v>
      </c>
      <c r="D1872" s="1">
        <v>45309</v>
      </c>
      <c r="E1872" s="1">
        <v>45312</v>
      </c>
      <c r="F1872" t="s">
        <v>38</v>
      </c>
      <c r="G1872" t="s">
        <v>22</v>
      </c>
      <c r="H1872" t="s">
        <v>46</v>
      </c>
      <c r="I1872">
        <v>5</v>
      </c>
      <c r="J1872">
        <v>3</v>
      </c>
      <c r="K1872">
        <v>5263</v>
      </c>
      <c r="L1872">
        <v>15789</v>
      </c>
      <c r="M1872" t="s">
        <v>51</v>
      </c>
      <c r="N1872">
        <v>0</v>
      </c>
      <c r="O1872" t="s">
        <v>31</v>
      </c>
    </row>
    <row r="1873" spans="1:15" x14ac:dyDescent="0.35">
      <c r="A1873">
        <v>2872</v>
      </c>
      <c r="B1873" t="s">
        <v>1070</v>
      </c>
      <c r="C1873" s="1">
        <v>45456</v>
      </c>
      <c r="D1873" s="1">
        <v>45465</v>
      </c>
      <c r="E1873" s="1">
        <v>45470</v>
      </c>
      <c r="F1873" t="s">
        <v>60</v>
      </c>
      <c r="G1873" t="s">
        <v>39</v>
      </c>
      <c r="H1873" t="s">
        <v>46</v>
      </c>
      <c r="I1873">
        <v>9</v>
      </c>
      <c r="J1873">
        <v>5</v>
      </c>
      <c r="K1873">
        <v>6505</v>
      </c>
      <c r="L1873">
        <v>32525</v>
      </c>
      <c r="M1873" t="s">
        <v>24</v>
      </c>
      <c r="N1873">
        <v>0</v>
      </c>
      <c r="O1873" t="s">
        <v>25</v>
      </c>
    </row>
    <row r="1874" spans="1:15" x14ac:dyDescent="0.35">
      <c r="A1874">
        <v>2873</v>
      </c>
      <c r="B1874" t="s">
        <v>394</v>
      </c>
      <c r="C1874" s="1">
        <v>45393</v>
      </c>
      <c r="D1874" s="1">
        <v>45452</v>
      </c>
      <c r="E1874" s="1">
        <v>45454</v>
      </c>
      <c r="F1874" t="s">
        <v>38</v>
      </c>
      <c r="G1874" t="s">
        <v>39</v>
      </c>
      <c r="H1874" t="s">
        <v>46</v>
      </c>
      <c r="I1874">
        <v>59</v>
      </c>
      <c r="J1874">
        <v>2</v>
      </c>
      <c r="K1874">
        <v>8911</v>
      </c>
      <c r="L1874">
        <v>17822</v>
      </c>
      <c r="M1874" t="s">
        <v>24</v>
      </c>
      <c r="N1874">
        <v>1</v>
      </c>
      <c r="O1874" t="s">
        <v>31</v>
      </c>
    </row>
    <row r="1875" spans="1:15" x14ac:dyDescent="0.35">
      <c r="A1875">
        <v>2874</v>
      </c>
      <c r="B1875" t="s">
        <v>730</v>
      </c>
      <c r="C1875" s="1">
        <v>45571</v>
      </c>
      <c r="D1875" s="1">
        <v>45619</v>
      </c>
      <c r="E1875" s="1">
        <v>45621</v>
      </c>
      <c r="F1875" t="s">
        <v>60</v>
      </c>
      <c r="G1875" t="s">
        <v>22</v>
      </c>
      <c r="H1875" t="s">
        <v>30</v>
      </c>
      <c r="I1875">
        <v>48</v>
      </c>
      <c r="J1875">
        <v>2</v>
      </c>
      <c r="K1875">
        <v>5741</v>
      </c>
      <c r="L1875">
        <v>11482</v>
      </c>
      <c r="M1875" t="s">
        <v>24</v>
      </c>
      <c r="N1875">
        <v>1</v>
      </c>
      <c r="O1875" t="s">
        <v>25</v>
      </c>
    </row>
    <row r="1876" spans="1:15" x14ac:dyDescent="0.35">
      <c r="A1876">
        <v>2875</v>
      </c>
      <c r="B1876" t="s">
        <v>891</v>
      </c>
      <c r="C1876" s="1">
        <v>45549</v>
      </c>
      <c r="D1876" s="1">
        <v>45551</v>
      </c>
      <c r="E1876" s="1">
        <v>45552</v>
      </c>
      <c r="F1876" t="s">
        <v>60</v>
      </c>
      <c r="G1876" t="s">
        <v>39</v>
      </c>
      <c r="H1876" t="s">
        <v>46</v>
      </c>
      <c r="I1876">
        <v>2</v>
      </c>
      <c r="J1876">
        <v>1</v>
      </c>
      <c r="K1876">
        <v>5557</v>
      </c>
      <c r="L1876">
        <v>5557</v>
      </c>
      <c r="M1876" t="s">
        <v>24</v>
      </c>
      <c r="N1876">
        <v>0</v>
      </c>
      <c r="O1876" t="s">
        <v>31</v>
      </c>
    </row>
    <row r="1877" spans="1:15" x14ac:dyDescent="0.35">
      <c r="A1877">
        <v>2876</v>
      </c>
      <c r="B1877" t="s">
        <v>610</v>
      </c>
      <c r="C1877" s="1">
        <v>45628</v>
      </c>
      <c r="D1877" s="1">
        <v>45629</v>
      </c>
      <c r="E1877" s="1">
        <v>45632</v>
      </c>
      <c r="F1877" t="s">
        <v>38</v>
      </c>
      <c r="G1877" t="s">
        <v>22</v>
      </c>
      <c r="H1877" t="s">
        <v>30</v>
      </c>
      <c r="I1877">
        <v>1</v>
      </c>
      <c r="J1877">
        <v>3</v>
      </c>
      <c r="K1877">
        <v>3050</v>
      </c>
      <c r="L1877">
        <v>9150</v>
      </c>
      <c r="M1877" t="s">
        <v>24</v>
      </c>
      <c r="N1877">
        <v>0</v>
      </c>
      <c r="O1877" t="s">
        <v>25</v>
      </c>
    </row>
    <row r="1878" spans="1:15" x14ac:dyDescent="0.35">
      <c r="A1878">
        <v>2877</v>
      </c>
      <c r="B1878" t="s">
        <v>549</v>
      </c>
      <c r="C1878" s="1">
        <v>45647</v>
      </c>
      <c r="D1878" s="1">
        <v>45687</v>
      </c>
      <c r="E1878" s="1">
        <v>45691</v>
      </c>
      <c r="F1878" t="s">
        <v>60</v>
      </c>
      <c r="G1878" t="s">
        <v>39</v>
      </c>
      <c r="H1878" t="s">
        <v>30</v>
      </c>
      <c r="I1878">
        <v>40</v>
      </c>
      <c r="J1878">
        <v>4</v>
      </c>
      <c r="K1878">
        <v>8074</v>
      </c>
      <c r="L1878">
        <v>32296</v>
      </c>
      <c r="M1878" t="s">
        <v>51</v>
      </c>
      <c r="N1878">
        <v>1</v>
      </c>
      <c r="O1878" t="s">
        <v>25</v>
      </c>
    </row>
    <row r="1879" spans="1:15" x14ac:dyDescent="0.35">
      <c r="A1879">
        <v>2878</v>
      </c>
      <c r="B1879" t="s">
        <v>360</v>
      </c>
      <c r="C1879" s="1">
        <v>45429</v>
      </c>
      <c r="D1879" s="1">
        <v>45480</v>
      </c>
      <c r="E1879" s="1">
        <v>45482</v>
      </c>
      <c r="F1879" t="s">
        <v>35</v>
      </c>
      <c r="G1879" t="s">
        <v>22</v>
      </c>
      <c r="H1879" t="s">
        <v>23</v>
      </c>
      <c r="I1879">
        <v>51</v>
      </c>
      <c r="J1879">
        <v>2</v>
      </c>
      <c r="K1879">
        <v>7911</v>
      </c>
      <c r="L1879">
        <v>15822</v>
      </c>
      <c r="M1879" t="s">
        <v>24</v>
      </c>
      <c r="N1879">
        <v>1</v>
      </c>
      <c r="O1879" t="s">
        <v>31</v>
      </c>
    </row>
    <row r="1880" spans="1:15" x14ac:dyDescent="0.35">
      <c r="A1880">
        <v>2879</v>
      </c>
      <c r="B1880" t="s">
        <v>1018</v>
      </c>
      <c r="C1880" s="1">
        <v>45454</v>
      </c>
      <c r="D1880" s="1">
        <v>45484</v>
      </c>
      <c r="E1880" s="1">
        <v>45485</v>
      </c>
      <c r="F1880" t="s">
        <v>60</v>
      </c>
      <c r="G1880" t="s">
        <v>39</v>
      </c>
      <c r="H1880" t="s">
        <v>23</v>
      </c>
      <c r="I1880">
        <v>30</v>
      </c>
      <c r="J1880">
        <v>1</v>
      </c>
      <c r="K1880">
        <v>4087</v>
      </c>
      <c r="L1880">
        <v>4087</v>
      </c>
      <c r="M1880" t="s">
        <v>24</v>
      </c>
      <c r="N1880">
        <v>0</v>
      </c>
      <c r="O1880" t="s">
        <v>31</v>
      </c>
    </row>
    <row r="1881" spans="1:15" x14ac:dyDescent="0.35">
      <c r="A1881">
        <v>2880</v>
      </c>
      <c r="B1881" t="s">
        <v>1144</v>
      </c>
      <c r="C1881" s="1">
        <v>45402</v>
      </c>
      <c r="D1881" s="1">
        <v>45413</v>
      </c>
      <c r="E1881" s="1">
        <v>45416</v>
      </c>
      <c r="F1881" t="s">
        <v>60</v>
      </c>
      <c r="G1881" t="s">
        <v>39</v>
      </c>
      <c r="H1881" t="s">
        <v>23</v>
      </c>
      <c r="I1881">
        <v>11</v>
      </c>
      <c r="J1881">
        <v>3</v>
      </c>
      <c r="K1881">
        <v>4322</v>
      </c>
      <c r="L1881">
        <v>12966</v>
      </c>
      <c r="M1881" t="s">
        <v>24</v>
      </c>
      <c r="N1881">
        <v>0</v>
      </c>
      <c r="O1881" t="s">
        <v>25</v>
      </c>
    </row>
    <row r="1882" spans="1:15" x14ac:dyDescent="0.35">
      <c r="A1882">
        <v>2881</v>
      </c>
      <c r="B1882" t="s">
        <v>362</v>
      </c>
      <c r="C1882" s="1">
        <v>45393</v>
      </c>
      <c r="D1882" s="1">
        <v>45421</v>
      </c>
      <c r="E1882" s="1">
        <v>45424</v>
      </c>
      <c r="F1882" t="s">
        <v>38</v>
      </c>
      <c r="G1882" t="s">
        <v>22</v>
      </c>
      <c r="H1882" t="s">
        <v>46</v>
      </c>
      <c r="I1882">
        <v>28</v>
      </c>
      <c r="J1882">
        <v>3</v>
      </c>
      <c r="K1882">
        <v>8420</v>
      </c>
      <c r="L1882">
        <v>25260</v>
      </c>
      <c r="M1882" t="s">
        <v>24</v>
      </c>
      <c r="N1882">
        <v>1</v>
      </c>
      <c r="O1882" t="s">
        <v>25</v>
      </c>
    </row>
    <row r="1883" spans="1:15" x14ac:dyDescent="0.35">
      <c r="A1883">
        <v>2882</v>
      </c>
      <c r="B1883" t="s">
        <v>908</v>
      </c>
      <c r="C1883" s="1">
        <v>45308</v>
      </c>
      <c r="D1883" s="1">
        <v>45352</v>
      </c>
      <c r="E1883" s="1">
        <v>45353</v>
      </c>
      <c r="F1883" t="s">
        <v>29</v>
      </c>
      <c r="G1883" t="s">
        <v>22</v>
      </c>
      <c r="H1883" t="s">
        <v>23</v>
      </c>
      <c r="I1883">
        <v>44</v>
      </c>
      <c r="J1883">
        <v>1</v>
      </c>
      <c r="K1883">
        <v>7760</v>
      </c>
      <c r="L1883">
        <v>7760</v>
      </c>
      <c r="M1883" t="s">
        <v>24</v>
      </c>
      <c r="N1883">
        <v>1</v>
      </c>
      <c r="O1883" t="s">
        <v>31</v>
      </c>
    </row>
    <row r="1884" spans="1:15" x14ac:dyDescent="0.35">
      <c r="A1884">
        <v>2883</v>
      </c>
      <c r="B1884" t="s">
        <v>766</v>
      </c>
      <c r="C1884" s="1">
        <v>45559</v>
      </c>
      <c r="D1884" s="1">
        <v>45571</v>
      </c>
      <c r="E1884" s="1">
        <v>45572</v>
      </c>
      <c r="F1884" t="s">
        <v>21</v>
      </c>
      <c r="G1884" t="s">
        <v>22</v>
      </c>
      <c r="H1884" t="s">
        <v>46</v>
      </c>
      <c r="I1884">
        <v>12</v>
      </c>
      <c r="J1884">
        <v>1</v>
      </c>
      <c r="K1884">
        <v>5717</v>
      </c>
      <c r="L1884">
        <v>5717</v>
      </c>
      <c r="M1884" t="s">
        <v>24</v>
      </c>
      <c r="N1884">
        <v>0</v>
      </c>
      <c r="O1884" t="s">
        <v>31</v>
      </c>
    </row>
    <row r="1885" spans="1:15" x14ac:dyDescent="0.35">
      <c r="A1885">
        <v>2884</v>
      </c>
      <c r="B1885" t="s">
        <v>956</v>
      </c>
      <c r="C1885" s="1">
        <v>45473</v>
      </c>
      <c r="D1885" s="1">
        <v>45512</v>
      </c>
      <c r="E1885" s="1">
        <v>45516</v>
      </c>
      <c r="F1885" t="s">
        <v>60</v>
      </c>
      <c r="G1885" t="s">
        <v>22</v>
      </c>
      <c r="H1885" t="s">
        <v>46</v>
      </c>
      <c r="I1885">
        <v>39</v>
      </c>
      <c r="J1885">
        <v>4</v>
      </c>
      <c r="K1885">
        <v>5996</v>
      </c>
      <c r="L1885">
        <v>23984</v>
      </c>
      <c r="M1885" t="s">
        <v>51</v>
      </c>
      <c r="N1885">
        <v>0</v>
      </c>
      <c r="O1885" t="s">
        <v>25</v>
      </c>
    </row>
    <row r="1886" spans="1:15" x14ac:dyDescent="0.35">
      <c r="A1886">
        <v>2885</v>
      </c>
      <c r="B1886" t="s">
        <v>301</v>
      </c>
      <c r="C1886" s="1">
        <v>45315</v>
      </c>
      <c r="D1886" s="1">
        <v>45341</v>
      </c>
      <c r="E1886" s="1">
        <v>45342</v>
      </c>
      <c r="F1886" t="s">
        <v>21</v>
      </c>
      <c r="G1886" t="s">
        <v>39</v>
      </c>
      <c r="H1886" t="s">
        <v>23</v>
      </c>
      <c r="I1886">
        <v>26</v>
      </c>
      <c r="J1886">
        <v>1</v>
      </c>
      <c r="K1886">
        <v>6909</v>
      </c>
      <c r="L1886">
        <v>6909</v>
      </c>
      <c r="M1886" t="s">
        <v>51</v>
      </c>
      <c r="N1886">
        <v>0</v>
      </c>
      <c r="O1886" t="s">
        <v>25</v>
      </c>
    </row>
    <row r="1887" spans="1:15" x14ac:dyDescent="0.35">
      <c r="A1887">
        <v>2886</v>
      </c>
      <c r="B1887" t="s">
        <v>594</v>
      </c>
      <c r="C1887" s="1">
        <v>45320</v>
      </c>
      <c r="D1887" s="1">
        <v>45333</v>
      </c>
      <c r="E1887" s="1">
        <v>45337</v>
      </c>
      <c r="F1887" t="s">
        <v>60</v>
      </c>
      <c r="G1887" t="s">
        <v>22</v>
      </c>
      <c r="H1887" t="s">
        <v>23</v>
      </c>
      <c r="I1887">
        <v>13</v>
      </c>
      <c r="J1887">
        <v>4</v>
      </c>
      <c r="K1887">
        <v>6779</v>
      </c>
      <c r="L1887">
        <v>27116</v>
      </c>
      <c r="M1887" t="s">
        <v>51</v>
      </c>
      <c r="N1887">
        <v>1</v>
      </c>
      <c r="O1887" t="s">
        <v>31</v>
      </c>
    </row>
    <row r="1888" spans="1:15" x14ac:dyDescent="0.35">
      <c r="A1888">
        <v>2887</v>
      </c>
      <c r="B1888" t="s">
        <v>1145</v>
      </c>
      <c r="C1888" s="1">
        <v>45462</v>
      </c>
      <c r="D1888" s="1">
        <v>45521</v>
      </c>
      <c r="E1888" s="1">
        <v>45525</v>
      </c>
      <c r="F1888" t="s">
        <v>38</v>
      </c>
      <c r="G1888" t="s">
        <v>22</v>
      </c>
      <c r="H1888" t="s">
        <v>30</v>
      </c>
      <c r="I1888">
        <v>59</v>
      </c>
      <c r="J1888">
        <v>4</v>
      </c>
      <c r="K1888">
        <v>8283</v>
      </c>
      <c r="L1888">
        <v>33132</v>
      </c>
      <c r="M1888" t="s">
        <v>24</v>
      </c>
      <c r="N1888">
        <v>1</v>
      </c>
      <c r="O1888" t="s">
        <v>31</v>
      </c>
    </row>
    <row r="1889" spans="1:15" x14ac:dyDescent="0.35">
      <c r="A1889">
        <v>2888</v>
      </c>
      <c r="B1889" t="s">
        <v>389</v>
      </c>
      <c r="C1889" s="1">
        <v>45519</v>
      </c>
      <c r="D1889" s="1">
        <v>45527</v>
      </c>
      <c r="E1889" s="1">
        <v>45532</v>
      </c>
      <c r="F1889" t="s">
        <v>38</v>
      </c>
      <c r="G1889" t="s">
        <v>22</v>
      </c>
      <c r="H1889" t="s">
        <v>30</v>
      </c>
      <c r="I1889">
        <v>8</v>
      </c>
      <c r="J1889">
        <v>5</v>
      </c>
      <c r="K1889">
        <v>3212</v>
      </c>
      <c r="L1889">
        <v>16060</v>
      </c>
      <c r="M1889" t="s">
        <v>24</v>
      </c>
      <c r="N1889">
        <v>0</v>
      </c>
      <c r="O1889" t="s">
        <v>31</v>
      </c>
    </row>
    <row r="1890" spans="1:15" x14ac:dyDescent="0.35">
      <c r="A1890">
        <v>2889</v>
      </c>
      <c r="B1890" t="s">
        <v>1082</v>
      </c>
      <c r="C1890" s="1">
        <v>45479</v>
      </c>
      <c r="D1890" s="1">
        <v>45533</v>
      </c>
      <c r="E1890" s="1">
        <v>45536</v>
      </c>
      <c r="F1890" t="s">
        <v>60</v>
      </c>
      <c r="G1890" t="s">
        <v>22</v>
      </c>
      <c r="H1890" t="s">
        <v>46</v>
      </c>
      <c r="I1890">
        <v>54</v>
      </c>
      <c r="J1890">
        <v>3</v>
      </c>
      <c r="K1890">
        <v>4675</v>
      </c>
      <c r="L1890">
        <v>14025</v>
      </c>
      <c r="M1890" t="s">
        <v>51</v>
      </c>
      <c r="N1890">
        <v>1</v>
      </c>
      <c r="O1890" t="s">
        <v>31</v>
      </c>
    </row>
    <row r="1891" spans="1:15" x14ac:dyDescent="0.35">
      <c r="A1891">
        <v>2890</v>
      </c>
      <c r="B1891" t="s">
        <v>1146</v>
      </c>
      <c r="C1891" s="1">
        <v>45637</v>
      </c>
      <c r="D1891" s="1">
        <v>45665</v>
      </c>
      <c r="E1891" s="1">
        <v>45668</v>
      </c>
      <c r="F1891" t="s">
        <v>38</v>
      </c>
      <c r="G1891" t="s">
        <v>22</v>
      </c>
      <c r="H1891" t="s">
        <v>46</v>
      </c>
      <c r="I1891">
        <v>28</v>
      </c>
      <c r="J1891">
        <v>3</v>
      </c>
      <c r="K1891">
        <v>7906</v>
      </c>
      <c r="L1891">
        <v>23718</v>
      </c>
      <c r="M1891" t="s">
        <v>24</v>
      </c>
      <c r="N1891">
        <v>1</v>
      </c>
      <c r="O1891" t="s">
        <v>31</v>
      </c>
    </row>
    <row r="1892" spans="1:15" x14ac:dyDescent="0.35">
      <c r="A1892">
        <v>2891</v>
      </c>
      <c r="B1892" t="s">
        <v>1010</v>
      </c>
      <c r="C1892" s="1">
        <v>45521</v>
      </c>
      <c r="D1892" s="1">
        <v>45579</v>
      </c>
      <c r="E1892" s="1">
        <v>45582</v>
      </c>
      <c r="F1892" t="s">
        <v>38</v>
      </c>
      <c r="G1892" t="s">
        <v>39</v>
      </c>
      <c r="H1892" t="s">
        <v>23</v>
      </c>
      <c r="I1892">
        <v>58</v>
      </c>
      <c r="J1892">
        <v>3</v>
      </c>
      <c r="K1892">
        <v>6572</v>
      </c>
      <c r="L1892">
        <v>19716</v>
      </c>
      <c r="M1892" t="s">
        <v>24</v>
      </c>
      <c r="N1892">
        <v>1</v>
      </c>
      <c r="O1892" t="s">
        <v>25</v>
      </c>
    </row>
    <row r="1893" spans="1:15" x14ac:dyDescent="0.35">
      <c r="A1893">
        <v>2892</v>
      </c>
      <c r="B1893" t="s">
        <v>249</v>
      </c>
      <c r="C1893" s="1">
        <v>45612</v>
      </c>
      <c r="D1893" s="1">
        <v>45642</v>
      </c>
      <c r="E1893" s="1">
        <v>45647</v>
      </c>
      <c r="F1893" t="s">
        <v>60</v>
      </c>
      <c r="G1893" t="s">
        <v>22</v>
      </c>
      <c r="H1893" t="s">
        <v>23</v>
      </c>
      <c r="I1893">
        <v>30</v>
      </c>
      <c r="J1893">
        <v>5</v>
      </c>
      <c r="K1893">
        <v>6349</v>
      </c>
      <c r="L1893">
        <v>31745</v>
      </c>
      <c r="M1893" t="s">
        <v>24</v>
      </c>
      <c r="N1893">
        <v>1</v>
      </c>
      <c r="O1893" t="s">
        <v>25</v>
      </c>
    </row>
    <row r="1894" spans="1:15" x14ac:dyDescent="0.35">
      <c r="A1894">
        <v>2893</v>
      </c>
      <c r="B1894" t="s">
        <v>135</v>
      </c>
      <c r="C1894" s="1">
        <v>45631</v>
      </c>
      <c r="D1894" s="1">
        <v>45640</v>
      </c>
      <c r="E1894" s="1">
        <v>45644</v>
      </c>
      <c r="F1894" t="s">
        <v>29</v>
      </c>
      <c r="G1894" t="s">
        <v>22</v>
      </c>
      <c r="H1894" t="s">
        <v>30</v>
      </c>
      <c r="I1894">
        <v>9</v>
      </c>
      <c r="J1894">
        <v>4</v>
      </c>
      <c r="K1894">
        <v>4933</v>
      </c>
      <c r="L1894">
        <v>19732</v>
      </c>
      <c r="M1894" t="s">
        <v>51</v>
      </c>
      <c r="N1894">
        <v>1</v>
      </c>
      <c r="O1894" t="s">
        <v>31</v>
      </c>
    </row>
    <row r="1895" spans="1:15" x14ac:dyDescent="0.35">
      <c r="A1895">
        <v>2894</v>
      </c>
      <c r="B1895" t="s">
        <v>1147</v>
      </c>
      <c r="C1895" s="1">
        <v>45410</v>
      </c>
      <c r="D1895" s="1">
        <v>45449</v>
      </c>
      <c r="E1895" s="1">
        <v>45453</v>
      </c>
      <c r="F1895" t="s">
        <v>60</v>
      </c>
      <c r="G1895" t="s">
        <v>22</v>
      </c>
      <c r="H1895" t="s">
        <v>23</v>
      </c>
      <c r="I1895">
        <v>39</v>
      </c>
      <c r="J1895">
        <v>4</v>
      </c>
      <c r="K1895">
        <v>5801</v>
      </c>
      <c r="L1895">
        <v>23204</v>
      </c>
      <c r="M1895" t="s">
        <v>51</v>
      </c>
      <c r="N1895">
        <v>1</v>
      </c>
      <c r="O1895" t="s">
        <v>25</v>
      </c>
    </row>
    <row r="1896" spans="1:15" x14ac:dyDescent="0.35">
      <c r="A1896">
        <v>2895</v>
      </c>
      <c r="B1896" t="s">
        <v>616</v>
      </c>
      <c r="C1896" s="1">
        <v>45447</v>
      </c>
      <c r="D1896" s="1">
        <v>45478</v>
      </c>
      <c r="E1896" s="1">
        <v>45479</v>
      </c>
      <c r="F1896" t="s">
        <v>29</v>
      </c>
      <c r="G1896" t="s">
        <v>39</v>
      </c>
      <c r="H1896" t="s">
        <v>46</v>
      </c>
      <c r="I1896">
        <v>31</v>
      </c>
      <c r="J1896">
        <v>1</v>
      </c>
      <c r="K1896">
        <v>2770</v>
      </c>
      <c r="L1896">
        <v>2770</v>
      </c>
      <c r="M1896" t="s">
        <v>51</v>
      </c>
      <c r="N1896">
        <v>1</v>
      </c>
      <c r="O1896" t="s">
        <v>25</v>
      </c>
    </row>
    <row r="1897" spans="1:15" x14ac:dyDescent="0.35">
      <c r="A1897">
        <v>2896</v>
      </c>
      <c r="B1897" t="s">
        <v>461</v>
      </c>
      <c r="C1897" s="1">
        <v>45563</v>
      </c>
      <c r="D1897" s="1">
        <v>45621</v>
      </c>
      <c r="E1897" s="1">
        <v>45626</v>
      </c>
      <c r="F1897" t="s">
        <v>38</v>
      </c>
      <c r="G1897" t="s">
        <v>39</v>
      </c>
      <c r="H1897" t="s">
        <v>23</v>
      </c>
      <c r="I1897">
        <v>58</v>
      </c>
      <c r="J1897">
        <v>5</v>
      </c>
      <c r="K1897">
        <v>4294</v>
      </c>
      <c r="L1897">
        <v>21470</v>
      </c>
      <c r="M1897" t="s">
        <v>24</v>
      </c>
      <c r="N1897">
        <v>1</v>
      </c>
      <c r="O1897" t="s">
        <v>31</v>
      </c>
    </row>
    <row r="1898" spans="1:15" x14ac:dyDescent="0.35">
      <c r="A1898">
        <v>2897</v>
      </c>
      <c r="B1898" t="s">
        <v>127</v>
      </c>
      <c r="C1898" s="1">
        <v>45466</v>
      </c>
      <c r="D1898" s="1">
        <v>45487</v>
      </c>
      <c r="E1898" s="1">
        <v>45488</v>
      </c>
      <c r="F1898" t="s">
        <v>29</v>
      </c>
      <c r="G1898" t="s">
        <v>39</v>
      </c>
      <c r="H1898" t="s">
        <v>30</v>
      </c>
      <c r="I1898">
        <v>21</v>
      </c>
      <c r="J1898">
        <v>1</v>
      </c>
      <c r="K1898">
        <v>7406</v>
      </c>
      <c r="L1898">
        <v>7406</v>
      </c>
      <c r="M1898" t="s">
        <v>51</v>
      </c>
      <c r="N1898">
        <v>1</v>
      </c>
      <c r="O1898" t="s">
        <v>25</v>
      </c>
    </row>
    <row r="1899" spans="1:15" x14ac:dyDescent="0.35">
      <c r="A1899">
        <v>2898</v>
      </c>
      <c r="B1899" t="s">
        <v>287</v>
      </c>
      <c r="C1899" s="1">
        <v>45395</v>
      </c>
      <c r="D1899" s="1">
        <v>45451</v>
      </c>
      <c r="E1899" s="1">
        <v>45456</v>
      </c>
      <c r="F1899" t="s">
        <v>38</v>
      </c>
      <c r="G1899" t="s">
        <v>22</v>
      </c>
      <c r="H1899" t="s">
        <v>46</v>
      </c>
      <c r="I1899">
        <v>56</v>
      </c>
      <c r="J1899">
        <v>5</v>
      </c>
      <c r="K1899">
        <v>4962</v>
      </c>
      <c r="L1899">
        <v>24810</v>
      </c>
      <c r="M1899" t="s">
        <v>51</v>
      </c>
      <c r="N1899">
        <v>1</v>
      </c>
      <c r="O1899" t="s">
        <v>25</v>
      </c>
    </row>
    <row r="1900" spans="1:15" x14ac:dyDescent="0.35">
      <c r="A1900">
        <v>2899</v>
      </c>
      <c r="B1900" t="s">
        <v>832</v>
      </c>
      <c r="C1900" s="1">
        <v>45383</v>
      </c>
      <c r="D1900" s="1">
        <v>45430</v>
      </c>
      <c r="E1900" s="1">
        <v>45431</v>
      </c>
      <c r="F1900" t="s">
        <v>29</v>
      </c>
      <c r="G1900" t="s">
        <v>22</v>
      </c>
      <c r="H1900" t="s">
        <v>30</v>
      </c>
      <c r="I1900">
        <v>47</v>
      </c>
      <c r="J1900">
        <v>1</v>
      </c>
      <c r="K1900">
        <v>6793</v>
      </c>
      <c r="L1900">
        <v>6793</v>
      </c>
      <c r="M1900" t="s">
        <v>51</v>
      </c>
      <c r="N1900">
        <v>1</v>
      </c>
      <c r="O1900" t="s">
        <v>25</v>
      </c>
    </row>
    <row r="1901" spans="1:15" x14ac:dyDescent="0.35">
      <c r="A1901">
        <v>2900</v>
      </c>
      <c r="B1901" t="s">
        <v>360</v>
      </c>
      <c r="C1901" s="1">
        <v>45477</v>
      </c>
      <c r="D1901" s="1">
        <v>45511</v>
      </c>
      <c r="E1901" s="1">
        <v>45513</v>
      </c>
      <c r="F1901" t="s">
        <v>29</v>
      </c>
      <c r="G1901" t="s">
        <v>39</v>
      </c>
      <c r="H1901" t="s">
        <v>30</v>
      </c>
      <c r="I1901">
        <v>34</v>
      </c>
      <c r="J1901">
        <v>2</v>
      </c>
      <c r="K1901">
        <v>5894</v>
      </c>
      <c r="L1901">
        <v>11788</v>
      </c>
      <c r="M1901" t="s">
        <v>24</v>
      </c>
      <c r="N1901">
        <v>0</v>
      </c>
      <c r="O1901" t="s">
        <v>31</v>
      </c>
    </row>
    <row r="1902" spans="1:15" x14ac:dyDescent="0.35">
      <c r="A1902">
        <v>2901</v>
      </c>
      <c r="B1902" t="s">
        <v>1098</v>
      </c>
      <c r="C1902" s="1">
        <v>45574</v>
      </c>
      <c r="D1902" s="1">
        <v>45629</v>
      </c>
      <c r="E1902" s="1">
        <v>45632</v>
      </c>
      <c r="F1902" t="s">
        <v>60</v>
      </c>
      <c r="G1902" t="s">
        <v>39</v>
      </c>
      <c r="H1902" t="s">
        <v>46</v>
      </c>
      <c r="I1902">
        <v>55</v>
      </c>
      <c r="J1902">
        <v>3</v>
      </c>
      <c r="K1902">
        <v>3579</v>
      </c>
      <c r="L1902">
        <v>10737</v>
      </c>
      <c r="M1902" t="s">
        <v>51</v>
      </c>
      <c r="N1902">
        <v>0</v>
      </c>
      <c r="O1902" t="s">
        <v>31</v>
      </c>
    </row>
    <row r="1903" spans="1:15" x14ac:dyDescent="0.35">
      <c r="A1903">
        <v>2902</v>
      </c>
      <c r="B1903" t="s">
        <v>1148</v>
      </c>
      <c r="C1903" s="1">
        <v>45472</v>
      </c>
      <c r="D1903" s="1">
        <v>45503</v>
      </c>
      <c r="E1903" s="1">
        <v>45506</v>
      </c>
      <c r="F1903" t="s">
        <v>29</v>
      </c>
      <c r="G1903" t="s">
        <v>22</v>
      </c>
      <c r="H1903" t="s">
        <v>30</v>
      </c>
      <c r="I1903">
        <v>31</v>
      </c>
      <c r="J1903">
        <v>3</v>
      </c>
      <c r="K1903">
        <v>5378</v>
      </c>
      <c r="L1903">
        <v>16134</v>
      </c>
      <c r="M1903" t="s">
        <v>51</v>
      </c>
      <c r="N1903">
        <v>1</v>
      </c>
      <c r="O1903" t="s">
        <v>25</v>
      </c>
    </row>
    <row r="1904" spans="1:15" x14ac:dyDescent="0.35">
      <c r="A1904">
        <v>2903</v>
      </c>
      <c r="B1904" t="s">
        <v>852</v>
      </c>
      <c r="C1904" s="1">
        <v>45461</v>
      </c>
      <c r="D1904" s="1">
        <v>45513</v>
      </c>
      <c r="E1904" s="1">
        <v>45517</v>
      </c>
      <c r="F1904" t="s">
        <v>38</v>
      </c>
      <c r="G1904" t="s">
        <v>22</v>
      </c>
      <c r="H1904" t="s">
        <v>23</v>
      </c>
      <c r="I1904">
        <v>52</v>
      </c>
      <c r="J1904">
        <v>4</v>
      </c>
      <c r="K1904">
        <v>7822</v>
      </c>
      <c r="L1904">
        <v>31288</v>
      </c>
      <c r="M1904" t="s">
        <v>24</v>
      </c>
      <c r="N1904">
        <v>1</v>
      </c>
      <c r="O1904" t="s">
        <v>25</v>
      </c>
    </row>
    <row r="1905" spans="1:15" x14ac:dyDescent="0.35">
      <c r="A1905">
        <v>2904</v>
      </c>
      <c r="B1905" t="s">
        <v>18</v>
      </c>
      <c r="C1905" s="1">
        <v>45478</v>
      </c>
      <c r="D1905" s="1">
        <v>45503</v>
      </c>
      <c r="E1905" s="1">
        <v>45505</v>
      </c>
      <c r="F1905" t="s">
        <v>60</v>
      </c>
      <c r="G1905" t="s">
        <v>22</v>
      </c>
      <c r="H1905" t="s">
        <v>23</v>
      </c>
      <c r="I1905">
        <v>25</v>
      </c>
      <c r="J1905">
        <v>2</v>
      </c>
      <c r="K1905">
        <v>8240</v>
      </c>
      <c r="L1905">
        <v>16480</v>
      </c>
      <c r="M1905" t="s">
        <v>51</v>
      </c>
      <c r="N1905">
        <v>0</v>
      </c>
      <c r="O1905" t="s">
        <v>25</v>
      </c>
    </row>
    <row r="1906" spans="1:15" x14ac:dyDescent="0.35">
      <c r="A1906">
        <v>2905</v>
      </c>
      <c r="B1906" t="s">
        <v>825</v>
      </c>
      <c r="C1906" s="1">
        <v>45466</v>
      </c>
      <c r="D1906" s="1">
        <v>45478</v>
      </c>
      <c r="E1906" s="1">
        <v>45481</v>
      </c>
      <c r="F1906" t="s">
        <v>29</v>
      </c>
      <c r="G1906" t="s">
        <v>39</v>
      </c>
      <c r="H1906" t="s">
        <v>30</v>
      </c>
      <c r="I1906">
        <v>12</v>
      </c>
      <c r="J1906">
        <v>3</v>
      </c>
      <c r="K1906">
        <v>7223</v>
      </c>
      <c r="L1906">
        <v>21669</v>
      </c>
      <c r="M1906" t="s">
        <v>24</v>
      </c>
      <c r="N1906">
        <v>0</v>
      </c>
      <c r="O1906" t="s">
        <v>25</v>
      </c>
    </row>
    <row r="1907" spans="1:15" x14ac:dyDescent="0.35">
      <c r="A1907">
        <v>2906</v>
      </c>
      <c r="B1907" t="s">
        <v>1149</v>
      </c>
      <c r="C1907" s="1">
        <v>45513</v>
      </c>
      <c r="D1907" s="1">
        <v>45514</v>
      </c>
      <c r="E1907" s="1">
        <v>45518</v>
      </c>
      <c r="F1907" t="s">
        <v>60</v>
      </c>
      <c r="G1907" t="s">
        <v>22</v>
      </c>
      <c r="H1907" t="s">
        <v>23</v>
      </c>
      <c r="I1907">
        <v>1</v>
      </c>
      <c r="J1907">
        <v>4</v>
      </c>
      <c r="K1907">
        <v>3103</v>
      </c>
      <c r="L1907">
        <v>12412</v>
      </c>
      <c r="M1907" t="s">
        <v>24</v>
      </c>
      <c r="N1907">
        <v>1</v>
      </c>
      <c r="O1907" t="s">
        <v>25</v>
      </c>
    </row>
    <row r="1908" spans="1:15" x14ac:dyDescent="0.35">
      <c r="A1908">
        <v>2907</v>
      </c>
      <c r="B1908" t="s">
        <v>225</v>
      </c>
      <c r="C1908" s="1">
        <v>45524</v>
      </c>
      <c r="D1908" s="1">
        <v>45579</v>
      </c>
      <c r="E1908" s="1">
        <v>45581</v>
      </c>
      <c r="F1908" t="s">
        <v>21</v>
      </c>
      <c r="G1908" t="s">
        <v>22</v>
      </c>
      <c r="H1908" t="s">
        <v>30</v>
      </c>
      <c r="I1908">
        <v>55</v>
      </c>
      <c r="J1908">
        <v>2</v>
      </c>
      <c r="K1908">
        <v>7757</v>
      </c>
      <c r="L1908">
        <v>15514</v>
      </c>
      <c r="M1908" t="s">
        <v>51</v>
      </c>
      <c r="N1908">
        <v>0</v>
      </c>
      <c r="O1908" t="s">
        <v>25</v>
      </c>
    </row>
    <row r="1909" spans="1:15" x14ac:dyDescent="0.35">
      <c r="A1909">
        <v>2908</v>
      </c>
      <c r="B1909" t="s">
        <v>539</v>
      </c>
      <c r="C1909" s="1">
        <v>45453</v>
      </c>
      <c r="D1909" s="1">
        <v>45475</v>
      </c>
      <c r="E1909" s="1">
        <v>45478</v>
      </c>
      <c r="F1909" t="s">
        <v>60</v>
      </c>
      <c r="G1909" t="s">
        <v>39</v>
      </c>
      <c r="H1909" t="s">
        <v>23</v>
      </c>
      <c r="I1909">
        <v>22</v>
      </c>
      <c r="J1909">
        <v>3</v>
      </c>
      <c r="K1909">
        <v>8041</v>
      </c>
      <c r="L1909">
        <v>24123</v>
      </c>
      <c r="M1909" t="s">
        <v>51</v>
      </c>
      <c r="N1909">
        <v>1</v>
      </c>
      <c r="O1909" t="s">
        <v>31</v>
      </c>
    </row>
    <row r="1910" spans="1:15" x14ac:dyDescent="0.35">
      <c r="A1910">
        <v>2909</v>
      </c>
      <c r="B1910" t="s">
        <v>49</v>
      </c>
      <c r="C1910" s="1">
        <v>45425</v>
      </c>
      <c r="D1910" s="1">
        <v>45465</v>
      </c>
      <c r="E1910" s="1">
        <v>45466</v>
      </c>
      <c r="F1910" t="s">
        <v>21</v>
      </c>
      <c r="G1910" t="s">
        <v>39</v>
      </c>
      <c r="H1910" t="s">
        <v>30</v>
      </c>
      <c r="I1910">
        <v>40</v>
      </c>
      <c r="J1910">
        <v>1</v>
      </c>
      <c r="K1910">
        <v>7676</v>
      </c>
      <c r="L1910">
        <v>7676</v>
      </c>
      <c r="M1910" t="s">
        <v>51</v>
      </c>
      <c r="N1910">
        <v>0</v>
      </c>
      <c r="O1910" t="s">
        <v>25</v>
      </c>
    </row>
    <row r="1911" spans="1:15" x14ac:dyDescent="0.35">
      <c r="A1911">
        <v>2910</v>
      </c>
      <c r="B1911" t="s">
        <v>862</v>
      </c>
      <c r="C1911" s="1">
        <v>45515</v>
      </c>
      <c r="D1911" s="1">
        <v>45552</v>
      </c>
      <c r="E1911" s="1">
        <v>45557</v>
      </c>
      <c r="F1911" t="s">
        <v>21</v>
      </c>
      <c r="G1911" t="s">
        <v>39</v>
      </c>
      <c r="H1911" t="s">
        <v>23</v>
      </c>
      <c r="I1911">
        <v>37</v>
      </c>
      <c r="J1911">
        <v>5</v>
      </c>
      <c r="K1911">
        <v>4085</v>
      </c>
      <c r="L1911">
        <v>20425</v>
      </c>
      <c r="M1911" t="s">
        <v>24</v>
      </c>
      <c r="N1911">
        <v>0</v>
      </c>
      <c r="O1911" t="s">
        <v>25</v>
      </c>
    </row>
    <row r="1912" spans="1:15" x14ac:dyDescent="0.35">
      <c r="A1912">
        <v>2911</v>
      </c>
      <c r="B1912" t="s">
        <v>1105</v>
      </c>
      <c r="C1912" s="1">
        <v>45444</v>
      </c>
      <c r="D1912" s="1">
        <v>45491</v>
      </c>
      <c r="E1912" s="1">
        <v>45493</v>
      </c>
      <c r="F1912" t="s">
        <v>60</v>
      </c>
      <c r="G1912" t="s">
        <v>22</v>
      </c>
      <c r="H1912" t="s">
        <v>46</v>
      </c>
      <c r="I1912">
        <v>47</v>
      </c>
      <c r="J1912">
        <v>2</v>
      </c>
      <c r="K1912">
        <v>5557</v>
      </c>
      <c r="L1912">
        <v>11114</v>
      </c>
      <c r="M1912" t="s">
        <v>51</v>
      </c>
      <c r="N1912">
        <v>0</v>
      </c>
      <c r="O1912" t="s">
        <v>31</v>
      </c>
    </row>
    <row r="1913" spans="1:15" x14ac:dyDescent="0.35">
      <c r="A1913">
        <v>2912</v>
      </c>
      <c r="B1913" t="s">
        <v>1150</v>
      </c>
      <c r="C1913" s="1">
        <v>45324</v>
      </c>
      <c r="D1913" s="1">
        <v>45325</v>
      </c>
      <c r="E1913" s="1">
        <v>45329</v>
      </c>
      <c r="F1913" t="s">
        <v>38</v>
      </c>
      <c r="G1913" t="s">
        <v>39</v>
      </c>
      <c r="H1913" t="s">
        <v>46</v>
      </c>
      <c r="I1913">
        <v>1</v>
      </c>
      <c r="J1913">
        <v>4</v>
      </c>
      <c r="K1913">
        <v>8714</v>
      </c>
      <c r="L1913">
        <v>34856</v>
      </c>
      <c r="M1913" t="s">
        <v>51</v>
      </c>
      <c r="N1913">
        <v>0</v>
      </c>
      <c r="O1913" t="s">
        <v>25</v>
      </c>
    </row>
    <row r="1914" spans="1:15" x14ac:dyDescent="0.35">
      <c r="A1914">
        <v>2913</v>
      </c>
      <c r="B1914" t="s">
        <v>1121</v>
      </c>
      <c r="C1914" s="1">
        <v>45346</v>
      </c>
      <c r="D1914" s="1">
        <v>45347</v>
      </c>
      <c r="E1914" s="1">
        <v>45349</v>
      </c>
      <c r="F1914" t="s">
        <v>38</v>
      </c>
      <c r="G1914" t="s">
        <v>39</v>
      </c>
      <c r="H1914" t="s">
        <v>23</v>
      </c>
      <c r="I1914">
        <v>1</v>
      </c>
      <c r="J1914">
        <v>2</v>
      </c>
      <c r="K1914">
        <v>7506</v>
      </c>
      <c r="L1914">
        <v>15012</v>
      </c>
      <c r="M1914" t="s">
        <v>51</v>
      </c>
      <c r="N1914">
        <v>0</v>
      </c>
      <c r="O1914" t="s">
        <v>25</v>
      </c>
    </row>
    <row r="1915" spans="1:15" x14ac:dyDescent="0.35">
      <c r="A1915">
        <v>2914</v>
      </c>
      <c r="B1915" t="s">
        <v>1151</v>
      </c>
      <c r="C1915" s="1">
        <v>45298</v>
      </c>
      <c r="D1915" s="1">
        <v>45355</v>
      </c>
      <c r="E1915" s="1">
        <v>45359</v>
      </c>
      <c r="F1915" t="s">
        <v>38</v>
      </c>
      <c r="G1915" t="s">
        <v>22</v>
      </c>
      <c r="H1915" t="s">
        <v>30</v>
      </c>
      <c r="I1915">
        <v>57</v>
      </c>
      <c r="J1915">
        <v>4</v>
      </c>
      <c r="K1915">
        <v>6485</v>
      </c>
      <c r="L1915">
        <v>25940</v>
      </c>
      <c r="M1915" t="s">
        <v>24</v>
      </c>
      <c r="N1915">
        <v>1</v>
      </c>
      <c r="O1915" t="s">
        <v>25</v>
      </c>
    </row>
    <row r="1916" spans="1:15" x14ac:dyDescent="0.35">
      <c r="A1916">
        <v>2915</v>
      </c>
      <c r="B1916" t="s">
        <v>646</v>
      </c>
      <c r="C1916" s="1">
        <v>45535</v>
      </c>
      <c r="D1916" s="1">
        <v>45577</v>
      </c>
      <c r="E1916" s="1">
        <v>45579</v>
      </c>
      <c r="F1916" t="s">
        <v>35</v>
      </c>
      <c r="G1916" t="s">
        <v>22</v>
      </c>
      <c r="H1916" t="s">
        <v>23</v>
      </c>
      <c r="I1916">
        <v>42</v>
      </c>
      <c r="J1916">
        <v>2</v>
      </c>
      <c r="K1916">
        <v>7189</v>
      </c>
      <c r="L1916">
        <v>14378</v>
      </c>
      <c r="M1916" t="s">
        <v>24</v>
      </c>
      <c r="N1916">
        <v>1</v>
      </c>
      <c r="O1916" t="s">
        <v>25</v>
      </c>
    </row>
    <row r="1917" spans="1:15" x14ac:dyDescent="0.35">
      <c r="A1917">
        <v>2916</v>
      </c>
      <c r="B1917" t="s">
        <v>1152</v>
      </c>
      <c r="C1917" s="1">
        <v>45604</v>
      </c>
      <c r="D1917" s="1">
        <v>45658</v>
      </c>
      <c r="E1917" s="1">
        <v>45662</v>
      </c>
      <c r="F1917" t="s">
        <v>21</v>
      </c>
      <c r="G1917" t="s">
        <v>39</v>
      </c>
      <c r="H1917" t="s">
        <v>30</v>
      </c>
      <c r="I1917">
        <v>54</v>
      </c>
      <c r="J1917">
        <v>4</v>
      </c>
      <c r="K1917">
        <v>3895</v>
      </c>
      <c r="L1917">
        <v>15580</v>
      </c>
      <c r="M1917" t="s">
        <v>24</v>
      </c>
      <c r="N1917">
        <v>1</v>
      </c>
      <c r="O1917" t="s">
        <v>31</v>
      </c>
    </row>
    <row r="1918" spans="1:15" x14ac:dyDescent="0.35">
      <c r="A1918">
        <v>2917</v>
      </c>
      <c r="B1918" t="s">
        <v>1080</v>
      </c>
      <c r="C1918" s="1">
        <v>45417</v>
      </c>
      <c r="D1918" s="1">
        <v>45459</v>
      </c>
      <c r="E1918" s="1">
        <v>45462</v>
      </c>
      <c r="F1918" t="s">
        <v>60</v>
      </c>
      <c r="G1918" t="s">
        <v>22</v>
      </c>
      <c r="H1918" t="s">
        <v>23</v>
      </c>
      <c r="I1918">
        <v>42</v>
      </c>
      <c r="J1918">
        <v>3</v>
      </c>
      <c r="K1918">
        <v>6188</v>
      </c>
      <c r="L1918">
        <v>18564</v>
      </c>
      <c r="M1918" t="s">
        <v>51</v>
      </c>
      <c r="N1918">
        <v>1</v>
      </c>
      <c r="O1918" t="s">
        <v>25</v>
      </c>
    </row>
    <row r="1919" spans="1:15" x14ac:dyDescent="0.35">
      <c r="A1919">
        <v>2918</v>
      </c>
      <c r="B1919" t="s">
        <v>339</v>
      </c>
      <c r="C1919" s="1">
        <v>45303</v>
      </c>
      <c r="D1919" s="1">
        <v>45324</v>
      </c>
      <c r="E1919" s="1">
        <v>45325</v>
      </c>
      <c r="F1919" t="s">
        <v>38</v>
      </c>
      <c r="G1919" t="s">
        <v>39</v>
      </c>
      <c r="H1919" t="s">
        <v>23</v>
      </c>
      <c r="I1919">
        <v>21</v>
      </c>
      <c r="J1919">
        <v>1</v>
      </c>
      <c r="K1919">
        <v>3099</v>
      </c>
      <c r="L1919">
        <v>3099</v>
      </c>
      <c r="M1919" t="s">
        <v>51</v>
      </c>
      <c r="N1919">
        <v>0</v>
      </c>
      <c r="O1919" t="s">
        <v>31</v>
      </c>
    </row>
    <row r="1920" spans="1:15" x14ac:dyDescent="0.35">
      <c r="A1920">
        <v>2919</v>
      </c>
      <c r="B1920" t="s">
        <v>454</v>
      </c>
      <c r="C1920" s="1">
        <v>45307</v>
      </c>
      <c r="D1920" s="1">
        <v>45322</v>
      </c>
      <c r="E1920" s="1">
        <v>45325</v>
      </c>
      <c r="F1920" t="s">
        <v>38</v>
      </c>
      <c r="G1920" t="s">
        <v>22</v>
      </c>
      <c r="H1920" t="s">
        <v>46</v>
      </c>
      <c r="I1920">
        <v>15</v>
      </c>
      <c r="J1920">
        <v>3</v>
      </c>
      <c r="K1920">
        <v>3013</v>
      </c>
      <c r="L1920">
        <v>9039</v>
      </c>
      <c r="M1920" t="s">
        <v>24</v>
      </c>
      <c r="N1920">
        <v>1</v>
      </c>
      <c r="O1920" t="s">
        <v>25</v>
      </c>
    </row>
    <row r="1921" spans="1:15" x14ac:dyDescent="0.35">
      <c r="A1921">
        <v>2920</v>
      </c>
      <c r="B1921" t="s">
        <v>763</v>
      </c>
      <c r="C1921" s="1">
        <v>45499</v>
      </c>
      <c r="D1921" s="1">
        <v>45516</v>
      </c>
      <c r="E1921" s="1">
        <v>45517</v>
      </c>
      <c r="F1921" t="s">
        <v>60</v>
      </c>
      <c r="G1921" t="s">
        <v>22</v>
      </c>
      <c r="H1921" t="s">
        <v>30</v>
      </c>
      <c r="I1921">
        <v>17</v>
      </c>
      <c r="J1921">
        <v>1</v>
      </c>
      <c r="K1921">
        <v>8491</v>
      </c>
      <c r="L1921">
        <v>8491</v>
      </c>
      <c r="M1921" t="s">
        <v>51</v>
      </c>
      <c r="N1921">
        <v>1</v>
      </c>
      <c r="O1921" t="s">
        <v>25</v>
      </c>
    </row>
    <row r="1922" spans="1:15" x14ac:dyDescent="0.35">
      <c r="A1922">
        <v>2921</v>
      </c>
      <c r="B1922" t="s">
        <v>268</v>
      </c>
      <c r="C1922" s="1">
        <v>45334</v>
      </c>
      <c r="D1922" s="1">
        <v>45356</v>
      </c>
      <c r="E1922" s="1">
        <v>45359</v>
      </c>
      <c r="F1922" t="s">
        <v>21</v>
      </c>
      <c r="G1922" t="s">
        <v>39</v>
      </c>
      <c r="H1922" t="s">
        <v>30</v>
      </c>
      <c r="I1922">
        <v>22</v>
      </c>
      <c r="J1922">
        <v>3</v>
      </c>
      <c r="K1922">
        <v>8727</v>
      </c>
      <c r="L1922">
        <v>26181</v>
      </c>
      <c r="M1922" t="s">
        <v>51</v>
      </c>
      <c r="N1922">
        <v>0</v>
      </c>
      <c r="O1922" t="s">
        <v>31</v>
      </c>
    </row>
    <row r="1923" spans="1:15" x14ac:dyDescent="0.35">
      <c r="A1923">
        <v>2922</v>
      </c>
      <c r="B1923" t="s">
        <v>1153</v>
      </c>
      <c r="C1923" s="1">
        <v>45426</v>
      </c>
      <c r="D1923" s="1">
        <v>45464</v>
      </c>
      <c r="E1923" s="1">
        <v>45467</v>
      </c>
      <c r="F1923" t="s">
        <v>60</v>
      </c>
      <c r="G1923" t="s">
        <v>39</v>
      </c>
      <c r="H1923" t="s">
        <v>30</v>
      </c>
      <c r="I1923">
        <v>38</v>
      </c>
      <c r="J1923">
        <v>3</v>
      </c>
      <c r="K1923">
        <v>3566</v>
      </c>
      <c r="L1923">
        <v>10698</v>
      </c>
      <c r="M1923" t="s">
        <v>24</v>
      </c>
      <c r="N1923">
        <v>0</v>
      </c>
      <c r="O1923" t="s">
        <v>25</v>
      </c>
    </row>
    <row r="1924" spans="1:15" x14ac:dyDescent="0.35">
      <c r="A1924">
        <v>2923</v>
      </c>
      <c r="B1924" t="s">
        <v>294</v>
      </c>
      <c r="C1924" s="1">
        <v>45519</v>
      </c>
      <c r="D1924" s="1">
        <v>45554</v>
      </c>
      <c r="E1924" s="1">
        <v>45556</v>
      </c>
      <c r="F1924" t="s">
        <v>35</v>
      </c>
      <c r="G1924" t="s">
        <v>39</v>
      </c>
      <c r="H1924" t="s">
        <v>30</v>
      </c>
      <c r="I1924">
        <v>35</v>
      </c>
      <c r="J1924">
        <v>2</v>
      </c>
      <c r="K1924">
        <v>5386</v>
      </c>
      <c r="L1924">
        <v>10772</v>
      </c>
      <c r="M1924" t="s">
        <v>24</v>
      </c>
      <c r="N1924">
        <v>1</v>
      </c>
      <c r="O1924" t="s">
        <v>31</v>
      </c>
    </row>
    <row r="1925" spans="1:15" x14ac:dyDescent="0.35">
      <c r="A1925">
        <v>2924</v>
      </c>
      <c r="B1925" t="s">
        <v>1154</v>
      </c>
      <c r="C1925" s="1">
        <v>45402</v>
      </c>
      <c r="D1925" s="1">
        <v>45447</v>
      </c>
      <c r="E1925" s="1">
        <v>45452</v>
      </c>
      <c r="F1925" t="s">
        <v>35</v>
      </c>
      <c r="G1925" t="s">
        <v>22</v>
      </c>
      <c r="H1925" t="s">
        <v>30</v>
      </c>
      <c r="I1925">
        <v>45</v>
      </c>
      <c r="J1925">
        <v>5</v>
      </c>
      <c r="K1925">
        <v>8553</v>
      </c>
      <c r="L1925">
        <v>42765</v>
      </c>
      <c r="M1925" t="s">
        <v>24</v>
      </c>
      <c r="N1925">
        <v>1</v>
      </c>
      <c r="O1925" t="s">
        <v>31</v>
      </c>
    </row>
    <row r="1926" spans="1:15" x14ac:dyDescent="0.35">
      <c r="A1926">
        <v>2925</v>
      </c>
      <c r="B1926" t="s">
        <v>1155</v>
      </c>
      <c r="C1926" s="1">
        <v>45598</v>
      </c>
      <c r="D1926" s="1">
        <v>45614</v>
      </c>
      <c r="E1926" s="1">
        <v>45618</v>
      </c>
      <c r="F1926" t="s">
        <v>60</v>
      </c>
      <c r="G1926" t="s">
        <v>39</v>
      </c>
      <c r="H1926" t="s">
        <v>46</v>
      </c>
      <c r="I1926">
        <v>16</v>
      </c>
      <c r="J1926">
        <v>4</v>
      </c>
      <c r="K1926">
        <v>5153</v>
      </c>
      <c r="L1926">
        <v>20612</v>
      </c>
      <c r="M1926" t="s">
        <v>51</v>
      </c>
      <c r="N1926">
        <v>1</v>
      </c>
      <c r="O1926" t="s">
        <v>31</v>
      </c>
    </row>
    <row r="1927" spans="1:15" x14ac:dyDescent="0.35">
      <c r="A1927">
        <v>2926</v>
      </c>
      <c r="B1927" t="s">
        <v>1115</v>
      </c>
      <c r="C1927" s="1">
        <v>45451</v>
      </c>
      <c r="D1927" s="1">
        <v>45459</v>
      </c>
      <c r="E1927" s="1">
        <v>45463</v>
      </c>
      <c r="F1927" t="s">
        <v>21</v>
      </c>
      <c r="G1927" t="s">
        <v>22</v>
      </c>
      <c r="H1927" t="s">
        <v>23</v>
      </c>
      <c r="I1927">
        <v>8</v>
      </c>
      <c r="J1927">
        <v>4</v>
      </c>
      <c r="K1927">
        <v>7405</v>
      </c>
      <c r="L1927">
        <v>29620</v>
      </c>
      <c r="M1927" t="s">
        <v>51</v>
      </c>
      <c r="N1927">
        <v>0</v>
      </c>
      <c r="O1927" t="s">
        <v>25</v>
      </c>
    </row>
    <row r="1928" spans="1:15" x14ac:dyDescent="0.35">
      <c r="A1928">
        <v>2927</v>
      </c>
      <c r="B1928" t="s">
        <v>946</v>
      </c>
      <c r="C1928" s="1">
        <v>45622</v>
      </c>
      <c r="D1928" s="1">
        <v>45669</v>
      </c>
      <c r="E1928" s="1">
        <v>45673</v>
      </c>
      <c r="F1928" t="s">
        <v>38</v>
      </c>
      <c r="G1928" t="s">
        <v>22</v>
      </c>
      <c r="H1928" t="s">
        <v>30</v>
      </c>
      <c r="I1928">
        <v>47</v>
      </c>
      <c r="J1928">
        <v>4</v>
      </c>
      <c r="K1928">
        <v>8776</v>
      </c>
      <c r="L1928">
        <v>35104</v>
      </c>
      <c r="M1928" t="s">
        <v>51</v>
      </c>
      <c r="N1928">
        <v>1</v>
      </c>
      <c r="O1928" t="s">
        <v>25</v>
      </c>
    </row>
    <row r="1929" spans="1:15" x14ac:dyDescent="0.35">
      <c r="A1929">
        <v>2928</v>
      </c>
      <c r="B1929" t="s">
        <v>933</v>
      </c>
      <c r="C1929" s="1">
        <v>45555</v>
      </c>
      <c r="D1929" s="1">
        <v>45572</v>
      </c>
      <c r="E1929" s="1">
        <v>45573</v>
      </c>
      <c r="F1929" t="s">
        <v>35</v>
      </c>
      <c r="G1929" t="s">
        <v>39</v>
      </c>
      <c r="H1929" t="s">
        <v>30</v>
      </c>
      <c r="I1929">
        <v>17</v>
      </c>
      <c r="J1929">
        <v>1</v>
      </c>
      <c r="K1929">
        <v>3588</v>
      </c>
      <c r="L1929">
        <v>3588</v>
      </c>
      <c r="M1929" t="s">
        <v>24</v>
      </c>
      <c r="N1929">
        <v>0</v>
      </c>
      <c r="O1929" t="s">
        <v>25</v>
      </c>
    </row>
    <row r="1930" spans="1:15" x14ac:dyDescent="0.35">
      <c r="A1930">
        <v>2929</v>
      </c>
      <c r="B1930" t="s">
        <v>924</v>
      </c>
      <c r="C1930" s="1">
        <v>45516</v>
      </c>
      <c r="D1930" s="1">
        <v>45533</v>
      </c>
      <c r="E1930" s="1">
        <v>45537</v>
      </c>
      <c r="F1930" t="s">
        <v>35</v>
      </c>
      <c r="G1930" t="s">
        <v>22</v>
      </c>
      <c r="H1930" t="s">
        <v>23</v>
      </c>
      <c r="I1930">
        <v>17</v>
      </c>
      <c r="J1930">
        <v>4</v>
      </c>
      <c r="K1930">
        <v>6885</v>
      </c>
      <c r="L1930">
        <v>27540</v>
      </c>
      <c r="M1930" t="s">
        <v>24</v>
      </c>
      <c r="N1930">
        <v>1</v>
      </c>
      <c r="O1930" t="s">
        <v>25</v>
      </c>
    </row>
    <row r="1931" spans="1:15" x14ac:dyDescent="0.35">
      <c r="A1931">
        <v>2930</v>
      </c>
      <c r="B1931" t="s">
        <v>933</v>
      </c>
      <c r="C1931" s="1">
        <v>45508</v>
      </c>
      <c r="D1931" s="1">
        <v>45562</v>
      </c>
      <c r="E1931" s="1">
        <v>45566</v>
      </c>
      <c r="F1931" t="s">
        <v>21</v>
      </c>
      <c r="G1931" t="s">
        <v>22</v>
      </c>
      <c r="H1931" t="s">
        <v>46</v>
      </c>
      <c r="I1931">
        <v>54</v>
      </c>
      <c r="J1931">
        <v>4</v>
      </c>
      <c r="K1931">
        <v>7364</v>
      </c>
      <c r="L1931">
        <v>29456</v>
      </c>
      <c r="M1931" t="s">
        <v>51</v>
      </c>
      <c r="N1931">
        <v>1</v>
      </c>
      <c r="O1931" t="s">
        <v>31</v>
      </c>
    </row>
    <row r="1932" spans="1:15" x14ac:dyDescent="0.35">
      <c r="A1932">
        <v>2931</v>
      </c>
      <c r="B1932" t="s">
        <v>747</v>
      </c>
      <c r="C1932" s="1">
        <v>45336</v>
      </c>
      <c r="D1932" s="1">
        <v>45362</v>
      </c>
      <c r="E1932" s="1">
        <v>45364</v>
      </c>
      <c r="F1932" t="s">
        <v>35</v>
      </c>
      <c r="G1932" t="s">
        <v>39</v>
      </c>
      <c r="H1932" t="s">
        <v>46</v>
      </c>
      <c r="I1932">
        <v>26</v>
      </c>
      <c r="J1932">
        <v>2</v>
      </c>
      <c r="K1932">
        <v>5014</v>
      </c>
      <c r="L1932">
        <v>10028</v>
      </c>
      <c r="M1932" t="s">
        <v>24</v>
      </c>
      <c r="N1932">
        <v>0</v>
      </c>
      <c r="O1932" t="s">
        <v>25</v>
      </c>
    </row>
    <row r="1933" spans="1:15" x14ac:dyDescent="0.35">
      <c r="A1933">
        <v>2932</v>
      </c>
      <c r="B1933" t="s">
        <v>1049</v>
      </c>
      <c r="C1933" s="1">
        <v>45505</v>
      </c>
      <c r="D1933" s="1">
        <v>45518</v>
      </c>
      <c r="E1933" s="1">
        <v>45521</v>
      </c>
      <c r="F1933" t="s">
        <v>35</v>
      </c>
      <c r="G1933" t="s">
        <v>22</v>
      </c>
      <c r="H1933" t="s">
        <v>46</v>
      </c>
      <c r="I1933">
        <v>13</v>
      </c>
      <c r="J1933">
        <v>3</v>
      </c>
      <c r="K1933">
        <v>6469</v>
      </c>
      <c r="L1933">
        <v>19407</v>
      </c>
      <c r="M1933" t="s">
        <v>24</v>
      </c>
      <c r="N1933">
        <v>1</v>
      </c>
      <c r="O1933" t="s">
        <v>25</v>
      </c>
    </row>
    <row r="1934" spans="1:15" x14ac:dyDescent="0.35">
      <c r="A1934">
        <v>2933</v>
      </c>
      <c r="B1934" t="s">
        <v>1156</v>
      </c>
      <c r="C1934" s="1">
        <v>45350</v>
      </c>
      <c r="D1934" s="1">
        <v>45367</v>
      </c>
      <c r="E1934" s="1">
        <v>45371</v>
      </c>
      <c r="F1934" t="s">
        <v>21</v>
      </c>
      <c r="G1934" t="s">
        <v>22</v>
      </c>
      <c r="H1934" t="s">
        <v>23</v>
      </c>
      <c r="I1934">
        <v>17</v>
      </c>
      <c r="J1934">
        <v>4</v>
      </c>
      <c r="K1934">
        <v>5784</v>
      </c>
      <c r="L1934">
        <v>23136</v>
      </c>
      <c r="M1934" t="s">
        <v>51</v>
      </c>
      <c r="N1934">
        <v>0</v>
      </c>
      <c r="O1934" t="s">
        <v>31</v>
      </c>
    </row>
    <row r="1935" spans="1:15" x14ac:dyDescent="0.35">
      <c r="A1935">
        <v>2934</v>
      </c>
      <c r="B1935" t="s">
        <v>964</v>
      </c>
      <c r="C1935" s="1">
        <v>45423</v>
      </c>
      <c r="D1935" s="1">
        <v>45461</v>
      </c>
      <c r="E1935" s="1">
        <v>45466</v>
      </c>
      <c r="F1935" t="s">
        <v>60</v>
      </c>
      <c r="G1935" t="s">
        <v>39</v>
      </c>
      <c r="H1935" t="s">
        <v>23</v>
      </c>
      <c r="I1935">
        <v>38</v>
      </c>
      <c r="J1935">
        <v>5</v>
      </c>
      <c r="K1935">
        <v>7066</v>
      </c>
      <c r="L1935">
        <v>35330</v>
      </c>
      <c r="M1935" t="s">
        <v>24</v>
      </c>
      <c r="N1935">
        <v>1</v>
      </c>
      <c r="O1935" t="s">
        <v>31</v>
      </c>
    </row>
    <row r="1936" spans="1:15" x14ac:dyDescent="0.35">
      <c r="A1936">
        <v>2935</v>
      </c>
      <c r="B1936" t="s">
        <v>1119</v>
      </c>
      <c r="C1936" s="1">
        <v>45395</v>
      </c>
      <c r="D1936" s="1">
        <v>45412</v>
      </c>
      <c r="E1936" s="1">
        <v>45416</v>
      </c>
      <c r="F1936" t="s">
        <v>38</v>
      </c>
      <c r="G1936" t="s">
        <v>39</v>
      </c>
      <c r="H1936" t="s">
        <v>46</v>
      </c>
      <c r="I1936">
        <v>17</v>
      </c>
      <c r="J1936">
        <v>4</v>
      </c>
      <c r="K1936">
        <v>4696</v>
      </c>
      <c r="L1936">
        <v>18784</v>
      </c>
      <c r="M1936" t="s">
        <v>51</v>
      </c>
      <c r="N1936">
        <v>0</v>
      </c>
      <c r="O1936" t="s">
        <v>25</v>
      </c>
    </row>
    <row r="1937" spans="1:15" x14ac:dyDescent="0.35">
      <c r="A1937">
        <v>2936</v>
      </c>
      <c r="B1937" t="s">
        <v>924</v>
      </c>
      <c r="C1937" s="1">
        <v>45486</v>
      </c>
      <c r="D1937" s="1">
        <v>45534</v>
      </c>
      <c r="E1937" s="1">
        <v>45535</v>
      </c>
      <c r="F1937" t="s">
        <v>38</v>
      </c>
      <c r="G1937" t="s">
        <v>22</v>
      </c>
      <c r="H1937" t="s">
        <v>46</v>
      </c>
      <c r="I1937">
        <v>48</v>
      </c>
      <c r="J1937">
        <v>1</v>
      </c>
      <c r="K1937">
        <v>6683</v>
      </c>
      <c r="L1937">
        <v>6683</v>
      </c>
      <c r="M1937" t="s">
        <v>24</v>
      </c>
      <c r="N1937">
        <v>1</v>
      </c>
      <c r="O1937" t="s">
        <v>31</v>
      </c>
    </row>
    <row r="1938" spans="1:15" x14ac:dyDescent="0.35">
      <c r="A1938">
        <v>2937</v>
      </c>
      <c r="B1938" t="s">
        <v>341</v>
      </c>
      <c r="C1938" s="1">
        <v>45448</v>
      </c>
      <c r="D1938" s="1">
        <v>45462</v>
      </c>
      <c r="E1938" s="1">
        <v>45463</v>
      </c>
      <c r="F1938" t="s">
        <v>35</v>
      </c>
      <c r="G1938" t="s">
        <v>22</v>
      </c>
      <c r="H1938" t="s">
        <v>23</v>
      </c>
      <c r="I1938">
        <v>14</v>
      </c>
      <c r="J1938">
        <v>1</v>
      </c>
      <c r="K1938">
        <v>3289</v>
      </c>
      <c r="L1938">
        <v>3289</v>
      </c>
      <c r="M1938" t="s">
        <v>51</v>
      </c>
      <c r="N1938">
        <v>1</v>
      </c>
      <c r="O1938" t="s">
        <v>31</v>
      </c>
    </row>
    <row r="1939" spans="1:15" x14ac:dyDescent="0.35">
      <c r="A1939">
        <v>2938</v>
      </c>
      <c r="B1939" t="s">
        <v>736</v>
      </c>
      <c r="C1939" s="1">
        <v>45389</v>
      </c>
      <c r="D1939" s="1">
        <v>45434</v>
      </c>
      <c r="E1939" s="1">
        <v>45435</v>
      </c>
      <c r="F1939" t="s">
        <v>38</v>
      </c>
      <c r="G1939" t="s">
        <v>22</v>
      </c>
      <c r="H1939" t="s">
        <v>46</v>
      </c>
      <c r="I1939">
        <v>45</v>
      </c>
      <c r="J1939">
        <v>1</v>
      </c>
      <c r="K1939">
        <v>5975</v>
      </c>
      <c r="L1939">
        <v>5975</v>
      </c>
      <c r="M1939" t="s">
        <v>24</v>
      </c>
      <c r="N1939">
        <v>1</v>
      </c>
      <c r="O1939" t="s">
        <v>31</v>
      </c>
    </row>
    <row r="1940" spans="1:15" x14ac:dyDescent="0.35">
      <c r="A1940">
        <v>2939</v>
      </c>
      <c r="B1940" t="s">
        <v>151</v>
      </c>
      <c r="C1940" s="1">
        <v>45517</v>
      </c>
      <c r="D1940" s="1">
        <v>45523</v>
      </c>
      <c r="E1940" s="1">
        <v>45527</v>
      </c>
      <c r="F1940" t="s">
        <v>60</v>
      </c>
      <c r="G1940" t="s">
        <v>22</v>
      </c>
      <c r="H1940" t="s">
        <v>30</v>
      </c>
      <c r="I1940">
        <v>6</v>
      </c>
      <c r="J1940">
        <v>4</v>
      </c>
      <c r="K1940">
        <v>5653</v>
      </c>
      <c r="L1940">
        <v>22612</v>
      </c>
      <c r="M1940" t="s">
        <v>51</v>
      </c>
      <c r="N1940">
        <v>0</v>
      </c>
      <c r="O1940" t="s">
        <v>31</v>
      </c>
    </row>
    <row r="1941" spans="1:15" x14ac:dyDescent="0.35">
      <c r="A1941">
        <v>2940</v>
      </c>
      <c r="B1941" t="s">
        <v>85</v>
      </c>
      <c r="C1941" s="1">
        <v>45496</v>
      </c>
      <c r="D1941" s="1">
        <v>45531</v>
      </c>
      <c r="E1941" s="1">
        <v>45533</v>
      </c>
      <c r="F1941" t="s">
        <v>35</v>
      </c>
      <c r="G1941" t="s">
        <v>39</v>
      </c>
      <c r="H1941" t="s">
        <v>23</v>
      </c>
      <c r="I1941">
        <v>35</v>
      </c>
      <c r="J1941">
        <v>2</v>
      </c>
      <c r="K1941">
        <v>4164</v>
      </c>
      <c r="L1941">
        <v>8328</v>
      </c>
      <c r="M1941" t="s">
        <v>24</v>
      </c>
      <c r="N1941">
        <v>0</v>
      </c>
      <c r="O1941" t="s">
        <v>31</v>
      </c>
    </row>
    <row r="1942" spans="1:15" x14ac:dyDescent="0.35">
      <c r="A1942">
        <v>2941</v>
      </c>
      <c r="B1942" t="s">
        <v>87</v>
      </c>
      <c r="C1942" s="1">
        <v>45370</v>
      </c>
      <c r="D1942" s="1">
        <v>45416</v>
      </c>
      <c r="E1942" s="1">
        <v>45421</v>
      </c>
      <c r="F1942" t="s">
        <v>38</v>
      </c>
      <c r="G1942" t="s">
        <v>22</v>
      </c>
      <c r="H1942" t="s">
        <v>46</v>
      </c>
      <c r="I1942">
        <v>46</v>
      </c>
      <c r="J1942">
        <v>5</v>
      </c>
      <c r="K1942">
        <v>3809</v>
      </c>
      <c r="L1942">
        <v>19045</v>
      </c>
      <c r="M1942" t="s">
        <v>24</v>
      </c>
      <c r="N1942">
        <v>0</v>
      </c>
      <c r="O1942" t="s">
        <v>25</v>
      </c>
    </row>
    <row r="1943" spans="1:15" x14ac:dyDescent="0.35">
      <c r="A1943">
        <v>2942</v>
      </c>
      <c r="B1943" t="s">
        <v>1157</v>
      </c>
      <c r="C1943" s="1">
        <v>45415</v>
      </c>
      <c r="D1943" s="1">
        <v>45429</v>
      </c>
      <c r="E1943" s="1">
        <v>45433</v>
      </c>
      <c r="F1943" t="s">
        <v>29</v>
      </c>
      <c r="G1943" t="s">
        <v>22</v>
      </c>
      <c r="H1943" t="s">
        <v>30</v>
      </c>
      <c r="I1943">
        <v>14</v>
      </c>
      <c r="J1943">
        <v>4</v>
      </c>
      <c r="K1943">
        <v>3364</v>
      </c>
      <c r="L1943">
        <v>13456</v>
      </c>
      <c r="M1943" t="s">
        <v>24</v>
      </c>
      <c r="N1943">
        <v>0</v>
      </c>
      <c r="O1943" t="s">
        <v>25</v>
      </c>
    </row>
    <row r="1944" spans="1:15" x14ac:dyDescent="0.35">
      <c r="A1944">
        <v>2943</v>
      </c>
      <c r="B1944" t="s">
        <v>624</v>
      </c>
      <c r="C1944" s="1">
        <v>45509</v>
      </c>
      <c r="D1944" s="1">
        <v>45556</v>
      </c>
      <c r="E1944" s="1">
        <v>45558</v>
      </c>
      <c r="F1944" t="s">
        <v>29</v>
      </c>
      <c r="G1944" t="s">
        <v>22</v>
      </c>
      <c r="H1944" t="s">
        <v>23</v>
      </c>
      <c r="I1944">
        <v>47</v>
      </c>
      <c r="J1944">
        <v>2</v>
      </c>
      <c r="K1944">
        <v>6363</v>
      </c>
      <c r="L1944">
        <v>12726</v>
      </c>
      <c r="M1944" t="s">
        <v>24</v>
      </c>
      <c r="N1944">
        <v>1</v>
      </c>
      <c r="O1944" t="s">
        <v>25</v>
      </c>
    </row>
    <row r="1945" spans="1:15" x14ac:dyDescent="0.35">
      <c r="A1945">
        <v>2944</v>
      </c>
      <c r="B1945" t="s">
        <v>1158</v>
      </c>
      <c r="C1945" s="1">
        <v>45295</v>
      </c>
      <c r="D1945" s="1">
        <v>45303</v>
      </c>
      <c r="E1945" s="1">
        <v>45305</v>
      </c>
      <c r="F1945" t="s">
        <v>29</v>
      </c>
      <c r="G1945" t="s">
        <v>22</v>
      </c>
      <c r="H1945" t="s">
        <v>23</v>
      </c>
      <c r="I1945">
        <v>8</v>
      </c>
      <c r="J1945">
        <v>2</v>
      </c>
      <c r="K1945">
        <v>7889</v>
      </c>
      <c r="L1945">
        <v>15778</v>
      </c>
      <c r="M1945" t="s">
        <v>24</v>
      </c>
      <c r="N1945">
        <v>1</v>
      </c>
      <c r="O1945" t="s">
        <v>25</v>
      </c>
    </row>
    <row r="1946" spans="1:15" x14ac:dyDescent="0.35">
      <c r="A1946">
        <v>2945</v>
      </c>
      <c r="B1946" t="s">
        <v>474</v>
      </c>
      <c r="C1946" s="1">
        <v>45381</v>
      </c>
      <c r="D1946" s="1">
        <v>45396</v>
      </c>
      <c r="E1946" s="1">
        <v>45400</v>
      </c>
      <c r="F1946" t="s">
        <v>29</v>
      </c>
      <c r="G1946" t="s">
        <v>39</v>
      </c>
      <c r="H1946" t="s">
        <v>30</v>
      </c>
      <c r="I1946">
        <v>15</v>
      </c>
      <c r="J1946">
        <v>4</v>
      </c>
      <c r="K1946">
        <v>5863</v>
      </c>
      <c r="L1946">
        <v>23452</v>
      </c>
      <c r="M1946" t="s">
        <v>51</v>
      </c>
      <c r="N1946">
        <v>1</v>
      </c>
      <c r="O1946" t="s">
        <v>25</v>
      </c>
    </row>
    <row r="1947" spans="1:15" x14ac:dyDescent="0.35">
      <c r="A1947">
        <v>2946</v>
      </c>
      <c r="B1947" t="s">
        <v>1159</v>
      </c>
      <c r="C1947" s="1">
        <v>45395</v>
      </c>
      <c r="D1947" s="1">
        <v>45449</v>
      </c>
      <c r="E1947" s="1">
        <v>45453</v>
      </c>
      <c r="F1947" t="s">
        <v>29</v>
      </c>
      <c r="G1947" t="s">
        <v>22</v>
      </c>
      <c r="H1947" t="s">
        <v>23</v>
      </c>
      <c r="I1947">
        <v>54</v>
      </c>
      <c r="J1947">
        <v>4</v>
      </c>
      <c r="K1947">
        <v>6024</v>
      </c>
      <c r="L1947">
        <v>24096</v>
      </c>
      <c r="M1947" t="s">
        <v>51</v>
      </c>
      <c r="N1947">
        <v>1</v>
      </c>
      <c r="O1947" t="s">
        <v>25</v>
      </c>
    </row>
    <row r="1948" spans="1:15" x14ac:dyDescent="0.35">
      <c r="A1948">
        <v>2947</v>
      </c>
      <c r="B1948" t="s">
        <v>1160</v>
      </c>
      <c r="C1948" s="1">
        <v>45410</v>
      </c>
      <c r="D1948" s="1">
        <v>45437</v>
      </c>
      <c r="E1948" s="1">
        <v>45439</v>
      </c>
      <c r="F1948" t="s">
        <v>35</v>
      </c>
      <c r="G1948" t="s">
        <v>39</v>
      </c>
      <c r="H1948" t="s">
        <v>46</v>
      </c>
      <c r="I1948">
        <v>27</v>
      </c>
      <c r="J1948">
        <v>2</v>
      </c>
      <c r="K1948">
        <v>6286</v>
      </c>
      <c r="L1948">
        <v>12572</v>
      </c>
      <c r="M1948" t="s">
        <v>51</v>
      </c>
      <c r="N1948">
        <v>1</v>
      </c>
      <c r="O1948" t="s">
        <v>25</v>
      </c>
    </row>
    <row r="1949" spans="1:15" x14ac:dyDescent="0.35">
      <c r="A1949">
        <v>2948</v>
      </c>
      <c r="B1949" t="s">
        <v>126</v>
      </c>
      <c r="C1949" s="1">
        <v>45424</v>
      </c>
      <c r="D1949" s="1">
        <v>45437</v>
      </c>
      <c r="E1949" s="1">
        <v>45439</v>
      </c>
      <c r="F1949" t="s">
        <v>21</v>
      </c>
      <c r="G1949" t="s">
        <v>39</v>
      </c>
      <c r="H1949" t="s">
        <v>23</v>
      </c>
      <c r="I1949">
        <v>13</v>
      </c>
      <c r="J1949">
        <v>2</v>
      </c>
      <c r="K1949">
        <v>2523</v>
      </c>
      <c r="L1949">
        <v>5046</v>
      </c>
      <c r="M1949" t="s">
        <v>24</v>
      </c>
      <c r="N1949">
        <v>1</v>
      </c>
      <c r="O1949" t="s">
        <v>31</v>
      </c>
    </row>
    <row r="1950" spans="1:15" x14ac:dyDescent="0.35">
      <c r="A1950">
        <v>2949</v>
      </c>
      <c r="B1950" t="s">
        <v>647</v>
      </c>
      <c r="C1950" s="1">
        <v>45603</v>
      </c>
      <c r="D1950" s="1">
        <v>45652</v>
      </c>
      <c r="E1950" s="1">
        <v>45654</v>
      </c>
      <c r="F1950" t="s">
        <v>21</v>
      </c>
      <c r="G1950" t="s">
        <v>39</v>
      </c>
      <c r="H1950" t="s">
        <v>46</v>
      </c>
      <c r="I1950">
        <v>49</v>
      </c>
      <c r="J1950">
        <v>2</v>
      </c>
      <c r="K1950">
        <v>5503</v>
      </c>
      <c r="L1950">
        <v>11006</v>
      </c>
      <c r="M1950" t="s">
        <v>51</v>
      </c>
      <c r="N1950">
        <v>1</v>
      </c>
      <c r="O1950" t="s">
        <v>25</v>
      </c>
    </row>
    <row r="1951" spans="1:15" x14ac:dyDescent="0.35">
      <c r="A1951">
        <v>2950</v>
      </c>
      <c r="B1951" t="s">
        <v>557</v>
      </c>
      <c r="C1951" s="1">
        <v>45387</v>
      </c>
      <c r="D1951" s="1">
        <v>45418</v>
      </c>
      <c r="E1951" s="1">
        <v>45422</v>
      </c>
      <c r="F1951" t="s">
        <v>35</v>
      </c>
      <c r="G1951" t="s">
        <v>39</v>
      </c>
      <c r="H1951" t="s">
        <v>30</v>
      </c>
      <c r="I1951">
        <v>31</v>
      </c>
      <c r="J1951">
        <v>4</v>
      </c>
      <c r="K1951">
        <v>8482</v>
      </c>
      <c r="L1951">
        <v>33928</v>
      </c>
      <c r="M1951" t="s">
        <v>24</v>
      </c>
      <c r="N1951">
        <v>0</v>
      </c>
      <c r="O1951" t="s">
        <v>25</v>
      </c>
    </row>
    <row r="1952" spans="1:15" x14ac:dyDescent="0.35">
      <c r="A1952">
        <v>2951</v>
      </c>
      <c r="B1952" t="s">
        <v>905</v>
      </c>
      <c r="C1952" s="1">
        <v>45622</v>
      </c>
      <c r="D1952" s="1">
        <v>45675</v>
      </c>
      <c r="E1952" s="1">
        <v>45677</v>
      </c>
      <c r="F1952" t="s">
        <v>35</v>
      </c>
      <c r="G1952" t="s">
        <v>39</v>
      </c>
      <c r="H1952" t="s">
        <v>30</v>
      </c>
      <c r="I1952">
        <v>53</v>
      </c>
      <c r="J1952">
        <v>2</v>
      </c>
      <c r="K1952">
        <v>2810</v>
      </c>
      <c r="L1952">
        <v>5620</v>
      </c>
      <c r="M1952" t="s">
        <v>24</v>
      </c>
      <c r="N1952">
        <v>0</v>
      </c>
      <c r="O1952" t="s">
        <v>25</v>
      </c>
    </row>
    <row r="1953" spans="1:15" x14ac:dyDescent="0.35">
      <c r="A1953">
        <v>2952</v>
      </c>
      <c r="B1953" t="s">
        <v>648</v>
      </c>
      <c r="C1953" s="1">
        <v>45434</v>
      </c>
      <c r="D1953" s="1">
        <v>45490</v>
      </c>
      <c r="E1953" s="1">
        <v>45491</v>
      </c>
      <c r="F1953" t="s">
        <v>60</v>
      </c>
      <c r="G1953" t="s">
        <v>22</v>
      </c>
      <c r="H1953" t="s">
        <v>23</v>
      </c>
      <c r="I1953">
        <v>56</v>
      </c>
      <c r="J1953">
        <v>1</v>
      </c>
      <c r="K1953">
        <v>8080</v>
      </c>
      <c r="L1953">
        <v>8080</v>
      </c>
      <c r="M1953" t="s">
        <v>51</v>
      </c>
      <c r="N1953">
        <v>1</v>
      </c>
      <c r="O1953" t="s">
        <v>31</v>
      </c>
    </row>
    <row r="1954" spans="1:15" x14ac:dyDescent="0.35">
      <c r="A1954">
        <v>2953</v>
      </c>
      <c r="B1954" t="s">
        <v>950</v>
      </c>
      <c r="C1954" s="1">
        <v>45579</v>
      </c>
      <c r="D1954" s="1">
        <v>45614</v>
      </c>
      <c r="E1954" s="1">
        <v>45618</v>
      </c>
      <c r="F1954" t="s">
        <v>21</v>
      </c>
      <c r="G1954" t="s">
        <v>39</v>
      </c>
      <c r="H1954" t="s">
        <v>30</v>
      </c>
      <c r="I1954">
        <v>35</v>
      </c>
      <c r="J1954">
        <v>4</v>
      </c>
      <c r="K1954">
        <v>3731</v>
      </c>
      <c r="L1954">
        <v>14924</v>
      </c>
      <c r="M1954" t="s">
        <v>51</v>
      </c>
      <c r="N1954">
        <v>0</v>
      </c>
      <c r="O1954" t="s">
        <v>25</v>
      </c>
    </row>
    <row r="1955" spans="1:15" x14ac:dyDescent="0.35">
      <c r="A1955">
        <v>2954</v>
      </c>
      <c r="B1955" t="s">
        <v>671</v>
      </c>
      <c r="C1955" s="1">
        <v>45319</v>
      </c>
      <c r="D1955" s="1">
        <v>45325</v>
      </c>
      <c r="E1955" s="1">
        <v>45326</v>
      </c>
      <c r="F1955" t="s">
        <v>29</v>
      </c>
      <c r="G1955" t="s">
        <v>39</v>
      </c>
      <c r="H1955" t="s">
        <v>30</v>
      </c>
      <c r="I1955">
        <v>6</v>
      </c>
      <c r="J1955">
        <v>1</v>
      </c>
      <c r="K1955">
        <v>6288</v>
      </c>
      <c r="L1955">
        <v>6288</v>
      </c>
      <c r="M1955" t="s">
        <v>24</v>
      </c>
      <c r="N1955">
        <v>0</v>
      </c>
      <c r="O1955" t="s">
        <v>25</v>
      </c>
    </row>
    <row r="1956" spans="1:15" x14ac:dyDescent="0.35">
      <c r="A1956">
        <v>2955</v>
      </c>
      <c r="B1956" t="s">
        <v>610</v>
      </c>
      <c r="C1956" s="1">
        <v>45569</v>
      </c>
      <c r="D1956" s="1">
        <v>45574</v>
      </c>
      <c r="E1956" s="1">
        <v>45577</v>
      </c>
      <c r="F1956" t="s">
        <v>35</v>
      </c>
      <c r="G1956" t="s">
        <v>39</v>
      </c>
      <c r="H1956" t="s">
        <v>23</v>
      </c>
      <c r="I1956">
        <v>5</v>
      </c>
      <c r="J1956">
        <v>3</v>
      </c>
      <c r="K1956">
        <v>5211</v>
      </c>
      <c r="L1956">
        <v>15633</v>
      </c>
      <c r="M1956" t="s">
        <v>24</v>
      </c>
      <c r="N1956">
        <v>0</v>
      </c>
      <c r="O1956" t="s">
        <v>31</v>
      </c>
    </row>
    <row r="1957" spans="1:15" x14ac:dyDescent="0.35">
      <c r="A1957">
        <v>2956</v>
      </c>
      <c r="B1957" t="s">
        <v>248</v>
      </c>
      <c r="C1957" s="1">
        <v>45524</v>
      </c>
      <c r="D1957" s="1">
        <v>45546</v>
      </c>
      <c r="E1957" s="1">
        <v>45550</v>
      </c>
      <c r="F1957" t="s">
        <v>29</v>
      </c>
      <c r="G1957" t="s">
        <v>22</v>
      </c>
      <c r="H1957" t="s">
        <v>46</v>
      </c>
      <c r="I1957">
        <v>22</v>
      </c>
      <c r="J1957">
        <v>4</v>
      </c>
      <c r="K1957">
        <v>7301</v>
      </c>
      <c r="L1957">
        <v>29204</v>
      </c>
      <c r="M1957" t="s">
        <v>51</v>
      </c>
      <c r="N1957">
        <v>1</v>
      </c>
      <c r="O1957" t="s">
        <v>25</v>
      </c>
    </row>
    <row r="1958" spans="1:15" x14ac:dyDescent="0.35">
      <c r="A1958">
        <v>2957</v>
      </c>
      <c r="B1958" t="s">
        <v>49</v>
      </c>
      <c r="C1958" s="1">
        <v>45308</v>
      </c>
      <c r="D1958" s="1">
        <v>45366</v>
      </c>
      <c r="E1958" s="1">
        <v>45369</v>
      </c>
      <c r="F1958" t="s">
        <v>21</v>
      </c>
      <c r="G1958" t="s">
        <v>39</v>
      </c>
      <c r="H1958" t="s">
        <v>23</v>
      </c>
      <c r="I1958">
        <v>58</v>
      </c>
      <c r="J1958">
        <v>3</v>
      </c>
      <c r="K1958">
        <v>7955</v>
      </c>
      <c r="L1958">
        <v>23865</v>
      </c>
      <c r="M1958" t="s">
        <v>51</v>
      </c>
      <c r="N1958">
        <v>1</v>
      </c>
      <c r="O1958" t="s">
        <v>25</v>
      </c>
    </row>
    <row r="1959" spans="1:15" x14ac:dyDescent="0.35">
      <c r="A1959">
        <v>2958</v>
      </c>
      <c r="B1959" t="s">
        <v>1090</v>
      </c>
      <c r="C1959" s="1">
        <v>45350</v>
      </c>
      <c r="D1959" s="1">
        <v>45399</v>
      </c>
      <c r="E1959" s="1">
        <v>45401</v>
      </c>
      <c r="F1959" t="s">
        <v>38</v>
      </c>
      <c r="G1959" t="s">
        <v>22</v>
      </c>
      <c r="H1959" t="s">
        <v>23</v>
      </c>
      <c r="I1959">
        <v>49</v>
      </c>
      <c r="J1959">
        <v>2</v>
      </c>
      <c r="K1959">
        <v>2921</v>
      </c>
      <c r="L1959">
        <v>5842</v>
      </c>
      <c r="M1959" t="s">
        <v>24</v>
      </c>
      <c r="N1959">
        <v>1</v>
      </c>
      <c r="O1959" t="s">
        <v>31</v>
      </c>
    </row>
    <row r="1960" spans="1:15" x14ac:dyDescent="0.35">
      <c r="A1960">
        <v>2959</v>
      </c>
      <c r="B1960" t="s">
        <v>370</v>
      </c>
      <c r="C1960" s="1">
        <v>45381</v>
      </c>
      <c r="D1960" s="1">
        <v>45404</v>
      </c>
      <c r="E1960" s="1">
        <v>45406</v>
      </c>
      <c r="F1960" t="s">
        <v>38</v>
      </c>
      <c r="G1960" t="s">
        <v>39</v>
      </c>
      <c r="H1960" t="s">
        <v>46</v>
      </c>
      <c r="I1960">
        <v>23</v>
      </c>
      <c r="J1960">
        <v>2</v>
      </c>
      <c r="K1960">
        <v>4273</v>
      </c>
      <c r="L1960">
        <v>8546</v>
      </c>
      <c r="M1960" t="s">
        <v>24</v>
      </c>
      <c r="N1960">
        <v>1</v>
      </c>
      <c r="O1960" t="s">
        <v>25</v>
      </c>
    </row>
    <row r="1961" spans="1:15" x14ac:dyDescent="0.35">
      <c r="A1961">
        <v>2960</v>
      </c>
      <c r="B1961" t="s">
        <v>994</v>
      </c>
      <c r="C1961" s="1">
        <v>45490</v>
      </c>
      <c r="D1961" s="1">
        <v>45515</v>
      </c>
      <c r="E1961" s="1">
        <v>45520</v>
      </c>
      <c r="F1961" t="s">
        <v>35</v>
      </c>
      <c r="G1961" t="s">
        <v>39</v>
      </c>
      <c r="H1961" t="s">
        <v>46</v>
      </c>
      <c r="I1961">
        <v>25</v>
      </c>
      <c r="J1961">
        <v>5</v>
      </c>
      <c r="K1961">
        <v>8964</v>
      </c>
      <c r="L1961">
        <v>44820</v>
      </c>
      <c r="M1961" t="s">
        <v>51</v>
      </c>
      <c r="N1961">
        <v>0</v>
      </c>
      <c r="O1961" t="s">
        <v>31</v>
      </c>
    </row>
    <row r="1962" spans="1:15" x14ac:dyDescent="0.35">
      <c r="A1962">
        <v>2961</v>
      </c>
      <c r="B1962" t="s">
        <v>425</v>
      </c>
      <c r="C1962" s="1">
        <v>45653</v>
      </c>
      <c r="D1962" s="1">
        <v>45687</v>
      </c>
      <c r="E1962" s="1">
        <v>45689</v>
      </c>
      <c r="F1962" t="s">
        <v>60</v>
      </c>
      <c r="G1962" t="s">
        <v>22</v>
      </c>
      <c r="H1962" t="s">
        <v>46</v>
      </c>
      <c r="I1962">
        <v>34</v>
      </c>
      <c r="J1962">
        <v>2</v>
      </c>
      <c r="K1962">
        <v>6068</v>
      </c>
      <c r="L1962">
        <v>12136</v>
      </c>
      <c r="M1962" t="s">
        <v>24</v>
      </c>
      <c r="N1962">
        <v>1</v>
      </c>
      <c r="O1962" t="s">
        <v>25</v>
      </c>
    </row>
    <row r="1963" spans="1:15" x14ac:dyDescent="0.35">
      <c r="A1963">
        <v>2962</v>
      </c>
      <c r="B1963" t="s">
        <v>1161</v>
      </c>
      <c r="C1963" s="1">
        <v>45317</v>
      </c>
      <c r="D1963" s="1">
        <v>45343</v>
      </c>
      <c r="E1963" s="1">
        <v>45346</v>
      </c>
      <c r="F1963" t="s">
        <v>29</v>
      </c>
      <c r="G1963" t="s">
        <v>22</v>
      </c>
      <c r="H1963" t="s">
        <v>23</v>
      </c>
      <c r="I1963">
        <v>26</v>
      </c>
      <c r="J1963">
        <v>3</v>
      </c>
      <c r="K1963">
        <v>3446</v>
      </c>
      <c r="L1963">
        <v>10338</v>
      </c>
      <c r="M1963" t="s">
        <v>24</v>
      </c>
      <c r="N1963">
        <v>1</v>
      </c>
      <c r="O1963" t="s">
        <v>25</v>
      </c>
    </row>
    <row r="1964" spans="1:15" x14ac:dyDescent="0.35">
      <c r="A1964">
        <v>2963</v>
      </c>
      <c r="B1964" t="s">
        <v>1162</v>
      </c>
      <c r="C1964" s="1">
        <v>45316</v>
      </c>
      <c r="D1964" s="1">
        <v>45363</v>
      </c>
      <c r="E1964" s="1">
        <v>45365</v>
      </c>
      <c r="F1964" t="s">
        <v>35</v>
      </c>
      <c r="G1964" t="s">
        <v>22</v>
      </c>
      <c r="H1964" t="s">
        <v>46</v>
      </c>
      <c r="I1964">
        <v>47</v>
      </c>
      <c r="J1964">
        <v>2</v>
      </c>
      <c r="K1964">
        <v>3686</v>
      </c>
      <c r="L1964">
        <v>7372</v>
      </c>
      <c r="M1964" t="s">
        <v>51</v>
      </c>
      <c r="N1964">
        <v>1</v>
      </c>
      <c r="O1964" t="s">
        <v>25</v>
      </c>
    </row>
    <row r="1965" spans="1:15" x14ac:dyDescent="0.35">
      <c r="A1965">
        <v>2964</v>
      </c>
      <c r="B1965" t="s">
        <v>1163</v>
      </c>
      <c r="C1965" s="1">
        <v>45592</v>
      </c>
      <c r="D1965" s="1">
        <v>45597</v>
      </c>
      <c r="E1965" s="1">
        <v>45601</v>
      </c>
      <c r="F1965" t="s">
        <v>60</v>
      </c>
      <c r="G1965" t="s">
        <v>39</v>
      </c>
      <c r="H1965" t="s">
        <v>30</v>
      </c>
      <c r="I1965">
        <v>5</v>
      </c>
      <c r="J1965">
        <v>4</v>
      </c>
      <c r="K1965">
        <v>4334</v>
      </c>
      <c r="L1965">
        <v>17336</v>
      </c>
      <c r="M1965" t="s">
        <v>51</v>
      </c>
      <c r="N1965">
        <v>0</v>
      </c>
      <c r="O1965" t="s">
        <v>31</v>
      </c>
    </row>
    <row r="1966" spans="1:15" x14ac:dyDescent="0.35">
      <c r="A1966">
        <v>2965</v>
      </c>
      <c r="B1966" t="s">
        <v>1164</v>
      </c>
      <c r="C1966" s="1">
        <v>45630</v>
      </c>
      <c r="D1966" s="1">
        <v>45656</v>
      </c>
      <c r="E1966" s="1">
        <v>45658</v>
      </c>
      <c r="F1966" t="s">
        <v>29</v>
      </c>
      <c r="G1966" t="s">
        <v>22</v>
      </c>
      <c r="H1966" t="s">
        <v>46</v>
      </c>
      <c r="I1966">
        <v>26</v>
      </c>
      <c r="J1966">
        <v>2</v>
      </c>
      <c r="K1966">
        <v>4064</v>
      </c>
      <c r="L1966">
        <v>8128</v>
      </c>
      <c r="M1966" t="s">
        <v>24</v>
      </c>
      <c r="N1966">
        <v>1</v>
      </c>
      <c r="O1966" t="s">
        <v>31</v>
      </c>
    </row>
    <row r="1967" spans="1:15" x14ac:dyDescent="0.35">
      <c r="A1967">
        <v>2966</v>
      </c>
      <c r="B1967" t="s">
        <v>354</v>
      </c>
      <c r="C1967" s="1">
        <v>45558</v>
      </c>
      <c r="D1967" s="1">
        <v>45578</v>
      </c>
      <c r="E1967" s="1">
        <v>45583</v>
      </c>
      <c r="F1967" t="s">
        <v>21</v>
      </c>
      <c r="G1967" t="s">
        <v>22</v>
      </c>
      <c r="H1967" t="s">
        <v>30</v>
      </c>
      <c r="I1967">
        <v>20</v>
      </c>
      <c r="J1967">
        <v>5</v>
      </c>
      <c r="K1967">
        <v>7444</v>
      </c>
      <c r="L1967">
        <v>37220</v>
      </c>
      <c r="M1967" t="s">
        <v>24</v>
      </c>
      <c r="N1967">
        <v>0</v>
      </c>
      <c r="O1967" t="s">
        <v>31</v>
      </c>
    </row>
    <row r="1968" spans="1:15" x14ac:dyDescent="0.35">
      <c r="A1968">
        <v>2967</v>
      </c>
      <c r="B1968" t="s">
        <v>809</v>
      </c>
      <c r="C1968" s="1">
        <v>45472</v>
      </c>
      <c r="D1968" s="1">
        <v>45478</v>
      </c>
      <c r="E1968" s="1">
        <v>45480</v>
      </c>
      <c r="F1968" t="s">
        <v>38</v>
      </c>
      <c r="G1968" t="s">
        <v>22</v>
      </c>
      <c r="H1968" t="s">
        <v>46</v>
      </c>
      <c r="I1968">
        <v>6</v>
      </c>
      <c r="J1968">
        <v>2</v>
      </c>
      <c r="K1968">
        <v>8185</v>
      </c>
      <c r="L1968">
        <v>16370</v>
      </c>
      <c r="M1968" t="s">
        <v>51</v>
      </c>
      <c r="N1968">
        <v>0</v>
      </c>
      <c r="O1968" t="s">
        <v>25</v>
      </c>
    </row>
    <row r="1969" spans="1:15" x14ac:dyDescent="0.35">
      <c r="A1969">
        <v>2968</v>
      </c>
      <c r="B1969" t="s">
        <v>1165</v>
      </c>
      <c r="C1969" s="1">
        <v>45651</v>
      </c>
      <c r="D1969" s="1">
        <v>45657</v>
      </c>
      <c r="E1969" s="1">
        <v>45660</v>
      </c>
      <c r="F1969" t="s">
        <v>60</v>
      </c>
      <c r="G1969" t="s">
        <v>22</v>
      </c>
      <c r="H1969" t="s">
        <v>30</v>
      </c>
      <c r="I1969">
        <v>6</v>
      </c>
      <c r="J1969">
        <v>3</v>
      </c>
      <c r="K1969">
        <v>7914</v>
      </c>
      <c r="L1969">
        <v>23742</v>
      </c>
      <c r="M1969" t="s">
        <v>24</v>
      </c>
      <c r="N1969">
        <v>1</v>
      </c>
      <c r="O1969" t="s">
        <v>25</v>
      </c>
    </row>
    <row r="1970" spans="1:15" x14ac:dyDescent="0.35">
      <c r="A1970">
        <v>2969</v>
      </c>
      <c r="B1970" t="s">
        <v>1166</v>
      </c>
      <c r="C1970" s="1">
        <v>45359</v>
      </c>
      <c r="D1970" s="1">
        <v>45418</v>
      </c>
      <c r="E1970" s="1">
        <v>45421</v>
      </c>
      <c r="F1970" t="s">
        <v>29</v>
      </c>
      <c r="G1970" t="s">
        <v>22</v>
      </c>
      <c r="H1970" t="s">
        <v>30</v>
      </c>
      <c r="I1970">
        <v>59</v>
      </c>
      <c r="J1970">
        <v>3</v>
      </c>
      <c r="K1970">
        <v>8685</v>
      </c>
      <c r="L1970">
        <v>26055</v>
      </c>
      <c r="M1970" t="s">
        <v>51</v>
      </c>
      <c r="N1970">
        <v>1</v>
      </c>
      <c r="O1970" t="s">
        <v>31</v>
      </c>
    </row>
    <row r="1971" spans="1:15" x14ac:dyDescent="0.35">
      <c r="A1971">
        <v>2970</v>
      </c>
      <c r="B1971" t="s">
        <v>1167</v>
      </c>
      <c r="C1971" s="1">
        <v>45642</v>
      </c>
      <c r="D1971" s="1">
        <v>45692</v>
      </c>
      <c r="E1971" s="1">
        <v>45694</v>
      </c>
      <c r="F1971" t="s">
        <v>35</v>
      </c>
      <c r="G1971" t="s">
        <v>39</v>
      </c>
      <c r="H1971" t="s">
        <v>30</v>
      </c>
      <c r="I1971">
        <v>50</v>
      </c>
      <c r="J1971">
        <v>2</v>
      </c>
      <c r="K1971">
        <v>4447</v>
      </c>
      <c r="L1971">
        <v>8894</v>
      </c>
      <c r="M1971" t="s">
        <v>24</v>
      </c>
      <c r="N1971">
        <v>1</v>
      </c>
      <c r="O1971" t="s">
        <v>31</v>
      </c>
    </row>
    <row r="1972" spans="1:15" x14ac:dyDescent="0.35">
      <c r="A1972">
        <v>2971</v>
      </c>
      <c r="B1972" t="s">
        <v>562</v>
      </c>
      <c r="C1972" s="1">
        <v>45612</v>
      </c>
      <c r="D1972" s="1">
        <v>45630</v>
      </c>
      <c r="E1972" s="1">
        <v>45633</v>
      </c>
      <c r="F1972" t="s">
        <v>29</v>
      </c>
      <c r="G1972" t="s">
        <v>22</v>
      </c>
      <c r="H1972" t="s">
        <v>30</v>
      </c>
      <c r="I1972">
        <v>18</v>
      </c>
      <c r="J1972">
        <v>3</v>
      </c>
      <c r="K1972">
        <v>3808</v>
      </c>
      <c r="L1972">
        <v>11424</v>
      </c>
      <c r="M1972" t="s">
        <v>51</v>
      </c>
      <c r="N1972">
        <v>0</v>
      </c>
      <c r="O1972" t="s">
        <v>25</v>
      </c>
    </row>
    <row r="1973" spans="1:15" x14ac:dyDescent="0.35">
      <c r="A1973">
        <v>2972</v>
      </c>
      <c r="B1973" t="s">
        <v>95</v>
      </c>
      <c r="C1973" s="1">
        <v>45340</v>
      </c>
      <c r="D1973" s="1">
        <v>45344</v>
      </c>
      <c r="E1973" s="1">
        <v>45347</v>
      </c>
      <c r="F1973" t="s">
        <v>35</v>
      </c>
      <c r="G1973" t="s">
        <v>39</v>
      </c>
      <c r="H1973" t="s">
        <v>30</v>
      </c>
      <c r="I1973">
        <v>4</v>
      </c>
      <c r="J1973">
        <v>3</v>
      </c>
      <c r="K1973">
        <v>5486</v>
      </c>
      <c r="L1973">
        <v>16458</v>
      </c>
      <c r="M1973" t="s">
        <v>24</v>
      </c>
      <c r="N1973">
        <v>1</v>
      </c>
      <c r="O1973" t="s">
        <v>25</v>
      </c>
    </row>
    <row r="1974" spans="1:15" x14ac:dyDescent="0.35">
      <c r="A1974">
        <v>2973</v>
      </c>
      <c r="B1974" t="s">
        <v>1168</v>
      </c>
      <c r="C1974" s="1">
        <v>45466</v>
      </c>
      <c r="D1974" s="1">
        <v>45483</v>
      </c>
      <c r="E1974" s="1">
        <v>45488</v>
      </c>
      <c r="F1974" t="s">
        <v>38</v>
      </c>
      <c r="G1974" t="s">
        <v>22</v>
      </c>
      <c r="H1974" t="s">
        <v>46</v>
      </c>
      <c r="I1974">
        <v>17</v>
      </c>
      <c r="J1974">
        <v>5</v>
      </c>
      <c r="K1974">
        <v>2886</v>
      </c>
      <c r="L1974">
        <v>14430</v>
      </c>
      <c r="M1974" t="s">
        <v>24</v>
      </c>
      <c r="N1974">
        <v>0</v>
      </c>
      <c r="O1974" t="s">
        <v>25</v>
      </c>
    </row>
    <row r="1975" spans="1:15" x14ac:dyDescent="0.35">
      <c r="A1975">
        <v>2974</v>
      </c>
      <c r="B1975" t="s">
        <v>889</v>
      </c>
      <c r="C1975" s="1">
        <v>45343</v>
      </c>
      <c r="D1975" s="1">
        <v>45400</v>
      </c>
      <c r="E1975" s="1">
        <v>45404</v>
      </c>
      <c r="F1975" t="s">
        <v>38</v>
      </c>
      <c r="G1975" t="s">
        <v>22</v>
      </c>
      <c r="H1975" t="s">
        <v>23</v>
      </c>
      <c r="I1975">
        <v>57</v>
      </c>
      <c r="J1975">
        <v>4</v>
      </c>
      <c r="K1975">
        <v>8631</v>
      </c>
      <c r="L1975">
        <v>34524</v>
      </c>
      <c r="M1975" t="s">
        <v>24</v>
      </c>
      <c r="N1975">
        <v>1</v>
      </c>
      <c r="O1975" t="s">
        <v>25</v>
      </c>
    </row>
    <row r="1976" spans="1:15" x14ac:dyDescent="0.35">
      <c r="A1976">
        <v>2975</v>
      </c>
      <c r="B1976" t="s">
        <v>142</v>
      </c>
      <c r="C1976" s="1">
        <v>45393</v>
      </c>
      <c r="D1976" s="1">
        <v>45407</v>
      </c>
      <c r="E1976" s="1">
        <v>45412</v>
      </c>
      <c r="F1976" t="s">
        <v>29</v>
      </c>
      <c r="G1976" t="s">
        <v>39</v>
      </c>
      <c r="H1976" t="s">
        <v>23</v>
      </c>
      <c r="I1976">
        <v>14</v>
      </c>
      <c r="J1976">
        <v>5</v>
      </c>
      <c r="K1976">
        <v>3661</v>
      </c>
      <c r="L1976">
        <v>18305</v>
      </c>
      <c r="M1976" t="s">
        <v>51</v>
      </c>
      <c r="N1976">
        <v>0</v>
      </c>
      <c r="O1976" t="s">
        <v>31</v>
      </c>
    </row>
    <row r="1977" spans="1:15" x14ac:dyDescent="0.35">
      <c r="A1977">
        <v>2976</v>
      </c>
      <c r="B1977" t="s">
        <v>569</v>
      </c>
      <c r="C1977" s="1">
        <v>45507</v>
      </c>
      <c r="D1977" s="1">
        <v>45521</v>
      </c>
      <c r="E1977" s="1">
        <v>45522</v>
      </c>
      <c r="F1977" t="s">
        <v>29</v>
      </c>
      <c r="G1977" t="s">
        <v>39</v>
      </c>
      <c r="H1977" t="s">
        <v>23</v>
      </c>
      <c r="I1977">
        <v>14</v>
      </c>
      <c r="J1977">
        <v>1</v>
      </c>
      <c r="K1977">
        <v>5758</v>
      </c>
      <c r="L1977">
        <v>5758</v>
      </c>
      <c r="M1977" t="s">
        <v>51</v>
      </c>
      <c r="N1977">
        <v>1</v>
      </c>
      <c r="O1977" t="s">
        <v>25</v>
      </c>
    </row>
    <row r="1978" spans="1:15" x14ac:dyDescent="0.35">
      <c r="A1978">
        <v>2977</v>
      </c>
      <c r="B1978" t="s">
        <v>753</v>
      </c>
      <c r="C1978" s="1">
        <v>45479</v>
      </c>
      <c r="D1978" s="1">
        <v>45492</v>
      </c>
      <c r="E1978" s="1">
        <v>45497</v>
      </c>
      <c r="F1978" t="s">
        <v>35</v>
      </c>
      <c r="G1978" t="s">
        <v>39</v>
      </c>
      <c r="H1978" t="s">
        <v>23</v>
      </c>
      <c r="I1978">
        <v>13</v>
      </c>
      <c r="J1978">
        <v>5</v>
      </c>
      <c r="K1978">
        <v>8621</v>
      </c>
      <c r="L1978">
        <v>43105</v>
      </c>
      <c r="M1978" t="s">
        <v>51</v>
      </c>
      <c r="N1978">
        <v>1</v>
      </c>
      <c r="O1978" t="s">
        <v>25</v>
      </c>
    </row>
    <row r="1979" spans="1:15" x14ac:dyDescent="0.35">
      <c r="A1979">
        <v>2978</v>
      </c>
      <c r="B1979" t="s">
        <v>719</v>
      </c>
      <c r="C1979" s="1">
        <v>45348</v>
      </c>
      <c r="D1979" s="1">
        <v>45355</v>
      </c>
      <c r="E1979" s="1">
        <v>45357</v>
      </c>
      <c r="F1979" t="s">
        <v>35</v>
      </c>
      <c r="G1979" t="s">
        <v>39</v>
      </c>
      <c r="H1979" t="s">
        <v>23</v>
      </c>
      <c r="I1979">
        <v>7</v>
      </c>
      <c r="J1979">
        <v>2</v>
      </c>
      <c r="K1979">
        <v>7311</v>
      </c>
      <c r="L1979">
        <v>14622</v>
      </c>
      <c r="M1979" t="s">
        <v>24</v>
      </c>
      <c r="N1979">
        <v>0</v>
      </c>
      <c r="O1979" t="s">
        <v>25</v>
      </c>
    </row>
    <row r="1980" spans="1:15" x14ac:dyDescent="0.35">
      <c r="A1980">
        <v>2979</v>
      </c>
      <c r="B1980" t="s">
        <v>1091</v>
      </c>
      <c r="C1980" s="1">
        <v>45338</v>
      </c>
      <c r="D1980" s="1">
        <v>45382</v>
      </c>
      <c r="E1980" s="1">
        <v>45386</v>
      </c>
      <c r="F1980" t="s">
        <v>60</v>
      </c>
      <c r="G1980" t="s">
        <v>22</v>
      </c>
      <c r="H1980" t="s">
        <v>30</v>
      </c>
      <c r="I1980">
        <v>44</v>
      </c>
      <c r="J1980">
        <v>4</v>
      </c>
      <c r="K1980">
        <v>6433</v>
      </c>
      <c r="L1980">
        <v>25732</v>
      </c>
      <c r="M1980" t="s">
        <v>24</v>
      </c>
      <c r="N1980">
        <v>1</v>
      </c>
      <c r="O1980" t="s">
        <v>25</v>
      </c>
    </row>
    <row r="1981" spans="1:15" x14ac:dyDescent="0.35">
      <c r="A1981">
        <v>2980</v>
      </c>
      <c r="B1981" t="s">
        <v>423</v>
      </c>
      <c r="C1981" s="1">
        <v>45450</v>
      </c>
      <c r="D1981" s="1">
        <v>45505</v>
      </c>
      <c r="E1981" s="1">
        <v>45507</v>
      </c>
      <c r="F1981" t="s">
        <v>60</v>
      </c>
      <c r="G1981" t="s">
        <v>39</v>
      </c>
      <c r="H1981" t="s">
        <v>46</v>
      </c>
      <c r="I1981">
        <v>55</v>
      </c>
      <c r="J1981">
        <v>2</v>
      </c>
      <c r="K1981">
        <v>5347</v>
      </c>
      <c r="L1981">
        <v>10694</v>
      </c>
      <c r="M1981" t="s">
        <v>51</v>
      </c>
      <c r="N1981">
        <v>1</v>
      </c>
      <c r="O1981" t="s">
        <v>25</v>
      </c>
    </row>
    <row r="1982" spans="1:15" x14ac:dyDescent="0.35">
      <c r="A1982">
        <v>2981</v>
      </c>
      <c r="B1982" t="s">
        <v>1081</v>
      </c>
      <c r="C1982" s="1">
        <v>45465</v>
      </c>
      <c r="D1982" s="1">
        <v>45480</v>
      </c>
      <c r="E1982" s="1">
        <v>45481</v>
      </c>
      <c r="F1982" t="s">
        <v>60</v>
      </c>
      <c r="G1982" t="s">
        <v>22</v>
      </c>
      <c r="H1982" t="s">
        <v>30</v>
      </c>
      <c r="I1982">
        <v>15</v>
      </c>
      <c r="J1982">
        <v>1</v>
      </c>
      <c r="K1982">
        <v>7021</v>
      </c>
      <c r="L1982">
        <v>7021</v>
      </c>
      <c r="M1982" t="s">
        <v>51</v>
      </c>
      <c r="N1982">
        <v>1</v>
      </c>
      <c r="O1982" t="s">
        <v>25</v>
      </c>
    </row>
    <row r="1983" spans="1:15" x14ac:dyDescent="0.35">
      <c r="A1983">
        <v>2982</v>
      </c>
      <c r="B1983" t="s">
        <v>1169</v>
      </c>
      <c r="C1983" s="1">
        <v>45533</v>
      </c>
      <c r="D1983" s="1">
        <v>45552</v>
      </c>
      <c r="E1983" s="1">
        <v>45556</v>
      </c>
      <c r="F1983" t="s">
        <v>29</v>
      </c>
      <c r="G1983" t="s">
        <v>22</v>
      </c>
      <c r="H1983" t="s">
        <v>46</v>
      </c>
      <c r="I1983">
        <v>19</v>
      </c>
      <c r="J1983">
        <v>4</v>
      </c>
      <c r="K1983">
        <v>3939</v>
      </c>
      <c r="L1983">
        <v>15756</v>
      </c>
      <c r="M1983" t="s">
        <v>24</v>
      </c>
      <c r="N1983">
        <v>1</v>
      </c>
      <c r="O1983" t="s">
        <v>25</v>
      </c>
    </row>
    <row r="1984" spans="1:15" x14ac:dyDescent="0.35">
      <c r="A1984">
        <v>2983</v>
      </c>
      <c r="B1984" t="s">
        <v>1170</v>
      </c>
      <c r="C1984" s="1">
        <v>45573</v>
      </c>
      <c r="D1984" s="1">
        <v>45616</v>
      </c>
      <c r="E1984" s="1">
        <v>45619</v>
      </c>
      <c r="F1984" t="s">
        <v>60</v>
      </c>
      <c r="G1984" t="s">
        <v>22</v>
      </c>
      <c r="H1984" t="s">
        <v>46</v>
      </c>
      <c r="I1984">
        <v>43</v>
      </c>
      <c r="J1984">
        <v>3</v>
      </c>
      <c r="K1984">
        <v>8669</v>
      </c>
      <c r="L1984">
        <v>26007</v>
      </c>
      <c r="M1984" t="s">
        <v>24</v>
      </c>
      <c r="N1984">
        <v>1</v>
      </c>
      <c r="O1984" t="s">
        <v>31</v>
      </c>
    </row>
    <row r="1985" spans="1:15" x14ac:dyDescent="0.35">
      <c r="A1985">
        <v>2984</v>
      </c>
      <c r="B1985" t="s">
        <v>358</v>
      </c>
      <c r="C1985" s="1">
        <v>45532</v>
      </c>
      <c r="D1985" s="1">
        <v>45579</v>
      </c>
      <c r="E1985" s="1">
        <v>45584</v>
      </c>
      <c r="F1985" t="s">
        <v>29</v>
      </c>
      <c r="G1985" t="s">
        <v>39</v>
      </c>
      <c r="H1985" t="s">
        <v>46</v>
      </c>
      <c r="I1985">
        <v>47</v>
      </c>
      <c r="J1985">
        <v>5</v>
      </c>
      <c r="K1985">
        <v>5942</v>
      </c>
      <c r="L1985">
        <v>29710</v>
      </c>
      <c r="M1985" t="s">
        <v>24</v>
      </c>
      <c r="N1985">
        <v>0</v>
      </c>
      <c r="O1985" t="s">
        <v>31</v>
      </c>
    </row>
    <row r="1986" spans="1:15" x14ac:dyDescent="0.35">
      <c r="A1986">
        <v>2985</v>
      </c>
      <c r="B1986" t="s">
        <v>1171</v>
      </c>
      <c r="C1986" s="1">
        <v>45296</v>
      </c>
      <c r="D1986" s="1">
        <v>45340</v>
      </c>
      <c r="E1986" s="1">
        <v>45342</v>
      </c>
      <c r="F1986" t="s">
        <v>38</v>
      </c>
      <c r="G1986" t="s">
        <v>39</v>
      </c>
      <c r="H1986" t="s">
        <v>46</v>
      </c>
      <c r="I1986">
        <v>44</v>
      </c>
      <c r="J1986">
        <v>2</v>
      </c>
      <c r="K1986">
        <v>6980</v>
      </c>
      <c r="L1986">
        <v>13960</v>
      </c>
      <c r="M1986" t="s">
        <v>24</v>
      </c>
      <c r="N1986">
        <v>0</v>
      </c>
      <c r="O1986" t="s">
        <v>31</v>
      </c>
    </row>
    <row r="1987" spans="1:15" x14ac:dyDescent="0.35">
      <c r="A1987">
        <v>2986</v>
      </c>
      <c r="B1987" t="s">
        <v>342</v>
      </c>
      <c r="C1987" s="1">
        <v>45375</v>
      </c>
      <c r="D1987" s="1">
        <v>45410</v>
      </c>
      <c r="E1987" s="1">
        <v>45411</v>
      </c>
      <c r="F1987" t="s">
        <v>21</v>
      </c>
      <c r="G1987" t="s">
        <v>39</v>
      </c>
      <c r="H1987" t="s">
        <v>23</v>
      </c>
      <c r="I1987">
        <v>35</v>
      </c>
      <c r="J1987">
        <v>1</v>
      </c>
      <c r="K1987">
        <v>2555</v>
      </c>
      <c r="L1987">
        <v>2555</v>
      </c>
      <c r="M1987" t="s">
        <v>51</v>
      </c>
      <c r="N1987">
        <v>1</v>
      </c>
      <c r="O1987" t="s">
        <v>25</v>
      </c>
    </row>
    <row r="1988" spans="1:15" x14ac:dyDescent="0.35">
      <c r="A1988">
        <v>2987</v>
      </c>
      <c r="B1988" t="s">
        <v>214</v>
      </c>
      <c r="C1988" s="1">
        <v>45599</v>
      </c>
      <c r="D1988" s="1">
        <v>45616</v>
      </c>
      <c r="E1988" s="1">
        <v>45619</v>
      </c>
      <c r="F1988" t="s">
        <v>38</v>
      </c>
      <c r="G1988" t="s">
        <v>22</v>
      </c>
      <c r="H1988" t="s">
        <v>46</v>
      </c>
      <c r="I1988">
        <v>17</v>
      </c>
      <c r="J1988">
        <v>3</v>
      </c>
      <c r="K1988">
        <v>5824</v>
      </c>
      <c r="L1988">
        <v>17472</v>
      </c>
      <c r="M1988" t="s">
        <v>51</v>
      </c>
      <c r="N1988">
        <v>0</v>
      </c>
      <c r="O1988" t="s">
        <v>31</v>
      </c>
    </row>
    <row r="1989" spans="1:15" x14ac:dyDescent="0.35">
      <c r="A1989">
        <v>2988</v>
      </c>
      <c r="B1989" t="s">
        <v>517</v>
      </c>
      <c r="C1989" s="1">
        <v>45652</v>
      </c>
      <c r="D1989" s="1">
        <v>45687</v>
      </c>
      <c r="E1989" s="1">
        <v>45692</v>
      </c>
      <c r="F1989" t="s">
        <v>29</v>
      </c>
      <c r="G1989" t="s">
        <v>39</v>
      </c>
      <c r="H1989" t="s">
        <v>46</v>
      </c>
      <c r="I1989">
        <v>35</v>
      </c>
      <c r="J1989">
        <v>5</v>
      </c>
      <c r="K1989">
        <v>2605</v>
      </c>
      <c r="L1989">
        <v>13025</v>
      </c>
      <c r="M1989" t="s">
        <v>24</v>
      </c>
      <c r="N1989">
        <v>0</v>
      </c>
      <c r="O1989" t="s">
        <v>25</v>
      </c>
    </row>
    <row r="1990" spans="1:15" x14ac:dyDescent="0.35">
      <c r="A1990">
        <v>2989</v>
      </c>
      <c r="B1990" t="s">
        <v>663</v>
      </c>
      <c r="C1990" s="1">
        <v>45539</v>
      </c>
      <c r="D1990" s="1">
        <v>45558</v>
      </c>
      <c r="E1990" s="1">
        <v>45561</v>
      </c>
      <c r="F1990" t="s">
        <v>29</v>
      </c>
      <c r="G1990" t="s">
        <v>39</v>
      </c>
      <c r="H1990" t="s">
        <v>23</v>
      </c>
      <c r="I1990">
        <v>19</v>
      </c>
      <c r="J1990">
        <v>3</v>
      </c>
      <c r="K1990">
        <v>5701</v>
      </c>
      <c r="L1990">
        <v>17103</v>
      </c>
      <c r="M1990" t="s">
        <v>24</v>
      </c>
      <c r="N1990">
        <v>1</v>
      </c>
      <c r="O1990" t="s">
        <v>25</v>
      </c>
    </row>
    <row r="1991" spans="1:15" x14ac:dyDescent="0.35">
      <c r="A1991">
        <v>2990</v>
      </c>
      <c r="B1991" t="s">
        <v>977</v>
      </c>
      <c r="C1991" s="1">
        <v>45345</v>
      </c>
      <c r="D1991" s="1">
        <v>45365</v>
      </c>
      <c r="E1991" s="1">
        <v>45370</v>
      </c>
      <c r="F1991" t="s">
        <v>21</v>
      </c>
      <c r="G1991" t="s">
        <v>22</v>
      </c>
      <c r="H1991" t="s">
        <v>30</v>
      </c>
      <c r="I1991">
        <v>20</v>
      </c>
      <c r="J1991">
        <v>5</v>
      </c>
      <c r="K1991">
        <v>3169</v>
      </c>
      <c r="L1991">
        <v>15845</v>
      </c>
      <c r="M1991" t="s">
        <v>24</v>
      </c>
      <c r="N1991">
        <v>0</v>
      </c>
      <c r="O1991" t="s">
        <v>25</v>
      </c>
    </row>
    <row r="1992" spans="1:15" x14ac:dyDescent="0.35">
      <c r="A1992">
        <v>2991</v>
      </c>
      <c r="B1992" t="s">
        <v>1123</v>
      </c>
      <c r="C1992" s="1">
        <v>45452</v>
      </c>
      <c r="D1992" s="1">
        <v>45488</v>
      </c>
      <c r="E1992" s="1">
        <v>45492</v>
      </c>
      <c r="F1992" t="s">
        <v>35</v>
      </c>
      <c r="G1992" t="s">
        <v>39</v>
      </c>
      <c r="H1992" t="s">
        <v>30</v>
      </c>
      <c r="I1992">
        <v>36</v>
      </c>
      <c r="J1992">
        <v>4</v>
      </c>
      <c r="K1992">
        <v>6971</v>
      </c>
      <c r="L1992">
        <v>27884</v>
      </c>
      <c r="M1992" t="s">
        <v>51</v>
      </c>
      <c r="N1992">
        <v>1</v>
      </c>
      <c r="O1992" t="s">
        <v>25</v>
      </c>
    </row>
    <row r="1993" spans="1:15" x14ac:dyDescent="0.35">
      <c r="A1993">
        <v>2992</v>
      </c>
      <c r="B1993" t="s">
        <v>833</v>
      </c>
      <c r="C1993" s="1">
        <v>45517</v>
      </c>
      <c r="D1993" s="1">
        <v>45552</v>
      </c>
      <c r="E1993" s="1">
        <v>45555</v>
      </c>
      <c r="F1993" t="s">
        <v>35</v>
      </c>
      <c r="G1993" t="s">
        <v>22</v>
      </c>
      <c r="H1993" t="s">
        <v>30</v>
      </c>
      <c r="I1993">
        <v>35</v>
      </c>
      <c r="J1993">
        <v>3</v>
      </c>
      <c r="K1993">
        <v>3242</v>
      </c>
      <c r="L1993">
        <v>9726</v>
      </c>
      <c r="M1993" t="s">
        <v>51</v>
      </c>
      <c r="N1993">
        <v>0</v>
      </c>
      <c r="O1993" t="s">
        <v>31</v>
      </c>
    </row>
    <row r="1994" spans="1:15" x14ac:dyDescent="0.35">
      <c r="A1994">
        <v>2993</v>
      </c>
      <c r="B1994" t="s">
        <v>80</v>
      </c>
      <c r="C1994" s="1">
        <v>45306</v>
      </c>
      <c r="D1994" s="1">
        <v>45338</v>
      </c>
      <c r="E1994" s="1">
        <v>45341</v>
      </c>
      <c r="F1994" t="s">
        <v>35</v>
      </c>
      <c r="G1994" t="s">
        <v>39</v>
      </c>
      <c r="H1994" t="s">
        <v>30</v>
      </c>
      <c r="I1994">
        <v>32</v>
      </c>
      <c r="J1994">
        <v>3</v>
      </c>
      <c r="K1994">
        <v>3466</v>
      </c>
      <c r="L1994">
        <v>10398</v>
      </c>
      <c r="M1994" t="s">
        <v>24</v>
      </c>
      <c r="N1994">
        <v>1</v>
      </c>
      <c r="O1994" t="s">
        <v>25</v>
      </c>
    </row>
    <row r="1995" spans="1:15" x14ac:dyDescent="0.35">
      <c r="A1995">
        <v>2994</v>
      </c>
      <c r="B1995" t="s">
        <v>343</v>
      </c>
      <c r="C1995" s="1">
        <v>45515</v>
      </c>
      <c r="D1995" s="1">
        <v>45573</v>
      </c>
      <c r="E1995" s="1">
        <v>45576</v>
      </c>
      <c r="F1995" t="s">
        <v>60</v>
      </c>
      <c r="G1995" t="s">
        <v>39</v>
      </c>
      <c r="H1995" t="s">
        <v>46</v>
      </c>
      <c r="I1995">
        <v>58</v>
      </c>
      <c r="J1995">
        <v>3</v>
      </c>
      <c r="K1995">
        <v>2807</v>
      </c>
      <c r="L1995">
        <v>8421</v>
      </c>
      <c r="M1995" t="s">
        <v>24</v>
      </c>
      <c r="N1995">
        <v>1</v>
      </c>
      <c r="O1995" t="s">
        <v>25</v>
      </c>
    </row>
    <row r="1996" spans="1:15" x14ac:dyDescent="0.35">
      <c r="A1996">
        <v>2995</v>
      </c>
      <c r="B1996" t="s">
        <v>823</v>
      </c>
      <c r="C1996" s="1">
        <v>45352</v>
      </c>
      <c r="D1996" s="1">
        <v>45400</v>
      </c>
      <c r="E1996" s="1">
        <v>45404</v>
      </c>
      <c r="F1996" t="s">
        <v>35</v>
      </c>
      <c r="G1996" t="s">
        <v>39</v>
      </c>
      <c r="H1996" t="s">
        <v>23</v>
      </c>
      <c r="I1996">
        <v>48</v>
      </c>
      <c r="J1996">
        <v>4</v>
      </c>
      <c r="K1996">
        <v>4638</v>
      </c>
      <c r="L1996">
        <v>18552</v>
      </c>
      <c r="M1996" t="s">
        <v>24</v>
      </c>
      <c r="N1996">
        <v>0</v>
      </c>
      <c r="O1996" t="s">
        <v>31</v>
      </c>
    </row>
    <row r="1997" spans="1:15" x14ac:dyDescent="0.35">
      <c r="A1997">
        <v>2996</v>
      </c>
      <c r="B1997" t="s">
        <v>1172</v>
      </c>
      <c r="C1997" s="1">
        <v>45413</v>
      </c>
      <c r="D1997" s="1">
        <v>45457</v>
      </c>
      <c r="E1997" s="1">
        <v>45458</v>
      </c>
      <c r="F1997" t="s">
        <v>60</v>
      </c>
      <c r="G1997" t="s">
        <v>39</v>
      </c>
      <c r="H1997" t="s">
        <v>23</v>
      </c>
      <c r="I1997">
        <v>44</v>
      </c>
      <c r="J1997">
        <v>1</v>
      </c>
      <c r="K1997">
        <v>5964</v>
      </c>
      <c r="L1997">
        <v>5964</v>
      </c>
      <c r="M1997" t="s">
        <v>24</v>
      </c>
      <c r="N1997">
        <v>1</v>
      </c>
      <c r="O1997" t="s">
        <v>31</v>
      </c>
    </row>
    <row r="1998" spans="1:15" x14ac:dyDescent="0.35">
      <c r="A1998">
        <v>2997</v>
      </c>
      <c r="B1998" t="s">
        <v>873</v>
      </c>
      <c r="C1998" s="1">
        <v>45568</v>
      </c>
      <c r="D1998" s="1">
        <v>45608</v>
      </c>
      <c r="E1998" s="1">
        <v>45613</v>
      </c>
      <c r="F1998" t="s">
        <v>60</v>
      </c>
      <c r="G1998" t="s">
        <v>39</v>
      </c>
      <c r="H1998" t="s">
        <v>30</v>
      </c>
      <c r="I1998">
        <v>40</v>
      </c>
      <c r="J1998">
        <v>5</v>
      </c>
      <c r="K1998">
        <v>7397</v>
      </c>
      <c r="L1998">
        <v>36985</v>
      </c>
      <c r="M1998" t="s">
        <v>24</v>
      </c>
      <c r="N1998">
        <v>0</v>
      </c>
      <c r="O1998" t="s">
        <v>31</v>
      </c>
    </row>
    <row r="1999" spans="1:15" x14ac:dyDescent="0.35">
      <c r="A1999">
        <v>2998</v>
      </c>
      <c r="B1999" t="s">
        <v>1173</v>
      </c>
      <c r="C1999" s="1">
        <v>45337</v>
      </c>
      <c r="D1999" s="1">
        <v>45361</v>
      </c>
      <c r="E1999" s="1">
        <v>45364</v>
      </c>
      <c r="F1999" t="s">
        <v>35</v>
      </c>
      <c r="G1999" t="s">
        <v>22</v>
      </c>
      <c r="H1999" t="s">
        <v>23</v>
      </c>
      <c r="I1999">
        <v>24</v>
      </c>
      <c r="J1999">
        <v>3</v>
      </c>
      <c r="K1999">
        <v>2609</v>
      </c>
      <c r="L1999">
        <v>7827</v>
      </c>
      <c r="M1999" t="s">
        <v>24</v>
      </c>
      <c r="N1999">
        <v>0</v>
      </c>
      <c r="O1999" t="s">
        <v>25</v>
      </c>
    </row>
    <row r="2000" spans="1:15" x14ac:dyDescent="0.35">
      <c r="A2000">
        <v>2999</v>
      </c>
      <c r="B2000" t="s">
        <v>634</v>
      </c>
      <c r="C2000" s="1">
        <v>45585</v>
      </c>
      <c r="D2000" s="1">
        <v>45602</v>
      </c>
      <c r="E2000" s="1">
        <v>45606</v>
      </c>
      <c r="F2000" t="s">
        <v>35</v>
      </c>
      <c r="G2000" t="s">
        <v>39</v>
      </c>
      <c r="H2000" t="s">
        <v>46</v>
      </c>
      <c r="I2000">
        <v>17</v>
      </c>
      <c r="J2000">
        <v>4</v>
      </c>
      <c r="K2000">
        <v>6132</v>
      </c>
      <c r="L2000">
        <v>24528</v>
      </c>
      <c r="M2000" t="s">
        <v>51</v>
      </c>
      <c r="N2000">
        <v>1</v>
      </c>
      <c r="O2000" t="s">
        <v>31</v>
      </c>
    </row>
    <row r="2001" spans="1:15" x14ac:dyDescent="0.35">
      <c r="A2001">
        <v>3000</v>
      </c>
      <c r="B2001" t="s">
        <v>1019</v>
      </c>
      <c r="C2001" s="1">
        <v>45353</v>
      </c>
      <c r="D2001" s="1">
        <v>45360</v>
      </c>
      <c r="E2001" s="1">
        <v>45361</v>
      </c>
      <c r="F2001" t="s">
        <v>21</v>
      </c>
      <c r="G2001" t="s">
        <v>39</v>
      </c>
      <c r="H2001" t="s">
        <v>30</v>
      </c>
      <c r="I2001">
        <v>7</v>
      </c>
      <c r="J2001">
        <v>1</v>
      </c>
      <c r="K2001">
        <v>8260</v>
      </c>
      <c r="L2001">
        <v>8260</v>
      </c>
      <c r="M2001" t="s">
        <v>51</v>
      </c>
      <c r="N2001">
        <v>1</v>
      </c>
      <c r="O2001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E1758-D2FB-4C3E-A26B-001711BF178C}">
  <dimension ref="A1:S2001"/>
  <sheetViews>
    <sheetView tabSelected="1" workbookViewId="0"/>
  </sheetViews>
  <sheetFormatPr defaultRowHeight="14.5" x14ac:dyDescent="0.35"/>
  <cols>
    <col min="1" max="1" width="9.453125" style="3" bestFit="1" customWidth="1"/>
    <col min="2" max="2" width="11.08984375" style="3" bestFit="1" customWidth="1"/>
    <col min="3" max="3" width="11.6328125" style="3" bestFit="1" customWidth="1"/>
    <col min="4" max="4" width="9.6328125" style="3" customWidth="1"/>
    <col min="5" max="5" width="10" style="3" customWidth="1"/>
    <col min="6" max="6" width="14" style="3" bestFit="1" customWidth="1"/>
    <col min="7" max="7" width="8.1796875" style="3" customWidth="1"/>
    <col min="8" max="8" width="9.54296875" style="3" bestFit="1" customWidth="1"/>
    <col min="9" max="9" width="13.1796875" style="3" bestFit="1" customWidth="1"/>
    <col min="10" max="10" width="9.7265625" style="3" bestFit="1" customWidth="1"/>
    <col min="11" max="11" width="9.1796875" style="3" hidden="1" customWidth="1"/>
    <col min="12" max="12" width="11.7265625" style="3" hidden="1" customWidth="1"/>
    <col min="13" max="13" width="12.26953125" style="3" bestFit="1" customWidth="1"/>
    <col min="14" max="14" width="9.7265625" style="3" bestFit="1" customWidth="1"/>
    <col min="15" max="15" width="12.81640625" style="3" customWidth="1"/>
    <col min="16" max="16" width="14.54296875" style="3" bestFit="1" customWidth="1"/>
    <col min="17" max="17" width="8.54296875" style="3" hidden="1" customWidth="1"/>
    <col min="18" max="18" width="12.26953125" style="3" bestFit="1" customWidth="1"/>
    <col min="19" max="19" width="5.7265625" style="3" bestFit="1" customWidth="1"/>
    <col min="20" max="16384" width="8.7265625" style="3"/>
  </cols>
  <sheetData>
    <row r="1" spans="1:19" s="5" customFormat="1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2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1231</v>
      </c>
      <c r="S1" s="5" t="s">
        <v>17</v>
      </c>
    </row>
    <row r="2" spans="1:19" x14ac:dyDescent="0.35">
      <c r="A2" s="3">
        <v>1001</v>
      </c>
      <c r="B2" s="3" t="s">
        <v>18</v>
      </c>
      <c r="C2" s="4">
        <v>45519</v>
      </c>
      <c r="D2" s="3" t="s">
        <v>19</v>
      </c>
      <c r="E2" s="4">
        <v>45541</v>
      </c>
      <c r="F2" s="4">
        <v>45544</v>
      </c>
      <c r="G2" s="3" t="s">
        <v>20</v>
      </c>
      <c r="H2" s="3" t="s">
        <v>21</v>
      </c>
      <c r="I2" s="3" t="s">
        <v>22</v>
      </c>
      <c r="J2" s="3" t="s">
        <v>23</v>
      </c>
      <c r="K2" s="3">
        <v>22</v>
      </c>
      <c r="L2" s="3">
        <v>3</v>
      </c>
      <c r="M2" s="3">
        <v>5867</v>
      </c>
      <c r="N2" s="3">
        <v>17601</v>
      </c>
      <c r="O2" s="3">
        <v>17601</v>
      </c>
      <c r="P2" s="3" t="s">
        <v>24</v>
      </c>
      <c r="Q2" s="3">
        <v>0</v>
      </c>
      <c r="R2" s="3" t="str">
        <f>IF(Q2=0,"Not Cancelled","Cancelled")</f>
        <v>Not Cancelled</v>
      </c>
      <c r="S2" s="3" t="s">
        <v>25</v>
      </c>
    </row>
    <row r="3" spans="1:19" x14ac:dyDescent="0.35">
      <c r="A3" s="3">
        <v>1002</v>
      </c>
      <c r="B3" s="3" t="s">
        <v>26</v>
      </c>
      <c r="C3" s="4">
        <v>45357</v>
      </c>
      <c r="D3" s="3" t="s">
        <v>27</v>
      </c>
      <c r="E3" s="4">
        <v>45375</v>
      </c>
      <c r="F3" s="4">
        <v>45377</v>
      </c>
      <c r="G3" s="3" t="s">
        <v>28</v>
      </c>
      <c r="H3" s="3" t="s">
        <v>29</v>
      </c>
      <c r="I3" s="3" t="s">
        <v>22</v>
      </c>
      <c r="J3" s="3" t="s">
        <v>30</v>
      </c>
      <c r="K3" s="3">
        <v>18</v>
      </c>
      <c r="L3" s="3">
        <v>2</v>
      </c>
      <c r="M3" s="3">
        <v>5895</v>
      </c>
      <c r="N3" s="3">
        <v>11790</v>
      </c>
      <c r="O3" s="3">
        <v>11790</v>
      </c>
      <c r="P3" s="3" t="s">
        <v>24</v>
      </c>
      <c r="Q3" s="3">
        <v>0</v>
      </c>
      <c r="R3" s="3" t="str">
        <f t="shared" ref="R3:R66" si="0">IF(Q3=0,"Not Cancelled","Cancelled")</f>
        <v>Not Cancelled</v>
      </c>
      <c r="S3" s="3" t="s">
        <v>31</v>
      </c>
    </row>
    <row r="4" spans="1:19" x14ac:dyDescent="0.35">
      <c r="A4" s="3">
        <v>1003</v>
      </c>
      <c r="B4" s="3" t="s">
        <v>32</v>
      </c>
      <c r="C4" s="4">
        <v>45626</v>
      </c>
      <c r="D4" s="3" t="s">
        <v>33</v>
      </c>
      <c r="E4" s="4">
        <v>45640</v>
      </c>
      <c r="F4" s="4">
        <v>45641</v>
      </c>
      <c r="G4" s="3" t="s">
        <v>34</v>
      </c>
      <c r="H4" s="3" t="s">
        <v>35</v>
      </c>
      <c r="I4" s="3" t="s">
        <v>22</v>
      </c>
      <c r="J4" s="3" t="s">
        <v>30</v>
      </c>
      <c r="K4" s="3">
        <v>14</v>
      </c>
      <c r="L4" s="3">
        <v>1</v>
      </c>
      <c r="M4" s="3">
        <v>3313</v>
      </c>
      <c r="N4" s="3">
        <v>3313</v>
      </c>
      <c r="O4" s="3">
        <v>3313</v>
      </c>
      <c r="P4" s="3" t="s">
        <v>24</v>
      </c>
      <c r="Q4" s="3">
        <v>0</v>
      </c>
      <c r="R4" s="3" t="str">
        <f t="shared" si="0"/>
        <v>Not Cancelled</v>
      </c>
      <c r="S4" s="3" t="s">
        <v>25</v>
      </c>
    </row>
    <row r="5" spans="1:19" x14ac:dyDescent="0.35">
      <c r="A5" s="3">
        <v>1004</v>
      </c>
      <c r="B5" s="3" t="s">
        <v>36</v>
      </c>
      <c r="C5" s="4">
        <v>45553</v>
      </c>
      <c r="D5" s="3" t="s">
        <v>37</v>
      </c>
      <c r="E5" s="4">
        <v>45563</v>
      </c>
      <c r="F5" s="4">
        <v>45566</v>
      </c>
      <c r="G5" s="3" t="s">
        <v>20</v>
      </c>
      <c r="H5" s="3" t="s">
        <v>38</v>
      </c>
      <c r="I5" s="3" t="s">
        <v>39</v>
      </c>
      <c r="J5" s="3" t="s">
        <v>23</v>
      </c>
      <c r="K5" s="3">
        <v>10</v>
      </c>
      <c r="L5" s="3">
        <v>3</v>
      </c>
      <c r="M5" s="3">
        <v>3345</v>
      </c>
      <c r="N5" s="3">
        <v>10035</v>
      </c>
      <c r="O5" s="3">
        <v>10035</v>
      </c>
      <c r="P5" s="3" t="s">
        <v>24</v>
      </c>
      <c r="Q5" s="3">
        <v>0</v>
      </c>
      <c r="R5" s="3" t="str">
        <f t="shared" si="0"/>
        <v>Not Cancelled</v>
      </c>
      <c r="S5" s="3" t="s">
        <v>25</v>
      </c>
    </row>
    <row r="6" spans="1:19" x14ac:dyDescent="0.35">
      <c r="A6" s="3">
        <v>1005</v>
      </c>
      <c r="B6" s="3" t="s">
        <v>40</v>
      </c>
      <c r="C6" s="4">
        <v>45586</v>
      </c>
      <c r="D6" s="3" t="s">
        <v>41</v>
      </c>
      <c r="E6" s="4">
        <v>45632</v>
      </c>
      <c r="F6" s="4">
        <v>45636</v>
      </c>
      <c r="G6" s="3" t="s">
        <v>42</v>
      </c>
      <c r="H6" s="3" t="s">
        <v>35</v>
      </c>
      <c r="I6" s="3" t="s">
        <v>22</v>
      </c>
      <c r="J6" s="3" t="s">
        <v>23</v>
      </c>
      <c r="K6" s="3">
        <v>46</v>
      </c>
      <c r="L6" s="3">
        <v>4</v>
      </c>
      <c r="M6" s="3">
        <v>3664</v>
      </c>
      <c r="N6" s="3">
        <v>14656</v>
      </c>
      <c r="O6" s="3">
        <v>0</v>
      </c>
      <c r="P6" s="3" t="s">
        <v>24</v>
      </c>
      <c r="Q6" s="3">
        <v>1</v>
      </c>
      <c r="R6" s="3" t="str">
        <f t="shared" si="0"/>
        <v>Cancelled</v>
      </c>
      <c r="S6" s="3" t="s">
        <v>31</v>
      </c>
    </row>
    <row r="7" spans="1:19" x14ac:dyDescent="0.35">
      <c r="A7" s="3">
        <v>1006</v>
      </c>
      <c r="B7" s="3" t="s">
        <v>43</v>
      </c>
      <c r="C7" s="4">
        <v>45534</v>
      </c>
      <c r="D7" s="3" t="s">
        <v>44</v>
      </c>
      <c r="E7" s="4">
        <v>45547</v>
      </c>
      <c r="F7" s="4">
        <v>45552</v>
      </c>
      <c r="G7" s="3" t="s">
        <v>45</v>
      </c>
      <c r="H7" s="3" t="s">
        <v>29</v>
      </c>
      <c r="I7" s="3" t="s">
        <v>39</v>
      </c>
      <c r="J7" s="3" t="s">
        <v>46</v>
      </c>
      <c r="K7" s="3">
        <v>13</v>
      </c>
      <c r="L7" s="3">
        <v>5</v>
      </c>
      <c r="M7" s="3">
        <v>7262</v>
      </c>
      <c r="N7" s="3">
        <v>36310</v>
      </c>
      <c r="O7" s="3">
        <v>36310</v>
      </c>
      <c r="P7" s="3" t="s">
        <v>24</v>
      </c>
      <c r="Q7" s="3">
        <v>0</v>
      </c>
      <c r="R7" s="3" t="str">
        <f t="shared" si="0"/>
        <v>Not Cancelled</v>
      </c>
      <c r="S7" s="3" t="s">
        <v>31</v>
      </c>
    </row>
    <row r="8" spans="1:19" x14ac:dyDescent="0.35">
      <c r="A8" s="3">
        <v>1007</v>
      </c>
      <c r="B8" s="3" t="s">
        <v>47</v>
      </c>
      <c r="C8" s="4">
        <v>45477</v>
      </c>
      <c r="D8" s="3" t="s">
        <v>48</v>
      </c>
      <c r="E8" s="4">
        <v>45508</v>
      </c>
      <c r="F8" s="4">
        <v>45510</v>
      </c>
      <c r="G8" s="3" t="s">
        <v>28</v>
      </c>
      <c r="H8" s="3" t="s">
        <v>29</v>
      </c>
      <c r="I8" s="3" t="s">
        <v>39</v>
      </c>
      <c r="J8" s="3" t="s">
        <v>30</v>
      </c>
      <c r="K8" s="3">
        <v>31</v>
      </c>
      <c r="L8" s="3">
        <v>2</v>
      </c>
      <c r="M8" s="3">
        <v>8905</v>
      </c>
      <c r="N8" s="3">
        <v>17810</v>
      </c>
      <c r="O8" s="3">
        <v>0</v>
      </c>
      <c r="P8" s="3" t="s">
        <v>24</v>
      </c>
      <c r="Q8" s="3">
        <v>1</v>
      </c>
      <c r="R8" s="3" t="str">
        <f t="shared" si="0"/>
        <v>Cancelled</v>
      </c>
      <c r="S8" s="3" t="s">
        <v>31</v>
      </c>
    </row>
    <row r="9" spans="1:19" x14ac:dyDescent="0.35">
      <c r="A9" s="3">
        <v>1008</v>
      </c>
      <c r="B9" s="3" t="s">
        <v>49</v>
      </c>
      <c r="C9" s="4">
        <v>45537</v>
      </c>
      <c r="D9" s="3" t="s">
        <v>50</v>
      </c>
      <c r="E9" s="4">
        <v>45567</v>
      </c>
      <c r="F9" s="4">
        <v>45572</v>
      </c>
      <c r="G9" s="3" t="s">
        <v>45</v>
      </c>
      <c r="H9" s="3" t="s">
        <v>35</v>
      </c>
      <c r="I9" s="3" t="s">
        <v>39</v>
      </c>
      <c r="J9" s="3" t="s">
        <v>23</v>
      </c>
      <c r="K9" s="3">
        <v>30</v>
      </c>
      <c r="L9" s="3">
        <v>5</v>
      </c>
      <c r="M9" s="3">
        <v>8404</v>
      </c>
      <c r="N9" s="3">
        <v>42020</v>
      </c>
      <c r="O9" s="3">
        <v>0</v>
      </c>
      <c r="P9" s="3" t="s">
        <v>51</v>
      </c>
      <c r="Q9" s="3">
        <v>1</v>
      </c>
      <c r="R9" s="3" t="str">
        <f t="shared" si="0"/>
        <v>Cancelled</v>
      </c>
      <c r="S9" s="3" t="s">
        <v>25</v>
      </c>
    </row>
    <row r="10" spans="1:19" x14ac:dyDescent="0.35">
      <c r="A10" s="3">
        <v>1009</v>
      </c>
      <c r="B10" s="3" t="s">
        <v>52</v>
      </c>
      <c r="C10" s="4">
        <v>45416</v>
      </c>
      <c r="D10" s="3" t="s">
        <v>20</v>
      </c>
      <c r="E10" s="4">
        <v>45419</v>
      </c>
      <c r="F10" s="4">
        <v>45423</v>
      </c>
      <c r="G10" s="3" t="s">
        <v>42</v>
      </c>
      <c r="H10" s="3" t="s">
        <v>38</v>
      </c>
      <c r="I10" s="3" t="s">
        <v>39</v>
      </c>
      <c r="J10" s="3" t="s">
        <v>30</v>
      </c>
      <c r="K10" s="3">
        <v>3</v>
      </c>
      <c r="L10" s="3">
        <v>4</v>
      </c>
      <c r="M10" s="3">
        <v>8039</v>
      </c>
      <c r="N10" s="3">
        <v>32156</v>
      </c>
      <c r="O10" s="3">
        <v>0</v>
      </c>
      <c r="P10" s="3" t="s">
        <v>24</v>
      </c>
      <c r="Q10" s="3">
        <v>1</v>
      </c>
      <c r="R10" s="3" t="str">
        <f t="shared" si="0"/>
        <v>Cancelled</v>
      </c>
      <c r="S10" s="3" t="s">
        <v>31</v>
      </c>
    </row>
    <row r="11" spans="1:19" x14ac:dyDescent="0.35">
      <c r="A11" s="3">
        <v>1010</v>
      </c>
      <c r="B11" s="3" t="s">
        <v>53</v>
      </c>
      <c r="C11" s="4">
        <v>45559</v>
      </c>
      <c r="D11" s="3" t="s">
        <v>50</v>
      </c>
      <c r="E11" s="4">
        <v>45589</v>
      </c>
      <c r="F11" s="4">
        <v>45592</v>
      </c>
      <c r="G11" s="3" t="s">
        <v>20</v>
      </c>
      <c r="H11" s="3" t="s">
        <v>35</v>
      </c>
      <c r="I11" s="3" t="s">
        <v>22</v>
      </c>
      <c r="J11" s="3" t="s">
        <v>30</v>
      </c>
      <c r="K11" s="3">
        <v>30</v>
      </c>
      <c r="L11" s="3">
        <v>3</v>
      </c>
      <c r="M11" s="3">
        <v>4267</v>
      </c>
      <c r="N11" s="3">
        <v>12801</v>
      </c>
      <c r="O11" s="3">
        <v>12801</v>
      </c>
      <c r="P11" s="3" t="s">
        <v>51</v>
      </c>
      <c r="Q11" s="3">
        <v>0</v>
      </c>
      <c r="R11" s="3" t="str">
        <f t="shared" si="0"/>
        <v>Not Cancelled</v>
      </c>
      <c r="S11" s="3" t="s">
        <v>25</v>
      </c>
    </row>
    <row r="12" spans="1:19" x14ac:dyDescent="0.35">
      <c r="A12" s="3">
        <v>1011</v>
      </c>
      <c r="B12" s="3" t="s">
        <v>54</v>
      </c>
      <c r="C12" s="4">
        <v>45422</v>
      </c>
      <c r="D12" s="3" t="s">
        <v>55</v>
      </c>
      <c r="E12" s="4">
        <v>45428</v>
      </c>
      <c r="F12" s="4">
        <v>45432</v>
      </c>
      <c r="G12" s="3" t="s">
        <v>42</v>
      </c>
      <c r="H12" s="3" t="s">
        <v>38</v>
      </c>
      <c r="I12" s="3" t="s">
        <v>22</v>
      </c>
      <c r="J12" s="3" t="s">
        <v>30</v>
      </c>
      <c r="K12" s="3">
        <v>6</v>
      </c>
      <c r="L12" s="3">
        <v>4</v>
      </c>
      <c r="M12" s="3">
        <v>7860</v>
      </c>
      <c r="N12" s="3">
        <v>31440</v>
      </c>
      <c r="O12" s="3">
        <v>0</v>
      </c>
      <c r="P12" s="3" t="s">
        <v>51</v>
      </c>
      <c r="Q12" s="3">
        <v>1</v>
      </c>
      <c r="R12" s="3" t="str">
        <f t="shared" si="0"/>
        <v>Cancelled</v>
      </c>
      <c r="S12" s="3" t="s">
        <v>25</v>
      </c>
    </row>
    <row r="13" spans="1:19" x14ac:dyDescent="0.35">
      <c r="A13" s="3">
        <v>1012</v>
      </c>
      <c r="B13" s="3" t="s">
        <v>56</v>
      </c>
      <c r="C13" s="4">
        <v>45528</v>
      </c>
      <c r="D13" s="3" t="s">
        <v>57</v>
      </c>
      <c r="E13" s="4">
        <v>45557</v>
      </c>
      <c r="F13" s="4">
        <v>45561</v>
      </c>
      <c r="G13" s="3" t="s">
        <v>42</v>
      </c>
      <c r="H13" s="3" t="s">
        <v>38</v>
      </c>
      <c r="I13" s="3" t="s">
        <v>39</v>
      </c>
      <c r="J13" s="3" t="s">
        <v>46</v>
      </c>
      <c r="K13" s="3">
        <v>29</v>
      </c>
      <c r="L13" s="3">
        <v>4</v>
      </c>
      <c r="M13" s="3">
        <v>2854</v>
      </c>
      <c r="N13" s="3">
        <v>11416</v>
      </c>
      <c r="O13" s="3">
        <v>11416</v>
      </c>
      <c r="P13" s="3" t="s">
        <v>24</v>
      </c>
      <c r="Q13" s="3">
        <v>0</v>
      </c>
      <c r="R13" s="3" t="str">
        <f t="shared" si="0"/>
        <v>Not Cancelled</v>
      </c>
      <c r="S13" s="3" t="s">
        <v>31</v>
      </c>
    </row>
    <row r="14" spans="1:19" x14ac:dyDescent="0.35">
      <c r="A14" s="3">
        <v>1013</v>
      </c>
      <c r="B14" s="3" t="s">
        <v>58</v>
      </c>
      <c r="C14" s="4">
        <v>45309</v>
      </c>
      <c r="D14" s="3" t="s">
        <v>59</v>
      </c>
      <c r="E14" s="4">
        <v>45317</v>
      </c>
      <c r="F14" s="4">
        <v>45322</v>
      </c>
      <c r="G14" s="3" t="s">
        <v>45</v>
      </c>
      <c r="H14" s="3" t="s">
        <v>60</v>
      </c>
      <c r="I14" s="3" t="s">
        <v>39</v>
      </c>
      <c r="J14" s="3" t="s">
        <v>23</v>
      </c>
      <c r="K14" s="3">
        <v>8</v>
      </c>
      <c r="L14" s="3">
        <v>5</v>
      </c>
      <c r="M14" s="3">
        <v>4372</v>
      </c>
      <c r="N14" s="3">
        <v>21860</v>
      </c>
      <c r="O14" s="3">
        <v>21860</v>
      </c>
      <c r="P14" s="3" t="s">
        <v>24</v>
      </c>
      <c r="Q14" s="3">
        <v>0</v>
      </c>
      <c r="R14" s="3" t="str">
        <f t="shared" si="0"/>
        <v>Not Cancelled</v>
      </c>
      <c r="S14" s="3" t="s">
        <v>31</v>
      </c>
    </row>
    <row r="15" spans="1:19" x14ac:dyDescent="0.35">
      <c r="A15" s="3">
        <v>1014</v>
      </c>
      <c r="B15" s="3" t="s">
        <v>61</v>
      </c>
      <c r="C15" s="4">
        <v>45331</v>
      </c>
      <c r="D15" s="3" t="s">
        <v>62</v>
      </c>
      <c r="E15" s="4">
        <v>45375</v>
      </c>
      <c r="F15" s="4">
        <v>45377</v>
      </c>
      <c r="G15" s="3" t="s">
        <v>28</v>
      </c>
      <c r="H15" s="3" t="s">
        <v>21</v>
      </c>
      <c r="I15" s="3" t="s">
        <v>39</v>
      </c>
      <c r="J15" s="3" t="s">
        <v>23</v>
      </c>
      <c r="K15" s="3">
        <v>44</v>
      </c>
      <c r="L15" s="3">
        <v>2</v>
      </c>
      <c r="M15" s="3">
        <v>4524</v>
      </c>
      <c r="N15" s="3">
        <v>9048</v>
      </c>
      <c r="O15" s="3">
        <v>9048</v>
      </c>
      <c r="P15" s="3" t="s">
        <v>51</v>
      </c>
      <c r="Q15" s="3">
        <v>0</v>
      </c>
      <c r="R15" s="3" t="str">
        <f t="shared" si="0"/>
        <v>Not Cancelled</v>
      </c>
      <c r="S15" s="3" t="s">
        <v>31</v>
      </c>
    </row>
    <row r="16" spans="1:19" x14ac:dyDescent="0.35">
      <c r="A16" s="3">
        <v>1015</v>
      </c>
      <c r="B16" s="3" t="s">
        <v>63</v>
      </c>
      <c r="C16" s="4">
        <v>45312</v>
      </c>
      <c r="D16" s="3" t="s">
        <v>64</v>
      </c>
      <c r="E16" s="4">
        <v>45357</v>
      </c>
      <c r="F16" s="4">
        <v>45361</v>
      </c>
      <c r="G16" s="3" t="s">
        <v>42</v>
      </c>
      <c r="H16" s="3" t="s">
        <v>21</v>
      </c>
      <c r="I16" s="3" t="s">
        <v>22</v>
      </c>
      <c r="J16" s="3" t="s">
        <v>30</v>
      </c>
      <c r="K16" s="3">
        <v>45</v>
      </c>
      <c r="L16" s="3">
        <v>4</v>
      </c>
      <c r="M16" s="3">
        <v>5317</v>
      </c>
      <c r="N16" s="3">
        <v>21268</v>
      </c>
      <c r="O16" s="3">
        <v>0</v>
      </c>
      <c r="P16" s="3" t="s">
        <v>51</v>
      </c>
      <c r="Q16" s="3">
        <v>1</v>
      </c>
      <c r="R16" s="3" t="str">
        <f t="shared" si="0"/>
        <v>Cancelled</v>
      </c>
      <c r="S16" s="3" t="s">
        <v>31</v>
      </c>
    </row>
    <row r="17" spans="1:19" x14ac:dyDescent="0.35">
      <c r="A17" s="3">
        <v>1016</v>
      </c>
      <c r="B17" s="3" t="s">
        <v>65</v>
      </c>
      <c r="C17" s="4">
        <v>45516</v>
      </c>
      <c r="D17" s="3" t="s">
        <v>66</v>
      </c>
      <c r="E17" s="4">
        <v>45559</v>
      </c>
      <c r="F17" s="4">
        <v>45564</v>
      </c>
      <c r="G17" s="3" t="s">
        <v>45</v>
      </c>
      <c r="H17" s="3" t="s">
        <v>29</v>
      </c>
      <c r="I17" s="3" t="s">
        <v>39</v>
      </c>
      <c r="J17" s="3" t="s">
        <v>23</v>
      </c>
      <c r="K17" s="3">
        <v>43</v>
      </c>
      <c r="L17" s="3">
        <v>5</v>
      </c>
      <c r="M17" s="3">
        <v>6332</v>
      </c>
      <c r="N17" s="3">
        <v>31660</v>
      </c>
      <c r="O17" s="3">
        <v>31660</v>
      </c>
      <c r="P17" s="3" t="s">
        <v>24</v>
      </c>
      <c r="Q17" s="3">
        <v>0</v>
      </c>
      <c r="R17" s="3" t="str">
        <f t="shared" si="0"/>
        <v>Not Cancelled</v>
      </c>
      <c r="S17" s="3" t="s">
        <v>31</v>
      </c>
    </row>
    <row r="18" spans="1:19" x14ac:dyDescent="0.35">
      <c r="A18" s="3">
        <v>1017</v>
      </c>
      <c r="B18" s="3" t="s">
        <v>67</v>
      </c>
      <c r="C18" s="4">
        <v>45646</v>
      </c>
      <c r="D18" s="3" t="s">
        <v>62</v>
      </c>
      <c r="E18" s="4">
        <v>45690</v>
      </c>
      <c r="F18" s="4">
        <v>45692</v>
      </c>
      <c r="G18" s="3" t="s">
        <v>28</v>
      </c>
      <c r="H18" s="3" t="s">
        <v>60</v>
      </c>
      <c r="I18" s="3" t="s">
        <v>39</v>
      </c>
      <c r="J18" s="3" t="s">
        <v>46</v>
      </c>
      <c r="K18" s="3">
        <v>44</v>
      </c>
      <c r="L18" s="3">
        <v>2</v>
      </c>
      <c r="M18" s="3">
        <v>6775</v>
      </c>
      <c r="N18" s="3">
        <v>13550</v>
      </c>
      <c r="O18" s="3">
        <v>0</v>
      </c>
      <c r="P18" s="3" t="s">
        <v>24</v>
      </c>
      <c r="Q18" s="3">
        <v>1</v>
      </c>
      <c r="R18" s="3" t="str">
        <f t="shared" si="0"/>
        <v>Cancelled</v>
      </c>
      <c r="S18" s="3" t="s">
        <v>25</v>
      </c>
    </row>
    <row r="19" spans="1:19" x14ac:dyDescent="0.35">
      <c r="A19" s="3">
        <v>1018</v>
      </c>
      <c r="B19" s="3" t="s">
        <v>68</v>
      </c>
      <c r="C19" s="4">
        <v>45573</v>
      </c>
      <c r="D19" s="3" t="s">
        <v>69</v>
      </c>
      <c r="E19" s="4">
        <v>45606</v>
      </c>
      <c r="F19" s="4">
        <v>45609</v>
      </c>
      <c r="G19" s="3" t="s">
        <v>20</v>
      </c>
      <c r="H19" s="3" t="s">
        <v>21</v>
      </c>
      <c r="I19" s="3" t="s">
        <v>22</v>
      </c>
      <c r="J19" s="3" t="s">
        <v>30</v>
      </c>
      <c r="K19" s="3">
        <v>33</v>
      </c>
      <c r="L19" s="3">
        <v>3</v>
      </c>
      <c r="M19" s="3">
        <v>2565</v>
      </c>
      <c r="N19" s="3">
        <v>7695</v>
      </c>
      <c r="O19" s="3">
        <v>7695</v>
      </c>
      <c r="P19" s="3" t="s">
        <v>51</v>
      </c>
      <c r="Q19" s="3">
        <v>0</v>
      </c>
      <c r="R19" s="3" t="str">
        <f t="shared" si="0"/>
        <v>Not Cancelled</v>
      </c>
      <c r="S19" s="3" t="s">
        <v>25</v>
      </c>
    </row>
    <row r="20" spans="1:19" x14ac:dyDescent="0.35">
      <c r="A20" s="3">
        <v>1019</v>
      </c>
      <c r="B20" s="3" t="s">
        <v>70</v>
      </c>
      <c r="C20" s="4">
        <v>45299</v>
      </c>
      <c r="D20" s="3" t="s">
        <v>71</v>
      </c>
      <c r="E20" s="4">
        <v>45316</v>
      </c>
      <c r="F20" s="4">
        <v>45319</v>
      </c>
      <c r="G20" s="3" t="s">
        <v>20</v>
      </c>
      <c r="H20" s="3" t="s">
        <v>38</v>
      </c>
      <c r="I20" s="3" t="s">
        <v>39</v>
      </c>
      <c r="J20" s="3" t="s">
        <v>46</v>
      </c>
      <c r="K20" s="3">
        <v>17</v>
      </c>
      <c r="L20" s="3">
        <v>3</v>
      </c>
      <c r="M20" s="3">
        <v>7415</v>
      </c>
      <c r="N20" s="3">
        <v>22245</v>
      </c>
      <c r="O20" s="3">
        <v>22245</v>
      </c>
      <c r="P20" s="3" t="s">
        <v>51</v>
      </c>
      <c r="Q20" s="3">
        <v>0</v>
      </c>
      <c r="R20" s="3" t="str">
        <f t="shared" si="0"/>
        <v>Not Cancelled</v>
      </c>
      <c r="S20" s="3" t="s">
        <v>25</v>
      </c>
    </row>
    <row r="21" spans="1:19" x14ac:dyDescent="0.35">
      <c r="A21" s="3">
        <v>1020</v>
      </c>
      <c r="B21" s="3" t="s">
        <v>72</v>
      </c>
      <c r="C21" s="4">
        <v>45391</v>
      </c>
      <c r="D21" s="3" t="s">
        <v>73</v>
      </c>
      <c r="E21" s="4">
        <v>45439</v>
      </c>
      <c r="F21" s="4">
        <v>45440</v>
      </c>
      <c r="G21" s="3" t="s">
        <v>34</v>
      </c>
      <c r="H21" s="3" t="s">
        <v>38</v>
      </c>
      <c r="I21" s="3" t="s">
        <v>22</v>
      </c>
      <c r="J21" s="3" t="s">
        <v>46</v>
      </c>
      <c r="K21" s="3">
        <v>48</v>
      </c>
      <c r="L21" s="3">
        <v>1</v>
      </c>
      <c r="M21" s="3">
        <v>7967</v>
      </c>
      <c r="N21" s="3">
        <v>7967</v>
      </c>
      <c r="O21" s="3">
        <v>0</v>
      </c>
      <c r="P21" s="3" t="s">
        <v>24</v>
      </c>
      <c r="Q21" s="3">
        <v>1</v>
      </c>
      <c r="R21" s="3" t="str">
        <f t="shared" si="0"/>
        <v>Cancelled</v>
      </c>
      <c r="S21" s="3" t="s">
        <v>31</v>
      </c>
    </row>
    <row r="22" spans="1:19" x14ac:dyDescent="0.35">
      <c r="A22" s="3">
        <v>1021</v>
      </c>
      <c r="B22" s="3" t="s">
        <v>74</v>
      </c>
      <c r="C22" s="4">
        <v>45531</v>
      </c>
      <c r="D22" s="3" t="s">
        <v>75</v>
      </c>
      <c r="E22" s="4">
        <v>45542</v>
      </c>
      <c r="F22" s="4">
        <v>45547</v>
      </c>
      <c r="G22" s="3" t="s">
        <v>45</v>
      </c>
      <c r="H22" s="3" t="s">
        <v>35</v>
      </c>
      <c r="I22" s="3" t="s">
        <v>22</v>
      </c>
      <c r="J22" s="3" t="s">
        <v>23</v>
      </c>
      <c r="K22" s="3">
        <v>11</v>
      </c>
      <c r="L22" s="3">
        <v>5</v>
      </c>
      <c r="M22" s="3">
        <v>6766</v>
      </c>
      <c r="N22" s="3">
        <v>33830</v>
      </c>
      <c r="O22" s="3">
        <v>0</v>
      </c>
      <c r="P22" s="3" t="s">
        <v>51</v>
      </c>
      <c r="Q22" s="3">
        <v>1</v>
      </c>
      <c r="R22" s="3" t="str">
        <f t="shared" si="0"/>
        <v>Cancelled</v>
      </c>
      <c r="S22" s="3" t="s">
        <v>25</v>
      </c>
    </row>
    <row r="23" spans="1:19" x14ac:dyDescent="0.35">
      <c r="A23" s="3">
        <v>1022</v>
      </c>
      <c r="B23" s="3" t="s">
        <v>76</v>
      </c>
      <c r="C23" s="4">
        <v>45378</v>
      </c>
      <c r="D23" s="3" t="s">
        <v>44</v>
      </c>
      <c r="E23" s="4">
        <v>45391</v>
      </c>
      <c r="F23" s="4">
        <v>45393</v>
      </c>
      <c r="G23" s="3" t="s">
        <v>28</v>
      </c>
      <c r="H23" s="3" t="s">
        <v>35</v>
      </c>
      <c r="I23" s="3" t="s">
        <v>39</v>
      </c>
      <c r="J23" s="3" t="s">
        <v>23</v>
      </c>
      <c r="K23" s="3">
        <v>13</v>
      </c>
      <c r="L23" s="3">
        <v>2</v>
      </c>
      <c r="M23" s="3">
        <v>6590</v>
      </c>
      <c r="N23" s="3">
        <v>13180</v>
      </c>
      <c r="O23" s="3">
        <v>13180</v>
      </c>
      <c r="P23" s="3" t="s">
        <v>51</v>
      </c>
      <c r="Q23" s="3">
        <v>0</v>
      </c>
      <c r="R23" s="3" t="str">
        <f t="shared" si="0"/>
        <v>Not Cancelled</v>
      </c>
      <c r="S23" s="3" t="s">
        <v>31</v>
      </c>
    </row>
    <row r="24" spans="1:19" x14ac:dyDescent="0.35">
      <c r="A24" s="3">
        <v>1023</v>
      </c>
      <c r="B24" s="3" t="s">
        <v>77</v>
      </c>
      <c r="C24" s="4">
        <v>45589</v>
      </c>
      <c r="D24" s="3" t="s">
        <v>78</v>
      </c>
      <c r="E24" s="4">
        <v>45639</v>
      </c>
      <c r="F24" s="4">
        <v>45643</v>
      </c>
      <c r="G24" s="3" t="s">
        <v>42</v>
      </c>
      <c r="H24" s="3" t="s">
        <v>38</v>
      </c>
      <c r="I24" s="3" t="s">
        <v>39</v>
      </c>
      <c r="J24" s="3" t="s">
        <v>46</v>
      </c>
      <c r="K24" s="3">
        <v>50</v>
      </c>
      <c r="L24" s="3">
        <v>4</v>
      </c>
      <c r="M24" s="3">
        <v>5021</v>
      </c>
      <c r="N24" s="3">
        <v>20084</v>
      </c>
      <c r="O24" s="3">
        <v>20084</v>
      </c>
      <c r="P24" s="3" t="s">
        <v>24</v>
      </c>
      <c r="Q24" s="3">
        <v>0</v>
      </c>
      <c r="R24" s="3" t="str">
        <f t="shared" si="0"/>
        <v>Not Cancelled</v>
      </c>
      <c r="S24" s="3" t="s">
        <v>31</v>
      </c>
    </row>
    <row r="25" spans="1:19" x14ac:dyDescent="0.35">
      <c r="A25" s="3">
        <v>1024</v>
      </c>
      <c r="B25" s="3" t="s">
        <v>79</v>
      </c>
      <c r="C25" s="4">
        <v>45305</v>
      </c>
      <c r="D25" s="3" t="s">
        <v>75</v>
      </c>
      <c r="E25" s="4">
        <v>45316</v>
      </c>
      <c r="F25" s="4">
        <v>45319</v>
      </c>
      <c r="G25" s="3" t="s">
        <v>20</v>
      </c>
      <c r="H25" s="3" t="s">
        <v>38</v>
      </c>
      <c r="I25" s="3" t="s">
        <v>39</v>
      </c>
      <c r="J25" s="3" t="s">
        <v>23</v>
      </c>
      <c r="K25" s="3">
        <v>11</v>
      </c>
      <c r="L25" s="3">
        <v>3</v>
      </c>
      <c r="M25" s="3">
        <v>5081</v>
      </c>
      <c r="N25" s="3">
        <v>15243</v>
      </c>
      <c r="O25" s="3">
        <v>15243</v>
      </c>
      <c r="P25" s="3" t="s">
        <v>51</v>
      </c>
      <c r="Q25" s="3">
        <v>0</v>
      </c>
      <c r="R25" s="3" t="str">
        <f t="shared" si="0"/>
        <v>Not Cancelled</v>
      </c>
      <c r="S25" s="3" t="s">
        <v>25</v>
      </c>
    </row>
    <row r="26" spans="1:19" x14ac:dyDescent="0.35">
      <c r="A26" s="3">
        <v>1025</v>
      </c>
      <c r="B26" s="3" t="s">
        <v>80</v>
      </c>
      <c r="C26" s="4">
        <v>45625</v>
      </c>
      <c r="D26" s="3" t="s">
        <v>48</v>
      </c>
      <c r="E26" s="4">
        <v>45656</v>
      </c>
      <c r="F26" s="4">
        <v>45658</v>
      </c>
      <c r="G26" s="3" t="s">
        <v>28</v>
      </c>
      <c r="H26" s="3" t="s">
        <v>35</v>
      </c>
      <c r="I26" s="3" t="s">
        <v>22</v>
      </c>
      <c r="J26" s="3" t="s">
        <v>46</v>
      </c>
      <c r="K26" s="3">
        <v>31</v>
      </c>
      <c r="L26" s="3">
        <v>2</v>
      </c>
      <c r="M26" s="3">
        <v>3890</v>
      </c>
      <c r="N26" s="3">
        <v>7780</v>
      </c>
      <c r="O26" s="3">
        <v>0</v>
      </c>
      <c r="P26" s="3" t="s">
        <v>24</v>
      </c>
      <c r="Q26" s="3">
        <v>1</v>
      </c>
      <c r="R26" s="3" t="str">
        <f t="shared" si="0"/>
        <v>Cancelled</v>
      </c>
      <c r="S26" s="3" t="s">
        <v>25</v>
      </c>
    </row>
    <row r="27" spans="1:19" x14ac:dyDescent="0.35">
      <c r="A27" s="3">
        <v>1026</v>
      </c>
      <c r="B27" s="3" t="s">
        <v>81</v>
      </c>
      <c r="C27" s="4">
        <v>45293</v>
      </c>
      <c r="D27" s="3" t="s">
        <v>82</v>
      </c>
      <c r="E27" s="4">
        <v>45321</v>
      </c>
      <c r="F27" s="4">
        <v>45326</v>
      </c>
      <c r="G27" s="3" t="s">
        <v>45</v>
      </c>
      <c r="H27" s="3" t="s">
        <v>21</v>
      </c>
      <c r="I27" s="3" t="s">
        <v>22</v>
      </c>
      <c r="J27" s="3" t="s">
        <v>46</v>
      </c>
      <c r="K27" s="3">
        <v>28</v>
      </c>
      <c r="L27" s="3">
        <v>5</v>
      </c>
      <c r="M27" s="3">
        <v>3630</v>
      </c>
      <c r="N27" s="3">
        <v>18150</v>
      </c>
      <c r="O27" s="3">
        <v>0</v>
      </c>
      <c r="P27" s="3" t="s">
        <v>24</v>
      </c>
      <c r="Q27" s="3">
        <v>1</v>
      </c>
      <c r="R27" s="3" t="str">
        <f t="shared" si="0"/>
        <v>Cancelled</v>
      </c>
      <c r="S27" s="3" t="s">
        <v>31</v>
      </c>
    </row>
    <row r="28" spans="1:19" x14ac:dyDescent="0.35">
      <c r="A28" s="3">
        <v>1027</v>
      </c>
      <c r="B28" s="3" t="s">
        <v>83</v>
      </c>
      <c r="C28" s="4">
        <v>45584</v>
      </c>
      <c r="D28" s="3" t="s">
        <v>62</v>
      </c>
      <c r="E28" s="4">
        <v>45628</v>
      </c>
      <c r="F28" s="4">
        <v>45629</v>
      </c>
      <c r="G28" s="3" t="s">
        <v>34</v>
      </c>
      <c r="H28" s="3" t="s">
        <v>29</v>
      </c>
      <c r="I28" s="3" t="s">
        <v>22</v>
      </c>
      <c r="J28" s="3" t="s">
        <v>30</v>
      </c>
      <c r="K28" s="3">
        <v>44</v>
      </c>
      <c r="L28" s="3">
        <v>1</v>
      </c>
      <c r="M28" s="3">
        <v>4986</v>
      </c>
      <c r="N28" s="3">
        <v>4986</v>
      </c>
      <c r="O28" s="3">
        <v>0</v>
      </c>
      <c r="P28" s="3" t="s">
        <v>24</v>
      </c>
      <c r="Q28" s="3">
        <v>1</v>
      </c>
      <c r="R28" s="3" t="str">
        <f t="shared" si="0"/>
        <v>Cancelled</v>
      </c>
      <c r="S28" s="3" t="s">
        <v>25</v>
      </c>
    </row>
    <row r="29" spans="1:19" x14ac:dyDescent="0.35">
      <c r="A29" s="3">
        <v>1028</v>
      </c>
      <c r="B29" s="3" t="s">
        <v>84</v>
      </c>
      <c r="C29" s="4">
        <v>45616</v>
      </c>
      <c r="D29" s="3" t="s">
        <v>55</v>
      </c>
      <c r="E29" s="4">
        <v>45622</v>
      </c>
      <c r="F29" s="4">
        <v>45625</v>
      </c>
      <c r="G29" s="3" t="s">
        <v>20</v>
      </c>
      <c r="H29" s="3" t="s">
        <v>35</v>
      </c>
      <c r="I29" s="3" t="s">
        <v>39</v>
      </c>
      <c r="J29" s="3" t="s">
        <v>46</v>
      </c>
      <c r="K29" s="3">
        <v>6</v>
      </c>
      <c r="L29" s="3">
        <v>3</v>
      </c>
      <c r="M29" s="3">
        <v>3334</v>
      </c>
      <c r="N29" s="3">
        <v>10002</v>
      </c>
      <c r="O29" s="3">
        <v>10002</v>
      </c>
      <c r="P29" s="3" t="s">
        <v>51</v>
      </c>
      <c r="Q29" s="3">
        <v>0</v>
      </c>
      <c r="R29" s="3" t="str">
        <f t="shared" si="0"/>
        <v>Not Cancelled</v>
      </c>
      <c r="S29" s="3" t="s">
        <v>31</v>
      </c>
    </row>
    <row r="30" spans="1:19" x14ac:dyDescent="0.35">
      <c r="A30" s="3">
        <v>1029</v>
      </c>
      <c r="B30" s="3" t="s">
        <v>85</v>
      </c>
      <c r="C30" s="4">
        <v>45332</v>
      </c>
      <c r="D30" s="3" t="s">
        <v>86</v>
      </c>
      <c r="E30" s="4">
        <v>45373</v>
      </c>
      <c r="F30" s="4">
        <v>45375</v>
      </c>
      <c r="G30" s="3" t="s">
        <v>28</v>
      </c>
      <c r="H30" s="3" t="s">
        <v>21</v>
      </c>
      <c r="I30" s="3" t="s">
        <v>39</v>
      </c>
      <c r="J30" s="3" t="s">
        <v>46</v>
      </c>
      <c r="K30" s="3">
        <v>41</v>
      </c>
      <c r="L30" s="3">
        <v>2</v>
      </c>
      <c r="M30" s="3">
        <v>2726</v>
      </c>
      <c r="N30" s="3">
        <v>5452</v>
      </c>
      <c r="O30" s="3">
        <v>0</v>
      </c>
      <c r="P30" s="3" t="s">
        <v>24</v>
      </c>
      <c r="Q30" s="3">
        <v>1</v>
      </c>
      <c r="R30" s="3" t="str">
        <f t="shared" si="0"/>
        <v>Cancelled</v>
      </c>
      <c r="S30" s="3" t="s">
        <v>25</v>
      </c>
    </row>
    <row r="31" spans="1:19" x14ac:dyDescent="0.35">
      <c r="A31" s="3">
        <v>1030</v>
      </c>
      <c r="B31" s="3" t="s">
        <v>87</v>
      </c>
      <c r="C31" s="4">
        <v>45609</v>
      </c>
      <c r="D31" s="3" t="s">
        <v>88</v>
      </c>
      <c r="E31" s="4">
        <v>45625</v>
      </c>
      <c r="F31" s="4">
        <v>45627</v>
      </c>
      <c r="G31" s="3" t="s">
        <v>28</v>
      </c>
      <c r="H31" s="3" t="s">
        <v>21</v>
      </c>
      <c r="I31" s="3" t="s">
        <v>39</v>
      </c>
      <c r="J31" s="3" t="s">
        <v>23</v>
      </c>
      <c r="K31" s="3">
        <v>16</v>
      </c>
      <c r="L31" s="3">
        <v>2</v>
      </c>
      <c r="M31" s="3">
        <v>6015</v>
      </c>
      <c r="N31" s="3">
        <v>12030</v>
      </c>
      <c r="O31" s="3">
        <v>12030</v>
      </c>
      <c r="P31" s="3" t="s">
        <v>51</v>
      </c>
      <c r="Q31" s="3">
        <v>0</v>
      </c>
      <c r="R31" s="3" t="str">
        <f t="shared" si="0"/>
        <v>Not Cancelled</v>
      </c>
      <c r="S31" s="3" t="s">
        <v>25</v>
      </c>
    </row>
    <row r="32" spans="1:19" x14ac:dyDescent="0.35">
      <c r="A32" s="3">
        <v>1031</v>
      </c>
      <c r="B32" s="3" t="s">
        <v>89</v>
      </c>
      <c r="C32" s="4">
        <v>45607</v>
      </c>
      <c r="D32" s="3" t="s">
        <v>42</v>
      </c>
      <c r="E32" s="4">
        <v>45611</v>
      </c>
      <c r="F32" s="4">
        <v>45613</v>
      </c>
      <c r="G32" s="3" t="s">
        <v>28</v>
      </c>
      <c r="H32" s="3" t="s">
        <v>21</v>
      </c>
      <c r="I32" s="3" t="s">
        <v>39</v>
      </c>
      <c r="J32" s="3" t="s">
        <v>30</v>
      </c>
      <c r="K32" s="3">
        <v>4</v>
      </c>
      <c r="L32" s="3">
        <v>2</v>
      </c>
      <c r="M32" s="3">
        <v>7037</v>
      </c>
      <c r="N32" s="3">
        <v>14074</v>
      </c>
      <c r="O32" s="3">
        <v>14074</v>
      </c>
      <c r="P32" s="3" t="s">
        <v>24</v>
      </c>
      <c r="Q32" s="3">
        <v>0</v>
      </c>
      <c r="R32" s="3" t="str">
        <f t="shared" si="0"/>
        <v>Not Cancelled</v>
      </c>
      <c r="S32" s="3" t="s">
        <v>25</v>
      </c>
    </row>
    <row r="33" spans="1:19" x14ac:dyDescent="0.35">
      <c r="A33" s="3">
        <v>1032</v>
      </c>
      <c r="B33" s="3" t="s">
        <v>90</v>
      </c>
      <c r="C33" s="4">
        <v>45402</v>
      </c>
      <c r="D33" s="3" t="s">
        <v>91</v>
      </c>
      <c r="E33" s="4">
        <v>45437</v>
      </c>
      <c r="F33" s="4">
        <v>45442</v>
      </c>
      <c r="G33" s="3" t="s">
        <v>45</v>
      </c>
      <c r="H33" s="3" t="s">
        <v>60</v>
      </c>
      <c r="I33" s="3" t="s">
        <v>39</v>
      </c>
      <c r="J33" s="3" t="s">
        <v>23</v>
      </c>
      <c r="K33" s="3">
        <v>35</v>
      </c>
      <c r="L33" s="3">
        <v>5</v>
      </c>
      <c r="M33" s="3">
        <v>4943</v>
      </c>
      <c r="N33" s="3">
        <v>24715</v>
      </c>
      <c r="O33" s="3">
        <v>0</v>
      </c>
      <c r="P33" s="3" t="s">
        <v>24</v>
      </c>
      <c r="Q33" s="3">
        <v>1</v>
      </c>
      <c r="R33" s="3" t="str">
        <f t="shared" si="0"/>
        <v>Cancelled</v>
      </c>
      <c r="S33" s="3" t="s">
        <v>25</v>
      </c>
    </row>
    <row r="34" spans="1:19" x14ac:dyDescent="0.35">
      <c r="A34" s="3">
        <v>1033</v>
      </c>
      <c r="B34" s="3" t="s">
        <v>92</v>
      </c>
      <c r="C34" s="4">
        <v>45305</v>
      </c>
      <c r="D34" s="3" t="s">
        <v>73</v>
      </c>
      <c r="E34" s="4">
        <v>45353</v>
      </c>
      <c r="F34" s="4">
        <v>45358</v>
      </c>
      <c r="G34" s="3" t="s">
        <v>45</v>
      </c>
      <c r="H34" s="3" t="s">
        <v>60</v>
      </c>
      <c r="I34" s="3" t="s">
        <v>39</v>
      </c>
      <c r="J34" s="3" t="s">
        <v>30</v>
      </c>
      <c r="K34" s="3">
        <v>48</v>
      </c>
      <c r="L34" s="3">
        <v>5</v>
      </c>
      <c r="M34" s="3">
        <v>3227</v>
      </c>
      <c r="N34" s="3">
        <v>16135</v>
      </c>
      <c r="O34" s="3">
        <v>0</v>
      </c>
      <c r="P34" s="3" t="s">
        <v>51</v>
      </c>
      <c r="Q34" s="3">
        <v>1</v>
      </c>
      <c r="R34" s="3" t="str">
        <f t="shared" si="0"/>
        <v>Cancelled</v>
      </c>
      <c r="S34" s="3" t="s">
        <v>25</v>
      </c>
    </row>
    <row r="35" spans="1:19" x14ac:dyDescent="0.35">
      <c r="A35" s="3">
        <v>1034</v>
      </c>
      <c r="B35" s="3" t="s">
        <v>93</v>
      </c>
      <c r="C35" s="4">
        <v>45522</v>
      </c>
      <c r="D35" s="3" t="s">
        <v>94</v>
      </c>
      <c r="E35" s="4">
        <v>45578</v>
      </c>
      <c r="F35" s="4">
        <v>45583</v>
      </c>
      <c r="G35" s="3" t="s">
        <v>45</v>
      </c>
      <c r="H35" s="3" t="s">
        <v>21</v>
      </c>
      <c r="I35" s="3" t="s">
        <v>22</v>
      </c>
      <c r="J35" s="3" t="s">
        <v>23</v>
      </c>
      <c r="K35" s="3">
        <v>56</v>
      </c>
      <c r="L35" s="3">
        <v>5</v>
      </c>
      <c r="M35" s="3">
        <v>8200</v>
      </c>
      <c r="N35" s="3">
        <v>41000</v>
      </c>
      <c r="O35" s="3">
        <v>0</v>
      </c>
      <c r="P35" s="3" t="s">
        <v>51</v>
      </c>
      <c r="Q35" s="3">
        <v>1</v>
      </c>
      <c r="R35" s="3" t="str">
        <f t="shared" si="0"/>
        <v>Cancelled</v>
      </c>
      <c r="S35" s="3" t="s">
        <v>31</v>
      </c>
    </row>
    <row r="36" spans="1:19" x14ac:dyDescent="0.35">
      <c r="A36" s="3">
        <v>1035</v>
      </c>
      <c r="B36" s="3" t="s">
        <v>95</v>
      </c>
      <c r="C36" s="4">
        <v>45375</v>
      </c>
      <c r="D36" s="3" t="s">
        <v>96</v>
      </c>
      <c r="E36" s="4">
        <v>45434</v>
      </c>
      <c r="F36" s="4">
        <v>45438</v>
      </c>
      <c r="G36" s="3" t="s">
        <v>42</v>
      </c>
      <c r="H36" s="3" t="s">
        <v>38</v>
      </c>
      <c r="I36" s="3" t="s">
        <v>22</v>
      </c>
      <c r="J36" s="3" t="s">
        <v>46</v>
      </c>
      <c r="K36" s="3">
        <v>59</v>
      </c>
      <c r="L36" s="3">
        <v>4</v>
      </c>
      <c r="M36" s="3">
        <v>8727</v>
      </c>
      <c r="N36" s="3">
        <v>34908</v>
      </c>
      <c r="O36" s="3">
        <v>0</v>
      </c>
      <c r="P36" s="3" t="s">
        <v>51</v>
      </c>
      <c r="Q36" s="3">
        <v>1</v>
      </c>
      <c r="R36" s="3" t="str">
        <f t="shared" si="0"/>
        <v>Cancelled</v>
      </c>
      <c r="S36" s="3" t="s">
        <v>25</v>
      </c>
    </row>
    <row r="37" spans="1:19" x14ac:dyDescent="0.35">
      <c r="A37" s="3">
        <v>1036</v>
      </c>
      <c r="B37" s="3" t="s">
        <v>97</v>
      </c>
      <c r="C37" s="4">
        <v>45421</v>
      </c>
      <c r="D37" s="3" t="s">
        <v>98</v>
      </c>
      <c r="E37" s="4">
        <v>45447</v>
      </c>
      <c r="F37" s="4">
        <v>45449</v>
      </c>
      <c r="G37" s="3" t="s">
        <v>28</v>
      </c>
      <c r="H37" s="3" t="s">
        <v>60</v>
      </c>
      <c r="I37" s="3" t="s">
        <v>22</v>
      </c>
      <c r="J37" s="3" t="s">
        <v>30</v>
      </c>
      <c r="K37" s="3">
        <v>26</v>
      </c>
      <c r="L37" s="3">
        <v>2</v>
      </c>
      <c r="M37" s="3">
        <v>6186</v>
      </c>
      <c r="N37" s="3">
        <v>12372</v>
      </c>
      <c r="O37" s="3">
        <v>0</v>
      </c>
      <c r="P37" s="3" t="s">
        <v>24</v>
      </c>
      <c r="Q37" s="3">
        <v>1</v>
      </c>
      <c r="R37" s="3" t="str">
        <f t="shared" si="0"/>
        <v>Cancelled</v>
      </c>
      <c r="S37" s="3" t="s">
        <v>25</v>
      </c>
    </row>
    <row r="38" spans="1:19" x14ac:dyDescent="0.35">
      <c r="A38" s="3">
        <v>1037</v>
      </c>
      <c r="B38" s="3" t="s">
        <v>99</v>
      </c>
      <c r="C38" s="4">
        <v>45522</v>
      </c>
      <c r="D38" s="3" t="s">
        <v>100</v>
      </c>
      <c r="E38" s="4">
        <v>45579</v>
      </c>
      <c r="F38" s="4">
        <v>45582</v>
      </c>
      <c r="G38" s="3" t="s">
        <v>20</v>
      </c>
      <c r="H38" s="3" t="s">
        <v>35</v>
      </c>
      <c r="I38" s="3" t="s">
        <v>39</v>
      </c>
      <c r="J38" s="3" t="s">
        <v>30</v>
      </c>
      <c r="K38" s="3">
        <v>57</v>
      </c>
      <c r="L38" s="3">
        <v>3</v>
      </c>
      <c r="M38" s="3">
        <v>6122</v>
      </c>
      <c r="N38" s="3">
        <v>18366</v>
      </c>
      <c r="O38" s="3">
        <v>0</v>
      </c>
      <c r="P38" s="3" t="s">
        <v>51</v>
      </c>
      <c r="Q38" s="3">
        <v>1</v>
      </c>
      <c r="R38" s="3" t="str">
        <f t="shared" si="0"/>
        <v>Cancelled</v>
      </c>
      <c r="S38" s="3" t="s">
        <v>25</v>
      </c>
    </row>
    <row r="39" spans="1:19" x14ac:dyDescent="0.35">
      <c r="A39" s="3">
        <v>1038</v>
      </c>
      <c r="B39" s="3" t="s">
        <v>101</v>
      </c>
      <c r="C39" s="4">
        <v>45617</v>
      </c>
      <c r="D39" s="3" t="s">
        <v>102</v>
      </c>
      <c r="E39" s="4">
        <v>45629</v>
      </c>
      <c r="F39" s="4">
        <v>45634</v>
      </c>
      <c r="G39" s="3" t="s">
        <v>45</v>
      </c>
      <c r="H39" s="3" t="s">
        <v>60</v>
      </c>
      <c r="I39" s="3" t="s">
        <v>22</v>
      </c>
      <c r="J39" s="3" t="s">
        <v>30</v>
      </c>
      <c r="K39" s="3">
        <v>12</v>
      </c>
      <c r="L39" s="3">
        <v>5</v>
      </c>
      <c r="M39" s="3">
        <v>3536</v>
      </c>
      <c r="N39" s="3">
        <v>17680</v>
      </c>
      <c r="O39" s="3">
        <v>0</v>
      </c>
      <c r="P39" s="3" t="s">
        <v>24</v>
      </c>
      <c r="Q39" s="3">
        <v>1</v>
      </c>
      <c r="R39" s="3" t="str">
        <f t="shared" si="0"/>
        <v>Cancelled</v>
      </c>
      <c r="S39" s="3" t="s">
        <v>31</v>
      </c>
    </row>
    <row r="40" spans="1:19" x14ac:dyDescent="0.35">
      <c r="A40" s="3">
        <v>1039</v>
      </c>
      <c r="B40" s="3" t="s">
        <v>103</v>
      </c>
      <c r="C40" s="4">
        <v>45436</v>
      </c>
      <c r="D40" s="3" t="s">
        <v>75</v>
      </c>
      <c r="E40" s="4">
        <v>45447</v>
      </c>
      <c r="F40" s="4">
        <v>45452</v>
      </c>
      <c r="G40" s="3" t="s">
        <v>45</v>
      </c>
      <c r="H40" s="3" t="s">
        <v>38</v>
      </c>
      <c r="I40" s="3" t="s">
        <v>22</v>
      </c>
      <c r="J40" s="3" t="s">
        <v>30</v>
      </c>
      <c r="K40" s="3">
        <v>11</v>
      </c>
      <c r="L40" s="3">
        <v>5</v>
      </c>
      <c r="M40" s="3">
        <v>4332</v>
      </c>
      <c r="N40" s="3">
        <v>21660</v>
      </c>
      <c r="O40" s="3">
        <v>21660</v>
      </c>
      <c r="P40" s="3" t="s">
        <v>51</v>
      </c>
      <c r="Q40" s="3">
        <v>0</v>
      </c>
      <c r="R40" s="3" t="str">
        <f t="shared" si="0"/>
        <v>Not Cancelled</v>
      </c>
      <c r="S40" s="3" t="s">
        <v>31</v>
      </c>
    </row>
    <row r="41" spans="1:19" x14ac:dyDescent="0.35">
      <c r="A41" s="3">
        <v>1040</v>
      </c>
      <c r="B41" s="3" t="s">
        <v>104</v>
      </c>
      <c r="C41" s="4">
        <v>45636</v>
      </c>
      <c r="D41" s="3" t="s">
        <v>105</v>
      </c>
      <c r="E41" s="4">
        <v>45673</v>
      </c>
      <c r="F41" s="4">
        <v>45675</v>
      </c>
      <c r="G41" s="3" t="s">
        <v>28</v>
      </c>
      <c r="H41" s="3" t="s">
        <v>29</v>
      </c>
      <c r="I41" s="3" t="s">
        <v>22</v>
      </c>
      <c r="J41" s="3" t="s">
        <v>23</v>
      </c>
      <c r="K41" s="3">
        <v>37</v>
      </c>
      <c r="L41" s="3">
        <v>2</v>
      </c>
      <c r="M41" s="3">
        <v>8444</v>
      </c>
      <c r="N41" s="3">
        <v>16888</v>
      </c>
      <c r="O41" s="3">
        <v>16888</v>
      </c>
      <c r="P41" s="3" t="s">
        <v>24</v>
      </c>
      <c r="Q41" s="3">
        <v>0</v>
      </c>
      <c r="R41" s="3" t="str">
        <f t="shared" si="0"/>
        <v>Not Cancelled</v>
      </c>
      <c r="S41" s="3" t="s">
        <v>31</v>
      </c>
    </row>
    <row r="42" spans="1:19" x14ac:dyDescent="0.35">
      <c r="A42" s="3">
        <v>1041</v>
      </c>
      <c r="B42" s="3" t="s">
        <v>106</v>
      </c>
      <c r="C42" s="4">
        <v>45319</v>
      </c>
      <c r="D42" s="3" t="s">
        <v>107</v>
      </c>
      <c r="E42" s="4">
        <v>45344</v>
      </c>
      <c r="F42" s="4">
        <v>45349</v>
      </c>
      <c r="G42" s="3" t="s">
        <v>45</v>
      </c>
      <c r="H42" s="3" t="s">
        <v>60</v>
      </c>
      <c r="I42" s="3" t="s">
        <v>39</v>
      </c>
      <c r="J42" s="3" t="s">
        <v>23</v>
      </c>
      <c r="K42" s="3">
        <v>25</v>
      </c>
      <c r="L42" s="3">
        <v>5</v>
      </c>
      <c r="M42" s="3">
        <v>5240</v>
      </c>
      <c r="N42" s="3">
        <v>26200</v>
      </c>
      <c r="O42" s="3">
        <v>0</v>
      </c>
      <c r="P42" s="3" t="s">
        <v>24</v>
      </c>
      <c r="Q42" s="3">
        <v>1</v>
      </c>
      <c r="R42" s="3" t="str">
        <f t="shared" si="0"/>
        <v>Cancelled</v>
      </c>
      <c r="S42" s="3" t="s">
        <v>31</v>
      </c>
    </row>
    <row r="43" spans="1:19" x14ac:dyDescent="0.35">
      <c r="A43" s="3">
        <v>1042</v>
      </c>
      <c r="B43" s="3" t="s">
        <v>104</v>
      </c>
      <c r="C43" s="4">
        <v>45357</v>
      </c>
      <c r="D43" s="3" t="s">
        <v>27</v>
      </c>
      <c r="E43" s="4">
        <v>45375</v>
      </c>
      <c r="F43" s="4">
        <v>45379</v>
      </c>
      <c r="G43" s="3" t="s">
        <v>42</v>
      </c>
      <c r="H43" s="3" t="s">
        <v>21</v>
      </c>
      <c r="I43" s="3" t="s">
        <v>39</v>
      </c>
      <c r="J43" s="3" t="s">
        <v>30</v>
      </c>
      <c r="K43" s="3">
        <v>18</v>
      </c>
      <c r="L43" s="3">
        <v>4</v>
      </c>
      <c r="M43" s="3">
        <v>2992</v>
      </c>
      <c r="N43" s="3">
        <v>11968</v>
      </c>
      <c r="O43" s="3">
        <v>11968</v>
      </c>
      <c r="P43" s="3" t="s">
        <v>24</v>
      </c>
      <c r="Q43" s="3">
        <v>0</v>
      </c>
      <c r="R43" s="3" t="str">
        <f t="shared" si="0"/>
        <v>Not Cancelled</v>
      </c>
      <c r="S43" s="3" t="s">
        <v>31</v>
      </c>
    </row>
    <row r="44" spans="1:19" x14ac:dyDescent="0.35">
      <c r="A44" s="3">
        <v>1043</v>
      </c>
      <c r="B44" s="3" t="s">
        <v>108</v>
      </c>
      <c r="C44" s="4">
        <v>45454</v>
      </c>
      <c r="D44" s="3" t="s">
        <v>109</v>
      </c>
      <c r="E44" s="4">
        <v>45473</v>
      </c>
      <c r="F44" s="4">
        <v>45477</v>
      </c>
      <c r="G44" s="3" t="s">
        <v>42</v>
      </c>
      <c r="H44" s="3" t="s">
        <v>21</v>
      </c>
      <c r="I44" s="3" t="s">
        <v>22</v>
      </c>
      <c r="J44" s="3" t="s">
        <v>30</v>
      </c>
      <c r="K44" s="3">
        <v>19</v>
      </c>
      <c r="L44" s="3">
        <v>4</v>
      </c>
      <c r="M44" s="3">
        <v>4048</v>
      </c>
      <c r="N44" s="3">
        <v>16192</v>
      </c>
      <c r="O44" s="3">
        <v>0</v>
      </c>
      <c r="P44" s="3" t="s">
        <v>24</v>
      </c>
      <c r="Q44" s="3">
        <v>1</v>
      </c>
      <c r="R44" s="3" t="str">
        <f t="shared" si="0"/>
        <v>Cancelled</v>
      </c>
      <c r="S44" s="3" t="s">
        <v>25</v>
      </c>
    </row>
    <row r="45" spans="1:19" x14ac:dyDescent="0.35">
      <c r="A45" s="3">
        <v>1044</v>
      </c>
      <c r="B45" s="3" t="s">
        <v>110</v>
      </c>
      <c r="C45" s="4">
        <v>45520</v>
      </c>
      <c r="D45" s="3" t="s">
        <v>111</v>
      </c>
      <c r="E45" s="4">
        <v>45543</v>
      </c>
      <c r="F45" s="4">
        <v>45548</v>
      </c>
      <c r="G45" s="3" t="s">
        <v>45</v>
      </c>
      <c r="H45" s="3" t="s">
        <v>21</v>
      </c>
      <c r="I45" s="3" t="s">
        <v>39</v>
      </c>
      <c r="J45" s="3" t="s">
        <v>30</v>
      </c>
      <c r="K45" s="3">
        <v>23</v>
      </c>
      <c r="L45" s="3">
        <v>5</v>
      </c>
      <c r="M45" s="3">
        <v>3643</v>
      </c>
      <c r="N45" s="3">
        <v>18215</v>
      </c>
      <c r="O45" s="3">
        <v>18215</v>
      </c>
      <c r="P45" s="3" t="s">
        <v>51</v>
      </c>
      <c r="Q45" s="3">
        <v>0</v>
      </c>
      <c r="R45" s="3" t="str">
        <f t="shared" si="0"/>
        <v>Not Cancelled</v>
      </c>
      <c r="S45" s="3" t="s">
        <v>25</v>
      </c>
    </row>
    <row r="46" spans="1:19" x14ac:dyDescent="0.35">
      <c r="A46" s="3">
        <v>1045</v>
      </c>
      <c r="B46" s="3" t="s">
        <v>112</v>
      </c>
      <c r="C46" s="4">
        <v>45552</v>
      </c>
      <c r="D46" s="3" t="s">
        <v>113</v>
      </c>
      <c r="E46" s="4">
        <v>45607</v>
      </c>
      <c r="F46" s="4">
        <v>45609</v>
      </c>
      <c r="G46" s="3" t="s">
        <v>28</v>
      </c>
      <c r="H46" s="3" t="s">
        <v>29</v>
      </c>
      <c r="I46" s="3" t="s">
        <v>39</v>
      </c>
      <c r="J46" s="3" t="s">
        <v>23</v>
      </c>
      <c r="K46" s="3">
        <v>55</v>
      </c>
      <c r="L46" s="3">
        <v>2</v>
      </c>
      <c r="M46" s="3">
        <v>7565</v>
      </c>
      <c r="N46" s="3">
        <v>15130</v>
      </c>
      <c r="O46" s="3">
        <v>0</v>
      </c>
      <c r="P46" s="3" t="s">
        <v>51</v>
      </c>
      <c r="Q46" s="3">
        <v>1</v>
      </c>
      <c r="R46" s="3" t="str">
        <f t="shared" si="0"/>
        <v>Cancelled</v>
      </c>
      <c r="S46" s="3" t="s">
        <v>25</v>
      </c>
    </row>
    <row r="47" spans="1:19" x14ac:dyDescent="0.35">
      <c r="A47" s="3">
        <v>1046</v>
      </c>
      <c r="B47" s="3" t="s">
        <v>114</v>
      </c>
      <c r="C47" s="4">
        <v>45455</v>
      </c>
      <c r="D47" s="3" t="s">
        <v>115</v>
      </c>
      <c r="E47" s="4">
        <v>45493</v>
      </c>
      <c r="F47" s="4">
        <v>45495</v>
      </c>
      <c r="G47" s="3" t="s">
        <v>28</v>
      </c>
      <c r="H47" s="3" t="s">
        <v>38</v>
      </c>
      <c r="I47" s="3" t="s">
        <v>39</v>
      </c>
      <c r="J47" s="3" t="s">
        <v>30</v>
      </c>
      <c r="K47" s="3">
        <v>38</v>
      </c>
      <c r="L47" s="3">
        <v>2</v>
      </c>
      <c r="M47" s="3">
        <v>8996</v>
      </c>
      <c r="N47" s="3">
        <v>17992</v>
      </c>
      <c r="O47" s="3">
        <v>17992</v>
      </c>
      <c r="P47" s="3" t="s">
        <v>24</v>
      </c>
      <c r="Q47" s="3">
        <v>0</v>
      </c>
      <c r="R47" s="3" t="str">
        <f t="shared" si="0"/>
        <v>Not Cancelled</v>
      </c>
      <c r="S47" s="3" t="s">
        <v>31</v>
      </c>
    </row>
    <row r="48" spans="1:19" x14ac:dyDescent="0.35">
      <c r="A48" s="3">
        <v>1047</v>
      </c>
      <c r="B48" s="3" t="s">
        <v>116</v>
      </c>
      <c r="C48" s="4">
        <v>45592</v>
      </c>
      <c r="D48" s="3" t="s">
        <v>117</v>
      </c>
      <c r="E48" s="4">
        <v>45646</v>
      </c>
      <c r="F48" s="4">
        <v>45648</v>
      </c>
      <c r="G48" s="3" t="s">
        <v>28</v>
      </c>
      <c r="H48" s="3" t="s">
        <v>35</v>
      </c>
      <c r="I48" s="3" t="s">
        <v>39</v>
      </c>
      <c r="J48" s="3" t="s">
        <v>30</v>
      </c>
      <c r="K48" s="3">
        <v>54</v>
      </c>
      <c r="L48" s="3">
        <v>2</v>
      </c>
      <c r="M48" s="3">
        <v>8683</v>
      </c>
      <c r="N48" s="3">
        <v>17366</v>
      </c>
      <c r="O48" s="3">
        <v>0</v>
      </c>
      <c r="P48" s="3" t="s">
        <v>24</v>
      </c>
      <c r="Q48" s="3">
        <v>1</v>
      </c>
      <c r="R48" s="3" t="str">
        <f t="shared" si="0"/>
        <v>Cancelled</v>
      </c>
      <c r="S48" s="3" t="s">
        <v>31</v>
      </c>
    </row>
    <row r="49" spans="1:19" x14ac:dyDescent="0.35">
      <c r="A49" s="3">
        <v>1048</v>
      </c>
      <c r="B49" s="3" t="s">
        <v>118</v>
      </c>
      <c r="C49" s="4">
        <v>45594</v>
      </c>
      <c r="D49" s="3" t="s">
        <v>27</v>
      </c>
      <c r="E49" s="4">
        <v>45612</v>
      </c>
      <c r="F49" s="4">
        <v>45613</v>
      </c>
      <c r="G49" s="3" t="s">
        <v>34</v>
      </c>
      <c r="H49" s="3" t="s">
        <v>38</v>
      </c>
      <c r="I49" s="3" t="s">
        <v>22</v>
      </c>
      <c r="J49" s="3" t="s">
        <v>30</v>
      </c>
      <c r="K49" s="3">
        <v>18</v>
      </c>
      <c r="L49" s="3">
        <v>1</v>
      </c>
      <c r="M49" s="3">
        <v>6457</v>
      </c>
      <c r="N49" s="3">
        <v>6457</v>
      </c>
      <c r="O49" s="3">
        <v>0</v>
      </c>
      <c r="P49" s="3" t="s">
        <v>51</v>
      </c>
      <c r="Q49" s="3">
        <v>1</v>
      </c>
      <c r="R49" s="3" t="str">
        <f t="shared" si="0"/>
        <v>Cancelled</v>
      </c>
      <c r="S49" s="3" t="s">
        <v>25</v>
      </c>
    </row>
    <row r="50" spans="1:19" x14ac:dyDescent="0.35">
      <c r="A50" s="3">
        <v>1049</v>
      </c>
      <c r="B50" s="3" t="s">
        <v>119</v>
      </c>
      <c r="C50" s="4">
        <v>45578</v>
      </c>
      <c r="D50" s="3" t="s">
        <v>98</v>
      </c>
      <c r="E50" s="4">
        <v>45604</v>
      </c>
      <c r="F50" s="4">
        <v>45609</v>
      </c>
      <c r="G50" s="3" t="s">
        <v>45</v>
      </c>
      <c r="H50" s="3" t="s">
        <v>29</v>
      </c>
      <c r="I50" s="3" t="s">
        <v>39</v>
      </c>
      <c r="J50" s="3" t="s">
        <v>23</v>
      </c>
      <c r="K50" s="3">
        <v>26</v>
      </c>
      <c r="L50" s="3">
        <v>5</v>
      </c>
      <c r="M50" s="3">
        <v>5907</v>
      </c>
      <c r="N50" s="3">
        <v>29535</v>
      </c>
      <c r="O50" s="3">
        <v>0</v>
      </c>
      <c r="P50" s="3" t="s">
        <v>51</v>
      </c>
      <c r="Q50" s="3">
        <v>1</v>
      </c>
      <c r="R50" s="3" t="str">
        <f t="shared" si="0"/>
        <v>Cancelled</v>
      </c>
      <c r="S50" s="3" t="s">
        <v>31</v>
      </c>
    </row>
    <row r="51" spans="1:19" x14ac:dyDescent="0.35">
      <c r="A51" s="3">
        <v>1050</v>
      </c>
      <c r="B51" s="3" t="s">
        <v>120</v>
      </c>
      <c r="C51" s="4">
        <v>45301</v>
      </c>
      <c r="D51" s="3" t="s">
        <v>55</v>
      </c>
      <c r="E51" s="4">
        <v>45307</v>
      </c>
      <c r="F51" s="4">
        <v>45309</v>
      </c>
      <c r="G51" s="3" t="s">
        <v>28</v>
      </c>
      <c r="H51" s="3" t="s">
        <v>21</v>
      </c>
      <c r="I51" s="3" t="s">
        <v>22</v>
      </c>
      <c r="J51" s="3" t="s">
        <v>46</v>
      </c>
      <c r="K51" s="3">
        <v>6</v>
      </c>
      <c r="L51" s="3">
        <v>2</v>
      </c>
      <c r="M51" s="3">
        <v>3139</v>
      </c>
      <c r="N51" s="3">
        <v>6278</v>
      </c>
      <c r="O51" s="3">
        <v>6278</v>
      </c>
      <c r="P51" s="3" t="s">
        <v>51</v>
      </c>
      <c r="Q51" s="3">
        <v>0</v>
      </c>
      <c r="R51" s="3" t="str">
        <f t="shared" si="0"/>
        <v>Not Cancelled</v>
      </c>
      <c r="S51" s="3" t="s">
        <v>31</v>
      </c>
    </row>
    <row r="52" spans="1:19" x14ac:dyDescent="0.35">
      <c r="A52" s="3">
        <v>1051</v>
      </c>
      <c r="B52" s="3" t="s">
        <v>121</v>
      </c>
      <c r="C52" s="4">
        <v>45486</v>
      </c>
      <c r="D52" s="3" t="s">
        <v>42</v>
      </c>
      <c r="E52" s="4">
        <v>45490</v>
      </c>
      <c r="F52" s="4">
        <v>45494</v>
      </c>
      <c r="G52" s="3" t="s">
        <v>42</v>
      </c>
      <c r="H52" s="3" t="s">
        <v>38</v>
      </c>
      <c r="I52" s="3" t="s">
        <v>22</v>
      </c>
      <c r="J52" s="3" t="s">
        <v>46</v>
      </c>
      <c r="K52" s="3">
        <v>4</v>
      </c>
      <c r="L52" s="3">
        <v>4</v>
      </c>
      <c r="M52" s="3">
        <v>2672</v>
      </c>
      <c r="N52" s="3">
        <v>10688</v>
      </c>
      <c r="O52" s="3">
        <v>10688</v>
      </c>
      <c r="P52" s="3" t="s">
        <v>51</v>
      </c>
      <c r="Q52" s="3">
        <v>0</v>
      </c>
      <c r="R52" s="3" t="str">
        <f t="shared" si="0"/>
        <v>Not Cancelled</v>
      </c>
      <c r="S52" s="3" t="s">
        <v>31</v>
      </c>
    </row>
    <row r="53" spans="1:19" x14ac:dyDescent="0.35">
      <c r="A53" s="3">
        <v>1052</v>
      </c>
      <c r="B53" s="3" t="s">
        <v>122</v>
      </c>
      <c r="C53" s="4">
        <v>45409</v>
      </c>
      <c r="D53" s="3" t="s">
        <v>62</v>
      </c>
      <c r="E53" s="4">
        <v>45453</v>
      </c>
      <c r="F53" s="4">
        <v>45456</v>
      </c>
      <c r="G53" s="3" t="s">
        <v>20</v>
      </c>
      <c r="H53" s="3" t="s">
        <v>35</v>
      </c>
      <c r="I53" s="3" t="s">
        <v>39</v>
      </c>
      <c r="J53" s="3" t="s">
        <v>23</v>
      </c>
      <c r="K53" s="3">
        <v>44</v>
      </c>
      <c r="L53" s="3">
        <v>3</v>
      </c>
      <c r="M53" s="3">
        <v>8166</v>
      </c>
      <c r="N53" s="3">
        <v>24498</v>
      </c>
      <c r="O53" s="3">
        <v>24498</v>
      </c>
      <c r="P53" s="3" t="s">
        <v>51</v>
      </c>
      <c r="Q53" s="3">
        <v>0</v>
      </c>
      <c r="R53" s="3" t="str">
        <f t="shared" si="0"/>
        <v>Not Cancelled</v>
      </c>
      <c r="S53" s="3" t="s">
        <v>25</v>
      </c>
    </row>
    <row r="54" spans="1:19" x14ac:dyDescent="0.35">
      <c r="A54" s="3">
        <v>1053</v>
      </c>
      <c r="B54" s="3" t="s">
        <v>123</v>
      </c>
      <c r="C54" s="4">
        <v>45561</v>
      </c>
      <c r="D54" s="3" t="s">
        <v>124</v>
      </c>
      <c r="E54" s="4">
        <v>45612</v>
      </c>
      <c r="F54" s="4">
        <v>45615</v>
      </c>
      <c r="G54" s="3" t="s">
        <v>20</v>
      </c>
      <c r="H54" s="3" t="s">
        <v>21</v>
      </c>
      <c r="I54" s="3" t="s">
        <v>39</v>
      </c>
      <c r="J54" s="3" t="s">
        <v>46</v>
      </c>
      <c r="K54" s="3">
        <v>51</v>
      </c>
      <c r="L54" s="3">
        <v>3</v>
      </c>
      <c r="M54" s="3">
        <v>6854</v>
      </c>
      <c r="N54" s="3">
        <v>20562</v>
      </c>
      <c r="O54" s="3">
        <v>20562</v>
      </c>
      <c r="P54" s="3" t="s">
        <v>51</v>
      </c>
      <c r="Q54" s="3">
        <v>0</v>
      </c>
      <c r="R54" s="3" t="str">
        <f t="shared" si="0"/>
        <v>Not Cancelled</v>
      </c>
      <c r="S54" s="3" t="s">
        <v>25</v>
      </c>
    </row>
    <row r="55" spans="1:19" x14ac:dyDescent="0.35">
      <c r="A55" s="3">
        <v>1054</v>
      </c>
      <c r="B55" s="3" t="s">
        <v>125</v>
      </c>
      <c r="C55" s="4">
        <v>45371</v>
      </c>
      <c r="D55" s="3" t="s">
        <v>57</v>
      </c>
      <c r="E55" s="4">
        <v>45400</v>
      </c>
      <c r="F55" s="4">
        <v>45402</v>
      </c>
      <c r="G55" s="3" t="s">
        <v>28</v>
      </c>
      <c r="H55" s="3" t="s">
        <v>35</v>
      </c>
      <c r="I55" s="3" t="s">
        <v>39</v>
      </c>
      <c r="J55" s="3" t="s">
        <v>30</v>
      </c>
      <c r="K55" s="3">
        <v>29</v>
      </c>
      <c r="L55" s="3">
        <v>2</v>
      </c>
      <c r="M55" s="3">
        <v>6459</v>
      </c>
      <c r="N55" s="3">
        <v>12918</v>
      </c>
      <c r="O55" s="3">
        <v>0</v>
      </c>
      <c r="P55" s="3" t="s">
        <v>24</v>
      </c>
      <c r="Q55" s="3">
        <v>1</v>
      </c>
      <c r="R55" s="3" t="str">
        <f t="shared" si="0"/>
        <v>Cancelled</v>
      </c>
      <c r="S55" s="3" t="s">
        <v>31</v>
      </c>
    </row>
    <row r="56" spans="1:19" x14ac:dyDescent="0.35">
      <c r="A56" s="3">
        <v>1055</v>
      </c>
      <c r="B56" s="3" t="s">
        <v>126</v>
      </c>
      <c r="C56" s="4">
        <v>45384</v>
      </c>
      <c r="D56" s="3" t="s">
        <v>96</v>
      </c>
      <c r="E56" s="4">
        <v>45443</v>
      </c>
      <c r="F56" s="4">
        <v>45446</v>
      </c>
      <c r="G56" s="3" t="s">
        <v>20</v>
      </c>
      <c r="H56" s="3" t="s">
        <v>60</v>
      </c>
      <c r="I56" s="3" t="s">
        <v>22</v>
      </c>
      <c r="J56" s="3" t="s">
        <v>30</v>
      </c>
      <c r="K56" s="3">
        <v>59</v>
      </c>
      <c r="L56" s="3">
        <v>3</v>
      </c>
      <c r="M56" s="3">
        <v>3016</v>
      </c>
      <c r="N56" s="3">
        <v>9048</v>
      </c>
      <c r="O56" s="3">
        <v>0</v>
      </c>
      <c r="P56" s="3" t="s">
        <v>51</v>
      </c>
      <c r="Q56" s="3">
        <v>1</v>
      </c>
      <c r="R56" s="3" t="str">
        <f t="shared" si="0"/>
        <v>Cancelled</v>
      </c>
      <c r="S56" s="3" t="s">
        <v>31</v>
      </c>
    </row>
    <row r="57" spans="1:19" x14ac:dyDescent="0.35">
      <c r="A57" s="3">
        <v>1056</v>
      </c>
      <c r="B57" s="3" t="s">
        <v>127</v>
      </c>
      <c r="C57" s="4">
        <v>45557</v>
      </c>
      <c r="D57" s="3" t="s">
        <v>128</v>
      </c>
      <c r="E57" s="4">
        <v>45591</v>
      </c>
      <c r="F57" s="4">
        <v>45594</v>
      </c>
      <c r="G57" s="3" t="s">
        <v>20</v>
      </c>
      <c r="H57" s="3" t="s">
        <v>35</v>
      </c>
      <c r="I57" s="3" t="s">
        <v>22</v>
      </c>
      <c r="J57" s="3" t="s">
        <v>23</v>
      </c>
      <c r="K57" s="3">
        <v>34</v>
      </c>
      <c r="L57" s="3">
        <v>3</v>
      </c>
      <c r="M57" s="3">
        <v>3022</v>
      </c>
      <c r="N57" s="3">
        <v>9066</v>
      </c>
      <c r="O57" s="3">
        <v>0</v>
      </c>
      <c r="P57" s="3" t="s">
        <v>51</v>
      </c>
      <c r="Q57" s="3">
        <v>1</v>
      </c>
      <c r="R57" s="3" t="str">
        <f t="shared" si="0"/>
        <v>Cancelled</v>
      </c>
      <c r="S57" s="3" t="s">
        <v>31</v>
      </c>
    </row>
    <row r="58" spans="1:19" x14ac:dyDescent="0.35">
      <c r="A58" s="3">
        <v>1057</v>
      </c>
      <c r="B58" s="3" t="s">
        <v>129</v>
      </c>
      <c r="C58" s="4">
        <v>45623</v>
      </c>
      <c r="D58" s="3" t="s">
        <v>71</v>
      </c>
      <c r="E58" s="4">
        <v>45640</v>
      </c>
      <c r="F58" s="4">
        <v>45641</v>
      </c>
      <c r="G58" s="3" t="s">
        <v>34</v>
      </c>
      <c r="H58" s="3" t="s">
        <v>21</v>
      </c>
      <c r="I58" s="3" t="s">
        <v>22</v>
      </c>
      <c r="J58" s="3" t="s">
        <v>23</v>
      </c>
      <c r="K58" s="3">
        <v>17</v>
      </c>
      <c r="L58" s="3">
        <v>1</v>
      </c>
      <c r="M58" s="3">
        <v>4417</v>
      </c>
      <c r="N58" s="3">
        <v>4417</v>
      </c>
      <c r="O58" s="3">
        <v>4417</v>
      </c>
      <c r="P58" s="3" t="s">
        <v>24</v>
      </c>
      <c r="Q58" s="3">
        <v>0</v>
      </c>
      <c r="R58" s="3" t="str">
        <f t="shared" si="0"/>
        <v>Not Cancelled</v>
      </c>
      <c r="S58" s="3" t="s">
        <v>31</v>
      </c>
    </row>
    <row r="59" spans="1:19" x14ac:dyDescent="0.35">
      <c r="A59" s="3">
        <v>1058</v>
      </c>
      <c r="B59" s="3" t="s">
        <v>130</v>
      </c>
      <c r="C59" s="4">
        <v>45641</v>
      </c>
      <c r="D59" s="3" t="s">
        <v>66</v>
      </c>
      <c r="E59" s="4">
        <v>45684</v>
      </c>
      <c r="F59" s="4">
        <v>45688</v>
      </c>
      <c r="G59" s="3" t="s">
        <v>42</v>
      </c>
      <c r="H59" s="3" t="s">
        <v>60</v>
      </c>
      <c r="I59" s="3" t="s">
        <v>22</v>
      </c>
      <c r="J59" s="3" t="s">
        <v>46</v>
      </c>
      <c r="K59" s="3">
        <v>43</v>
      </c>
      <c r="L59" s="3">
        <v>4</v>
      </c>
      <c r="M59" s="3">
        <v>5386</v>
      </c>
      <c r="N59" s="3">
        <v>21544</v>
      </c>
      <c r="O59" s="3">
        <v>21544</v>
      </c>
      <c r="P59" s="3" t="s">
        <v>51</v>
      </c>
      <c r="Q59" s="3">
        <v>0</v>
      </c>
      <c r="R59" s="3" t="str">
        <f t="shared" si="0"/>
        <v>Not Cancelled</v>
      </c>
      <c r="S59" s="3" t="s">
        <v>25</v>
      </c>
    </row>
    <row r="60" spans="1:19" x14ac:dyDescent="0.35">
      <c r="A60" s="3">
        <v>1059</v>
      </c>
      <c r="B60" s="3" t="s">
        <v>131</v>
      </c>
      <c r="C60" s="4">
        <v>45652</v>
      </c>
      <c r="D60" s="3" t="s">
        <v>66</v>
      </c>
      <c r="E60" s="4">
        <v>45695</v>
      </c>
      <c r="F60" s="4">
        <v>45699</v>
      </c>
      <c r="G60" s="3" t="s">
        <v>42</v>
      </c>
      <c r="H60" s="3" t="s">
        <v>21</v>
      </c>
      <c r="I60" s="3" t="s">
        <v>22</v>
      </c>
      <c r="J60" s="3" t="s">
        <v>46</v>
      </c>
      <c r="K60" s="3">
        <v>43</v>
      </c>
      <c r="L60" s="3">
        <v>4</v>
      </c>
      <c r="M60" s="3">
        <v>4664</v>
      </c>
      <c r="N60" s="3">
        <v>18656</v>
      </c>
      <c r="O60" s="3">
        <v>18656</v>
      </c>
      <c r="P60" s="3" t="s">
        <v>51</v>
      </c>
      <c r="Q60" s="3">
        <v>0</v>
      </c>
      <c r="R60" s="3" t="str">
        <f t="shared" si="0"/>
        <v>Not Cancelled</v>
      </c>
      <c r="S60" s="3" t="s">
        <v>31</v>
      </c>
    </row>
    <row r="61" spans="1:19" x14ac:dyDescent="0.35">
      <c r="A61" s="3">
        <v>1060</v>
      </c>
      <c r="B61" s="3" t="s">
        <v>132</v>
      </c>
      <c r="C61" s="4">
        <v>45548</v>
      </c>
      <c r="D61" s="3" t="s">
        <v>133</v>
      </c>
      <c r="E61" s="4">
        <v>45601</v>
      </c>
      <c r="F61" s="4">
        <v>45602</v>
      </c>
      <c r="G61" s="3" t="s">
        <v>34</v>
      </c>
      <c r="H61" s="3" t="s">
        <v>21</v>
      </c>
      <c r="I61" s="3" t="s">
        <v>22</v>
      </c>
      <c r="J61" s="3" t="s">
        <v>30</v>
      </c>
      <c r="K61" s="3">
        <v>53</v>
      </c>
      <c r="L61" s="3">
        <v>1</v>
      </c>
      <c r="M61" s="3">
        <v>8827</v>
      </c>
      <c r="N61" s="3">
        <v>8827</v>
      </c>
      <c r="O61" s="3">
        <v>0</v>
      </c>
      <c r="P61" s="3" t="s">
        <v>51</v>
      </c>
      <c r="Q61" s="3">
        <v>1</v>
      </c>
      <c r="R61" s="3" t="str">
        <f t="shared" si="0"/>
        <v>Cancelled</v>
      </c>
      <c r="S61" s="3" t="s">
        <v>25</v>
      </c>
    </row>
    <row r="62" spans="1:19" x14ac:dyDescent="0.35">
      <c r="A62" s="3">
        <v>1061</v>
      </c>
      <c r="B62" s="3" t="s">
        <v>134</v>
      </c>
      <c r="C62" s="4">
        <v>45424</v>
      </c>
      <c r="D62" s="3" t="s">
        <v>88</v>
      </c>
      <c r="E62" s="4">
        <v>45440</v>
      </c>
      <c r="F62" s="4">
        <v>45441</v>
      </c>
      <c r="G62" s="3" t="s">
        <v>34</v>
      </c>
      <c r="H62" s="3" t="s">
        <v>60</v>
      </c>
      <c r="I62" s="3" t="s">
        <v>22</v>
      </c>
      <c r="J62" s="3" t="s">
        <v>23</v>
      </c>
      <c r="K62" s="3">
        <v>16</v>
      </c>
      <c r="L62" s="3">
        <v>1</v>
      </c>
      <c r="M62" s="3">
        <v>4429</v>
      </c>
      <c r="N62" s="3">
        <v>4429</v>
      </c>
      <c r="O62" s="3">
        <v>0</v>
      </c>
      <c r="P62" s="3" t="s">
        <v>24</v>
      </c>
      <c r="Q62" s="3">
        <v>1</v>
      </c>
      <c r="R62" s="3" t="str">
        <f t="shared" si="0"/>
        <v>Cancelled</v>
      </c>
      <c r="S62" s="3" t="s">
        <v>25</v>
      </c>
    </row>
    <row r="63" spans="1:19" x14ac:dyDescent="0.35">
      <c r="A63" s="3">
        <v>1062</v>
      </c>
      <c r="B63" s="3" t="s">
        <v>135</v>
      </c>
      <c r="C63" s="4">
        <v>45567</v>
      </c>
      <c r="D63" s="3" t="s">
        <v>28</v>
      </c>
      <c r="E63" s="4">
        <v>45569</v>
      </c>
      <c r="F63" s="4">
        <v>45572</v>
      </c>
      <c r="G63" s="3" t="s">
        <v>20</v>
      </c>
      <c r="H63" s="3" t="s">
        <v>35</v>
      </c>
      <c r="I63" s="3" t="s">
        <v>39</v>
      </c>
      <c r="J63" s="3" t="s">
        <v>46</v>
      </c>
      <c r="K63" s="3">
        <v>2</v>
      </c>
      <c r="L63" s="3">
        <v>3</v>
      </c>
      <c r="M63" s="3">
        <v>6445</v>
      </c>
      <c r="N63" s="3">
        <v>19335</v>
      </c>
      <c r="O63" s="3">
        <v>19335</v>
      </c>
      <c r="P63" s="3" t="s">
        <v>51</v>
      </c>
      <c r="Q63" s="3">
        <v>0</v>
      </c>
      <c r="R63" s="3" t="str">
        <f t="shared" si="0"/>
        <v>Not Cancelled</v>
      </c>
      <c r="S63" s="3" t="s">
        <v>25</v>
      </c>
    </row>
    <row r="64" spans="1:19" x14ac:dyDescent="0.35">
      <c r="A64" s="3">
        <v>1063</v>
      </c>
      <c r="B64" s="3" t="s">
        <v>136</v>
      </c>
      <c r="C64" s="4">
        <v>45555</v>
      </c>
      <c r="D64" s="3" t="s">
        <v>128</v>
      </c>
      <c r="E64" s="4">
        <v>45589</v>
      </c>
      <c r="F64" s="4">
        <v>45594</v>
      </c>
      <c r="G64" s="3" t="s">
        <v>45</v>
      </c>
      <c r="H64" s="3" t="s">
        <v>29</v>
      </c>
      <c r="I64" s="3" t="s">
        <v>22</v>
      </c>
      <c r="J64" s="3" t="s">
        <v>46</v>
      </c>
      <c r="K64" s="3">
        <v>34</v>
      </c>
      <c r="L64" s="3">
        <v>5</v>
      </c>
      <c r="M64" s="3">
        <v>7735</v>
      </c>
      <c r="N64" s="3">
        <v>38675</v>
      </c>
      <c r="O64" s="3">
        <v>0</v>
      </c>
      <c r="P64" s="3" t="s">
        <v>24</v>
      </c>
      <c r="Q64" s="3">
        <v>1</v>
      </c>
      <c r="R64" s="3" t="str">
        <f t="shared" si="0"/>
        <v>Cancelled</v>
      </c>
      <c r="S64" s="3" t="s">
        <v>31</v>
      </c>
    </row>
    <row r="65" spans="1:19" x14ac:dyDescent="0.35">
      <c r="A65" s="3">
        <v>1064</v>
      </c>
      <c r="B65" s="3" t="s">
        <v>80</v>
      </c>
      <c r="C65" s="4">
        <v>45462</v>
      </c>
      <c r="D65" s="3" t="s">
        <v>113</v>
      </c>
      <c r="E65" s="4">
        <v>45517</v>
      </c>
      <c r="F65" s="4">
        <v>45520</v>
      </c>
      <c r="G65" s="3" t="s">
        <v>20</v>
      </c>
      <c r="H65" s="3" t="s">
        <v>29</v>
      </c>
      <c r="I65" s="3" t="s">
        <v>22</v>
      </c>
      <c r="J65" s="3" t="s">
        <v>30</v>
      </c>
      <c r="K65" s="3">
        <v>55</v>
      </c>
      <c r="L65" s="3">
        <v>3</v>
      </c>
      <c r="M65" s="3">
        <v>4709</v>
      </c>
      <c r="N65" s="3">
        <v>14127</v>
      </c>
      <c r="O65" s="3">
        <v>0</v>
      </c>
      <c r="P65" s="3" t="s">
        <v>51</v>
      </c>
      <c r="Q65" s="3">
        <v>1</v>
      </c>
      <c r="R65" s="3" t="str">
        <f t="shared" si="0"/>
        <v>Cancelled</v>
      </c>
      <c r="S65" s="3" t="s">
        <v>25</v>
      </c>
    </row>
    <row r="66" spans="1:19" x14ac:dyDescent="0.35">
      <c r="A66" s="3">
        <v>1065</v>
      </c>
      <c r="B66" s="3" t="s">
        <v>137</v>
      </c>
      <c r="C66" s="4">
        <v>45292</v>
      </c>
      <c r="D66" s="3" t="s">
        <v>59</v>
      </c>
      <c r="E66" s="4">
        <v>45300</v>
      </c>
      <c r="F66" s="4">
        <v>45301</v>
      </c>
      <c r="G66" s="3" t="s">
        <v>34</v>
      </c>
      <c r="H66" s="3" t="s">
        <v>29</v>
      </c>
      <c r="I66" s="3" t="s">
        <v>22</v>
      </c>
      <c r="J66" s="3" t="s">
        <v>30</v>
      </c>
      <c r="K66" s="3">
        <v>8</v>
      </c>
      <c r="L66" s="3">
        <v>1</v>
      </c>
      <c r="M66" s="3">
        <v>6283</v>
      </c>
      <c r="N66" s="3">
        <v>6283</v>
      </c>
      <c r="O66" s="3">
        <v>6283</v>
      </c>
      <c r="P66" s="3" t="s">
        <v>24</v>
      </c>
      <c r="Q66" s="3">
        <v>0</v>
      </c>
      <c r="R66" s="3" t="str">
        <f t="shared" si="0"/>
        <v>Not Cancelled</v>
      </c>
      <c r="S66" s="3" t="s">
        <v>25</v>
      </c>
    </row>
    <row r="67" spans="1:19" x14ac:dyDescent="0.35">
      <c r="A67" s="3">
        <v>1066</v>
      </c>
      <c r="B67" s="3" t="s">
        <v>138</v>
      </c>
      <c r="C67" s="4">
        <v>45604</v>
      </c>
      <c r="D67" s="3" t="s">
        <v>44</v>
      </c>
      <c r="E67" s="4">
        <v>45617</v>
      </c>
      <c r="F67" s="4">
        <v>45621</v>
      </c>
      <c r="G67" s="3" t="s">
        <v>42</v>
      </c>
      <c r="H67" s="3" t="s">
        <v>29</v>
      </c>
      <c r="I67" s="3" t="s">
        <v>22</v>
      </c>
      <c r="J67" s="3" t="s">
        <v>30</v>
      </c>
      <c r="K67" s="3">
        <v>13</v>
      </c>
      <c r="L67" s="3">
        <v>4</v>
      </c>
      <c r="M67" s="3">
        <v>5090</v>
      </c>
      <c r="N67" s="3">
        <v>20360</v>
      </c>
      <c r="O67" s="3">
        <v>20360</v>
      </c>
      <c r="P67" s="3" t="s">
        <v>51</v>
      </c>
      <c r="Q67" s="3">
        <v>0</v>
      </c>
      <c r="R67" s="3" t="str">
        <f t="shared" ref="R67:R130" si="1">IF(Q67=0,"Not Cancelled","Cancelled")</f>
        <v>Not Cancelled</v>
      </c>
      <c r="S67" s="3" t="s">
        <v>31</v>
      </c>
    </row>
    <row r="68" spans="1:19" x14ac:dyDescent="0.35">
      <c r="A68" s="3">
        <v>1067</v>
      </c>
      <c r="B68" s="3" t="s">
        <v>139</v>
      </c>
      <c r="C68" s="4">
        <v>45355</v>
      </c>
      <c r="D68" s="3" t="s">
        <v>140</v>
      </c>
      <c r="E68" s="4">
        <v>45397</v>
      </c>
      <c r="F68" s="4">
        <v>45400</v>
      </c>
      <c r="G68" s="3" t="s">
        <v>20</v>
      </c>
      <c r="H68" s="3" t="s">
        <v>38</v>
      </c>
      <c r="I68" s="3" t="s">
        <v>39</v>
      </c>
      <c r="J68" s="3" t="s">
        <v>30</v>
      </c>
      <c r="K68" s="3">
        <v>42</v>
      </c>
      <c r="L68" s="3">
        <v>3</v>
      </c>
      <c r="M68" s="3">
        <v>7434</v>
      </c>
      <c r="N68" s="3">
        <v>22302</v>
      </c>
      <c r="O68" s="3">
        <v>0</v>
      </c>
      <c r="P68" s="3" t="s">
        <v>51</v>
      </c>
      <c r="Q68" s="3">
        <v>1</v>
      </c>
      <c r="R68" s="3" t="str">
        <f t="shared" si="1"/>
        <v>Cancelled</v>
      </c>
      <c r="S68" s="3" t="s">
        <v>31</v>
      </c>
    </row>
    <row r="69" spans="1:19" x14ac:dyDescent="0.35">
      <c r="A69" s="3">
        <v>1068</v>
      </c>
      <c r="B69" s="3" t="s">
        <v>141</v>
      </c>
      <c r="C69" s="4">
        <v>45575</v>
      </c>
      <c r="D69" s="3" t="s">
        <v>59</v>
      </c>
      <c r="E69" s="4">
        <v>45583</v>
      </c>
      <c r="F69" s="4">
        <v>45588</v>
      </c>
      <c r="G69" s="3" t="s">
        <v>45</v>
      </c>
      <c r="H69" s="3" t="s">
        <v>29</v>
      </c>
      <c r="I69" s="3" t="s">
        <v>22</v>
      </c>
      <c r="J69" s="3" t="s">
        <v>46</v>
      </c>
      <c r="K69" s="3">
        <v>8</v>
      </c>
      <c r="L69" s="3">
        <v>5</v>
      </c>
      <c r="M69" s="3">
        <v>6576</v>
      </c>
      <c r="N69" s="3">
        <v>32880</v>
      </c>
      <c r="O69" s="3">
        <v>32880</v>
      </c>
      <c r="P69" s="3" t="s">
        <v>51</v>
      </c>
      <c r="Q69" s="3">
        <v>0</v>
      </c>
      <c r="R69" s="3" t="str">
        <f t="shared" si="1"/>
        <v>Not Cancelled</v>
      </c>
      <c r="S69" s="3" t="s">
        <v>31</v>
      </c>
    </row>
    <row r="70" spans="1:19" x14ac:dyDescent="0.35">
      <c r="A70" s="3">
        <v>1069</v>
      </c>
      <c r="B70" s="3" t="s">
        <v>142</v>
      </c>
      <c r="C70" s="4">
        <v>45412</v>
      </c>
      <c r="D70" s="3" t="s">
        <v>50</v>
      </c>
      <c r="E70" s="4">
        <v>45442</v>
      </c>
      <c r="F70" s="4">
        <v>45445</v>
      </c>
      <c r="G70" s="3" t="s">
        <v>20</v>
      </c>
      <c r="H70" s="3" t="s">
        <v>60</v>
      </c>
      <c r="I70" s="3" t="s">
        <v>22</v>
      </c>
      <c r="J70" s="3" t="s">
        <v>23</v>
      </c>
      <c r="K70" s="3">
        <v>30</v>
      </c>
      <c r="L70" s="3">
        <v>3</v>
      </c>
      <c r="M70" s="3">
        <v>7685</v>
      </c>
      <c r="N70" s="3">
        <v>23055</v>
      </c>
      <c r="O70" s="3">
        <v>0</v>
      </c>
      <c r="P70" s="3" t="s">
        <v>24</v>
      </c>
      <c r="Q70" s="3">
        <v>1</v>
      </c>
      <c r="R70" s="3" t="str">
        <f t="shared" si="1"/>
        <v>Cancelled</v>
      </c>
      <c r="S70" s="3" t="s">
        <v>25</v>
      </c>
    </row>
    <row r="71" spans="1:19" x14ac:dyDescent="0.35">
      <c r="A71" s="3">
        <v>1070</v>
      </c>
      <c r="B71" s="3" t="s">
        <v>143</v>
      </c>
      <c r="C71" s="4">
        <v>45398</v>
      </c>
      <c r="D71" s="3" t="s">
        <v>144</v>
      </c>
      <c r="E71" s="4">
        <v>45430</v>
      </c>
      <c r="F71" s="4">
        <v>45432</v>
      </c>
      <c r="G71" s="3" t="s">
        <v>28</v>
      </c>
      <c r="H71" s="3" t="s">
        <v>29</v>
      </c>
      <c r="I71" s="3" t="s">
        <v>39</v>
      </c>
      <c r="J71" s="3" t="s">
        <v>23</v>
      </c>
      <c r="K71" s="3">
        <v>32</v>
      </c>
      <c r="L71" s="3">
        <v>2</v>
      </c>
      <c r="M71" s="3">
        <v>3593</v>
      </c>
      <c r="N71" s="3">
        <v>7186</v>
      </c>
      <c r="O71" s="3">
        <v>0</v>
      </c>
      <c r="P71" s="3" t="s">
        <v>51</v>
      </c>
      <c r="Q71" s="3">
        <v>1</v>
      </c>
      <c r="R71" s="3" t="str">
        <f t="shared" si="1"/>
        <v>Cancelled</v>
      </c>
      <c r="S71" s="3" t="s">
        <v>31</v>
      </c>
    </row>
    <row r="72" spans="1:19" x14ac:dyDescent="0.35">
      <c r="A72" s="3">
        <v>1071</v>
      </c>
      <c r="B72" s="3" t="s">
        <v>145</v>
      </c>
      <c r="C72" s="4">
        <v>45466</v>
      </c>
      <c r="D72" s="3" t="s">
        <v>146</v>
      </c>
      <c r="E72" s="4">
        <v>45502</v>
      </c>
      <c r="F72" s="4">
        <v>45505</v>
      </c>
      <c r="G72" s="3" t="s">
        <v>20</v>
      </c>
      <c r="H72" s="3" t="s">
        <v>21</v>
      </c>
      <c r="I72" s="3" t="s">
        <v>39</v>
      </c>
      <c r="J72" s="3" t="s">
        <v>30</v>
      </c>
      <c r="K72" s="3">
        <v>36</v>
      </c>
      <c r="L72" s="3">
        <v>3</v>
      </c>
      <c r="M72" s="3">
        <v>6380</v>
      </c>
      <c r="N72" s="3">
        <v>19140</v>
      </c>
      <c r="O72" s="3">
        <v>0</v>
      </c>
      <c r="P72" s="3" t="s">
        <v>51</v>
      </c>
      <c r="Q72" s="3">
        <v>1</v>
      </c>
      <c r="R72" s="3" t="str">
        <f t="shared" si="1"/>
        <v>Cancelled</v>
      </c>
      <c r="S72" s="3" t="s">
        <v>25</v>
      </c>
    </row>
    <row r="73" spans="1:19" x14ac:dyDescent="0.35">
      <c r="A73" s="3">
        <v>1072</v>
      </c>
      <c r="B73" s="3" t="s">
        <v>147</v>
      </c>
      <c r="C73" s="4">
        <v>45495</v>
      </c>
      <c r="D73" s="3" t="s">
        <v>148</v>
      </c>
      <c r="E73" s="4">
        <v>45542</v>
      </c>
      <c r="F73" s="4">
        <v>45543</v>
      </c>
      <c r="G73" s="3" t="s">
        <v>34</v>
      </c>
      <c r="H73" s="3" t="s">
        <v>29</v>
      </c>
      <c r="I73" s="3" t="s">
        <v>22</v>
      </c>
      <c r="J73" s="3" t="s">
        <v>30</v>
      </c>
      <c r="K73" s="3">
        <v>47</v>
      </c>
      <c r="L73" s="3">
        <v>1</v>
      </c>
      <c r="M73" s="3">
        <v>4994</v>
      </c>
      <c r="N73" s="3">
        <v>4994</v>
      </c>
      <c r="O73" s="3">
        <v>4994</v>
      </c>
      <c r="P73" s="3" t="s">
        <v>24</v>
      </c>
      <c r="Q73" s="3">
        <v>0</v>
      </c>
      <c r="R73" s="3" t="str">
        <f t="shared" si="1"/>
        <v>Not Cancelled</v>
      </c>
      <c r="S73" s="3" t="s">
        <v>25</v>
      </c>
    </row>
    <row r="74" spans="1:19" x14ac:dyDescent="0.35">
      <c r="A74" s="3">
        <v>1073</v>
      </c>
      <c r="B74" s="3" t="s">
        <v>149</v>
      </c>
      <c r="C74" s="4">
        <v>45456</v>
      </c>
      <c r="D74" s="3" t="s">
        <v>50</v>
      </c>
      <c r="E74" s="4">
        <v>45486</v>
      </c>
      <c r="F74" s="4">
        <v>45490</v>
      </c>
      <c r="G74" s="3" t="s">
        <v>42</v>
      </c>
      <c r="H74" s="3" t="s">
        <v>35</v>
      </c>
      <c r="I74" s="3" t="s">
        <v>22</v>
      </c>
      <c r="J74" s="3" t="s">
        <v>46</v>
      </c>
      <c r="K74" s="3">
        <v>30</v>
      </c>
      <c r="L74" s="3">
        <v>4</v>
      </c>
      <c r="M74" s="3">
        <v>5079</v>
      </c>
      <c r="N74" s="3">
        <v>20316</v>
      </c>
      <c r="O74" s="3">
        <v>20316</v>
      </c>
      <c r="P74" s="3" t="s">
        <v>24</v>
      </c>
      <c r="Q74" s="3">
        <v>0</v>
      </c>
      <c r="R74" s="3" t="str">
        <f t="shared" si="1"/>
        <v>Not Cancelled</v>
      </c>
      <c r="S74" s="3" t="s">
        <v>31</v>
      </c>
    </row>
    <row r="75" spans="1:19" x14ac:dyDescent="0.35">
      <c r="A75" s="3">
        <v>1074</v>
      </c>
      <c r="B75" s="3" t="s">
        <v>150</v>
      </c>
      <c r="C75" s="4">
        <v>45596</v>
      </c>
      <c r="D75" s="3" t="s">
        <v>34</v>
      </c>
      <c r="E75" s="4">
        <v>45597</v>
      </c>
      <c r="F75" s="4">
        <v>45601</v>
      </c>
      <c r="G75" s="3" t="s">
        <v>42</v>
      </c>
      <c r="H75" s="3" t="s">
        <v>60</v>
      </c>
      <c r="I75" s="3" t="s">
        <v>22</v>
      </c>
      <c r="J75" s="3" t="s">
        <v>30</v>
      </c>
      <c r="K75" s="3">
        <v>1</v>
      </c>
      <c r="L75" s="3">
        <v>4</v>
      </c>
      <c r="M75" s="3">
        <v>4988</v>
      </c>
      <c r="N75" s="3">
        <v>19952</v>
      </c>
      <c r="O75" s="3">
        <v>19952</v>
      </c>
      <c r="P75" s="3" t="s">
        <v>24</v>
      </c>
      <c r="Q75" s="3">
        <v>0</v>
      </c>
      <c r="R75" s="3" t="str">
        <f t="shared" si="1"/>
        <v>Not Cancelled</v>
      </c>
      <c r="S75" s="3" t="s">
        <v>25</v>
      </c>
    </row>
    <row r="76" spans="1:19" x14ac:dyDescent="0.35">
      <c r="A76" s="3">
        <v>1075</v>
      </c>
      <c r="B76" s="3" t="s">
        <v>151</v>
      </c>
      <c r="C76" s="4">
        <v>45411</v>
      </c>
      <c r="D76" s="3" t="s">
        <v>66</v>
      </c>
      <c r="E76" s="4">
        <v>45454</v>
      </c>
      <c r="F76" s="4">
        <v>45455</v>
      </c>
      <c r="G76" s="3" t="s">
        <v>34</v>
      </c>
      <c r="H76" s="3" t="s">
        <v>60</v>
      </c>
      <c r="I76" s="3" t="s">
        <v>22</v>
      </c>
      <c r="J76" s="3" t="s">
        <v>23</v>
      </c>
      <c r="K76" s="3">
        <v>43</v>
      </c>
      <c r="L76" s="3">
        <v>1</v>
      </c>
      <c r="M76" s="3">
        <v>5285</v>
      </c>
      <c r="N76" s="3">
        <v>5285</v>
      </c>
      <c r="O76" s="3">
        <v>0</v>
      </c>
      <c r="P76" s="3" t="s">
        <v>51</v>
      </c>
      <c r="Q76" s="3">
        <v>1</v>
      </c>
      <c r="R76" s="3" t="str">
        <f t="shared" si="1"/>
        <v>Cancelled</v>
      </c>
      <c r="S76" s="3" t="s">
        <v>25</v>
      </c>
    </row>
    <row r="77" spans="1:19" x14ac:dyDescent="0.35">
      <c r="A77" s="3">
        <v>1076</v>
      </c>
      <c r="B77" s="3" t="s">
        <v>152</v>
      </c>
      <c r="C77" s="4">
        <v>45335</v>
      </c>
      <c r="D77" s="3" t="s">
        <v>153</v>
      </c>
      <c r="E77" s="4">
        <v>45374</v>
      </c>
      <c r="F77" s="4">
        <v>45376</v>
      </c>
      <c r="G77" s="3" t="s">
        <v>28</v>
      </c>
      <c r="H77" s="3" t="s">
        <v>38</v>
      </c>
      <c r="I77" s="3" t="s">
        <v>22</v>
      </c>
      <c r="J77" s="3" t="s">
        <v>30</v>
      </c>
      <c r="K77" s="3">
        <v>39</v>
      </c>
      <c r="L77" s="3">
        <v>2</v>
      </c>
      <c r="M77" s="3">
        <v>8565</v>
      </c>
      <c r="N77" s="3">
        <v>17130</v>
      </c>
      <c r="O77" s="3">
        <v>0</v>
      </c>
      <c r="P77" s="3" t="s">
        <v>24</v>
      </c>
      <c r="Q77" s="3">
        <v>1</v>
      </c>
      <c r="R77" s="3" t="str">
        <f t="shared" si="1"/>
        <v>Cancelled</v>
      </c>
      <c r="S77" s="3" t="s">
        <v>25</v>
      </c>
    </row>
    <row r="78" spans="1:19" x14ac:dyDescent="0.35">
      <c r="A78" s="3">
        <v>1077</v>
      </c>
      <c r="B78" s="3" t="s">
        <v>154</v>
      </c>
      <c r="C78" s="4">
        <v>45603</v>
      </c>
      <c r="D78" s="3" t="s">
        <v>71</v>
      </c>
      <c r="E78" s="4">
        <v>45620</v>
      </c>
      <c r="F78" s="4">
        <v>45621</v>
      </c>
      <c r="G78" s="3" t="s">
        <v>34</v>
      </c>
      <c r="H78" s="3" t="s">
        <v>21</v>
      </c>
      <c r="I78" s="3" t="s">
        <v>22</v>
      </c>
      <c r="J78" s="3" t="s">
        <v>23</v>
      </c>
      <c r="K78" s="3">
        <v>17</v>
      </c>
      <c r="L78" s="3">
        <v>1</v>
      </c>
      <c r="M78" s="3">
        <v>5258</v>
      </c>
      <c r="N78" s="3">
        <v>5258</v>
      </c>
      <c r="O78" s="3">
        <v>5258</v>
      </c>
      <c r="P78" s="3" t="s">
        <v>51</v>
      </c>
      <c r="Q78" s="3">
        <v>0</v>
      </c>
      <c r="R78" s="3" t="str">
        <f t="shared" si="1"/>
        <v>Not Cancelled</v>
      </c>
      <c r="S78" s="3" t="s">
        <v>25</v>
      </c>
    </row>
    <row r="79" spans="1:19" x14ac:dyDescent="0.35">
      <c r="A79" s="3">
        <v>1078</v>
      </c>
      <c r="B79" s="3" t="s">
        <v>155</v>
      </c>
      <c r="C79" s="4">
        <v>45447</v>
      </c>
      <c r="D79" s="3" t="s">
        <v>96</v>
      </c>
      <c r="E79" s="4">
        <v>45506</v>
      </c>
      <c r="F79" s="4">
        <v>45509</v>
      </c>
      <c r="G79" s="3" t="s">
        <v>20</v>
      </c>
      <c r="H79" s="3" t="s">
        <v>60</v>
      </c>
      <c r="I79" s="3" t="s">
        <v>39</v>
      </c>
      <c r="J79" s="3" t="s">
        <v>30</v>
      </c>
      <c r="K79" s="3">
        <v>59</v>
      </c>
      <c r="L79" s="3">
        <v>3</v>
      </c>
      <c r="M79" s="3">
        <v>4074</v>
      </c>
      <c r="N79" s="3">
        <v>12222</v>
      </c>
      <c r="O79" s="3">
        <v>0</v>
      </c>
      <c r="P79" s="3" t="s">
        <v>24</v>
      </c>
      <c r="Q79" s="3">
        <v>1</v>
      </c>
      <c r="R79" s="3" t="str">
        <f t="shared" si="1"/>
        <v>Cancelled</v>
      </c>
      <c r="S79" s="3" t="s">
        <v>31</v>
      </c>
    </row>
    <row r="80" spans="1:19" x14ac:dyDescent="0.35">
      <c r="A80" s="3">
        <v>1079</v>
      </c>
      <c r="B80" s="3" t="s">
        <v>156</v>
      </c>
      <c r="C80" s="4">
        <v>45498</v>
      </c>
      <c r="D80" s="3" t="s">
        <v>157</v>
      </c>
      <c r="E80" s="4">
        <v>45518</v>
      </c>
      <c r="F80" s="4">
        <v>45519</v>
      </c>
      <c r="G80" s="3" t="s">
        <v>34</v>
      </c>
      <c r="H80" s="3" t="s">
        <v>35</v>
      </c>
      <c r="I80" s="3" t="s">
        <v>39</v>
      </c>
      <c r="J80" s="3" t="s">
        <v>30</v>
      </c>
      <c r="K80" s="3">
        <v>20</v>
      </c>
      <c r="L80" s="3">
        <v>1</v>
      </c>
      <c r="M80" s="3">
        <v>8176</v>
      </c>
      <c r="N80" s="3">
        <v>8176</v>
      </c>
      <c r="O80" s="3">
        <v>8176</v>
      </c>
      <c r="P80" s="3" t="s">
        <v>24</v>
      </c>
      <c r="Q80" s="3">
        <v>0</v>
      </c>
      <c r="R80" s="3" t="str">
        <f t="shared" si="1"/>
        <v>Not Cancelled</v>
      </c>
      <c r="S80" s="3" t="s">
        <v>25</v>
      </c>
    </row>
    <row r="81" spans="1:19" x14ac:dyDescent="0.35">
      <c r="A81" s="3">
        <v>1080</v>
      </c>
      <c r="B81" s="3" t="s">
        <v>158</v>
      </c>
      <c r="C81" s="4">
        <v>45399</v>
      </c>
      <c r="D81" s="3" t="s">
        <v>159</v>
      </c>
      <c r="E81" s="4">
        <v>45423</v>
      </c>
      <c r="F81" s="4">
        <v>45424</v>
      </c>
      <c r="G81" s="3" t="s">
        <v>34</v>
      </c>
      <c r="H81" s="3" t="s">
        <v>29</v>
      </c>
      <c r="I81" s="3" t="s">
        <v>22</v>
      </c>
      <c r="J81" s="3" t="s">
        <v>23</v>
      </c>
      <c r="K81" s="3">
        <v>24</v>
      </c>
      <c r="L81" s="3">
        <v>1</v>
      </c>
      <c r="M81" s="3">
        <v>4873</v>
      </c>
      <c r="N81" s="3">
        <v>4873</v>
      </c>
      <c r="O81" s="3">
        <v>4873</v>
      </c>
      <c r="P81" s="3" t="s">
        <v>51</v>
      </c>
      <c r="Q81" s="3">
        <v>0</v>
      </c>
      <c r="R81" s="3" t="str">
        <f t="shared" si="1"/>
        <v>Not Cancelled</v>
      </c>
      <c r="S81" s="3" t="s">
        <v>31</v>
      </c>
    </row>
    <row r="82" spans="1:19" x14ac:dyDescent="0.35">
      <c r="A82" s="3">
        <v>1081</v>
      </c>
      <c r="B82" s="3" t="s">
        <v>160</v>
      </c>
      <c r="C82" s="4">
        <v>45542</v>
      </c>
      <c r="D82" s="3" t="s">
        <v>78</v>
      </c>
      <c r="E82" s="4">
        <v>45592</v>
      </c>
      <c r="F82" s="4">
        <v>45594</v>
      </c>
      <c r="G82" s="3" t="s">
        <v>28</v>
      </c>
      <c r="H82" s="3" t="s">
        <v>60</v>
      </c>
      <c r="I82" s="3" t="s">
        <v>22</v>
      </c>
      <c r="J82" s="3" t="s">
        <v>46</v>
      </c>
      <c r="K82" s="3">
        <v>50</v>
      </c>
      <c r="L82" s="3">
        <v>2</v>
      </c>
      <c r="M82" s="3">
        <v>6490</v>
      </c>
      <c r="N82" s="3">
        <v>12980</v>
      </c>
      <c r="O82" s="3">
        <v>0</v>
      </c>
      <c r="P82" s="3" t="s">
        <v>51</v>
      </c>
      <c r="Q82" s="3">
        <v>1</v>
      </c>
      <c r="R82" s="3" t="str">
        <f t="shared" si="1"/>
        <v>Cancelled</v>
      </c>
      <c r="S82" s="3" t="s">
        <v>25</v>
      </c>
    </row>
    <row r="83" spans="1:19" x14ac:dyDescent="0.35">
      <c r="A83" s="3">
        <v>1082</v>
      </c>
      <c r="B83" s="3" t="s">
        <v>161</v>
      </c>
      <c r="C83" s="4">
        <v>45625</v>
      </c>
      <c r="D83" s="3" t="s">
        <v>19</v>
      </c>
      <c r="E83" s="4">
        <v>45647</v>
      </c>
      <c r="F83" s="4">
        <v>45650</v>
      </c>
      <c r="G83" s="3" t="s">
        <v>20</v>
      </c>
      <c r="H83" s="3" t="s">
        <v>35</v>
      </c>
      <c r="I83" s="3" t="s">
        <v>22</v>
      </c>
      <c r="J83" s="3" t="s">
        <v>46</v>
      </c>
      <c r="K83" s="3">
        <v>22</v>
      </c>
      <c r="L83" s="3">
        <v>3</v>
      </c>
      <c r="M83" s="3">
        <v>7710</v>
      </c>
      <c r="N83" s="3">
        <v>23130</v>
      </c>
      <c r="O83" s="3">
        <v>23130</v>
      </c>
      <c r="P83" s="3" t="s">
        <v>51</v>
      </c>
      <c r="Q83" s="3">
        <v>0</v>
      </c>
      <c r="R83" s="3" t="str">
        <f t="shared" si="1"/>
        <v>Not Cancelled</v>
      </c>
      <c r="S83" s="3" t="s">
        <v>25</v>
      </c>
    </row>
    <row r="84" spans="1:19" x14ac:dyDescent="0.35">
      <c r="A84" s="3">
        <v>1083</v>
      </c>
      <c r="B84" s="3" t="s">
        <v>162</v>
      </c>
      <c r="C84" s="4">
        <v>45421</v>
      </c>
      <c r="D84" s="3" t="s">
        <v>57</v>
      </c>
      <c r="E84" s="4">
        <v>45450</v>
      </c>
      <c r="F84" s="4">
        <v>45455</v>
      </c>
      <c r="G84" s="3" t="s">
        <v>45</v>
      </c>
      <c r="H84" s="3" t="s">
        <v>29</v>
      </c>
      <c r="I84" s="3" t="s">
        <v>39</v>
      </c>
      <c r="J84" s="3" t="s">
        <v>30</v>
      </c>
      <c r="K84" s="3">
        <v>29</v>
      </c>
      <c r="L84" s="3">
        <v>5</v>
      </c>
      <c r="M84" s="3">
        <v>7345</v>
      </c>
      <c r="N84" s="3">
        <v>36725</v>
      </c>
      <c r="O84" s="3">
        <v>0</v>
      </c>
      <c r="P84" s="3" t="s">
        <v>51</v>
      </c>
      <c r="Q84" s="3">
        <v>1</v>
      </c>
      <c r="R84" s="3" t="str">
        <f t="shared" si="1"/>
        <v>Cancelled</v>
      </c>
      <c r="S84" s="3" t="s">
        <v>31</v>
      </c>
    </row>
    <row r="85" spans="1:19" x14ac:dyDescent="0.35">
      <c r="A85" s="3">
        <v>1084</v>
      </c>
      <c r="B85" s="3" t="s">
        <v>163</v>
      </c>
      <c r="C85" s="4">
        <v>45584</v>
      </c>
      <c r="D85" s="3" t="s">
        <v>19</v>
      </c>
      <c r="E85" s="4">
        <v>45606</v>
      </c>
      <c r="F85" s="4">
        <v>45611</v>
      </c>
      <c r="G85" s="3" t="s">
        <v>45</v>
      </c>
      <c r="H85" s="3" t="s">
        <v>38</v>
      </c>
      <c r="I85" s="3" t="s">
        <v>22</v>
      </c>
      <c r="J85" s="3" t="s">
        <v>30</v>
      </c>
      <c r="K85" s="3">
        <v>22</v>
      </c>
      <c r="L85" s="3">
        <v>5</v>
      </c>
      <c r="M85" s="3">
        <v>3593</v>
      </c>
      <c r="N85" s="3">
        <v>17965</v>
      </c>
      <c r="O85" s="3">
        <v>17965</v>
      </c>
      <c r="P85" s="3" t="s">
        <v>24</v>
      </c>
      <c r="Q85" s="3">
        <v>0</v>
      </c>
      <c r="R85" s="3" t="str">
        <f t="shared" si="1"/>
        <v>Not Cancelled</v>
      </c>
      <c r="S85" s="3" t="s">
        <v>25</v>
      </c>
    </row>
    <row r="86" spans="1:19" x14ac:dyDescent="0.35">
      <c r="A86" s="3">
        <v>1085</v>
      </c>
      <c r="B86" s="3" t="s">
        <v>164</v>
      </c>
      <c r="C86" s="4">
        <v>45311</v>
      </c>
      <c r="D86" s="3" t="s">
        <v>62</v>
      </c>
      <c r="E86" s="4">
        <v>45355</v>
      </c>
      <c r="F86" s="4">
        <v>45359</v>
      </c>
      <c r="G86" s="3" t="s">
        <v>42</v>
      </c>
      <c r="H86" s="3" t="s">
        <v>60</v>
      </c>
      <c r="I86" s="3" t="s">
        <v>39</v>
      </c>
      <c r="J86" s="3" t="s">
        <v>23</v>
      </c>
      <c r="K86" s="3">
        <v>44</v>
      </c>
      <c r="L86" s="3">
        <v>4</v>
      </c>
      <c r="M86" s="3">
        <v>3689</v>
      </c>
      <c r="N86" s="3">
        <v>14756</v>
      </c>
      <c r="O86" s="3">
        <v>0</v>
      </c>
      <c r="P86" s="3" t="s">
        <v>24</v>
      </c>
      <c r="Q86" s="3">
        <v>1</v>
      </c>
      <c r="R86" s="3" t="str">
        <f t="shared" si="1"/>
        <v>Cancelled</v>
      </c>
      <c r="S86" s="3" t="s">
        <v>25</v>
      </c>
    </row>
    <row r="87" spans="1:19" x14ac:dyDescent="0.35">
      <c r="A87" s="3">
        <v>1086</v>
      </c>
      <c r="B87" s="3" t="s">
        <v>36</v>
      </c>
      <c r="C87" s="4">
        <v>45573</v>
      </c>
      <c r="D87" s="3" t="s">
        <v>165</v>
      </c>
      <c r="E87" s="4">
        <v>45582</v>
      </c>
      <c r="F87" s="4">
        <v>45583</v>
      </c>
      <c r="G87" s="3" t="s">
        <v>34</v>
      </c>
      <c r="H87" s="3" t="s">
        <v>60</v>
      </c>
      <c r="I87" s="3" t="s">
        <v>39</v>
      </c>
      <c r="J87" s="3" t="s">
        <v>23</v>
      </c>
      <c r="K87" s="3">
        <v>9</v>
      </c>
      <c r="L87" s="3">
        <v>1</v>
      </c>
      <c r="M87" s="3">
        <v>5189</v>
      </c>
      <c r="N87" s="3">
        <v>5189</v>
      </c>
      <c r="O87" s="3">
        <v>0</v>
      </c>
      <c r="P87" s="3" t="s">
        <v>24</v>
      </c>
      <c r="Q87" s="3">
        <v>1</v>
      </c>
      <c r="R87" s="3" t="str">
        <f t="shared" si="1"/>
        <v>Cancelled</v>
      </c>
      <c r="S87" s="3" t="s">
        <v>25</v>
      </c>
    </row>
    <row r="88" spans="1:19" x14ac:dyDescent="0.35">
      <c r="A88" s="3">
        <v>1087</v>
      </c>
      <c r="B88" s="3" t="s">
        <v>166</v>
      </c>
      <c r="C88" s="4">
        <v>45576</v>
      </c>
      <c r="D88" s="3" t="s">
        <v>105</v>
      </c>
      <c r="E88" s="4">
        <v>45613</v>
      </c>
      <c r="F88" s="4">
        <v>45617</v>
      </c>
      <c r="G88" s="3" t="s">
        <v>42</v>
      </c>
      <c r="H88" s="3" t="s">
        <v>35</v>
      </c>
      <c r="I88" s="3" t="s">
        <v>22</v>
      </c>
      <c r="J88" s="3" t="s">
        <v>30</v>
      </c>
      <c r="K88" s="3">
        <v>37</v>
      </c>
      <c r="L88" s="3">
        <v>4</v>
      </c>
      <c r="M88" s="3">
        <v>6595</v>
      </c>
      <c r="N88" s="3">
        <v>26380</v>
      </c>
      <c r="O88" s="3">
        <v>0</v>
      </c>
      <c r="P88" s="3" t="s">
        <v>51</v>
      </c>
      <c r="Q88" s="3">
        <v>1</v>
      </c>
      <c r="R88" s="3" t="str">
        <f t="shared" si="1"/>
        <v>Cancelled</v>
      </c>
      <c r="S88" s="3" t="s">
        <v>25</v>
      </c>
    </row>
    <row r="89" spans="1:19" x14ac:dyDescent="0.35">
      <c r="A89" s="3">
        <v>1088</v>
      </c>
      <c r="B89" s="3" t="s">
        <v>167</v>
      </c>
      <c r="C89" s="4">
        <v>45292</v>
      </c>
      <c r="D89" s="3" t="s">
        <v>37</v>
      </c>
      <c r="E89" s="4">
        <v>45302</v>
      </c>
      <c r="F89" s="4">
        <v>45304</v>
      </c>
      <c r="G89" s="3" t="s">
        <v>28</v>
      </c>
      <c r="H89" s="3" t="s">
        <v>21</v>
      </c>
      <c r="I89" s="3" t="s">
        <v>39</v>
      </c>
      <c r="J89" s="3" t="s">
        <v>23</v>
      </c>
      <c r="K89" s="3">
        <v>10</v>
      </c>
      <c r="L89" s="3">
        <v>2</v>
      </c>
      <c r="M89" s="3">
        <v>8857</v>
      </c>
      <c r="N89" s="3">
        <v>17714</v>
      </c>
      <c r="O89" s="3">
        <v>17714</v>
      </c>
      <c r="P89" s="3" t="s">
        <v>51</v>
      </c>
      <c r="Q89" s="3">
        <v>0</v>
      </c>
      <c r="R89" s="3" t="str">
        <f t="shared" si="1"/>
        <v>Not Cancelled</v>
      </c>
      <c r="S89" s="3" t="s">
        <v>25</v>
      </c>
    </row>
    <row r="90" spans="1:19" x14ac:dyDescent="0.35">
      <c r="A90" s="3">
        <v>1089</v>
      </c>
      <c r="B90" s="3" t="s">
        <v>168</v>
      </c>
      <c r="C90" s="4">
        <v>45410</v>
      </c>
      <c r="D90" s="3" t="s">
        <v>146</v>
      </c>
      <c r="E90" s="4">
        <v>45446</v>
      </c>
      <c r="F90" s="4">
        <v>45451</v>
      </c>
      <c r="G90" s="3" t="s">
        <v>45</v>
      </c>
      <c r="H90" s="3" t="s">
        <v>38</v>
      </c>
      <c r="I90" s="3" t="s">
        <v>22</v>
      </c>
      <c r="J90" s="3" t="s">
        <v>46</v>
      </c>
      <c r="K90" s="3">
        <v>36</v>
      </c>
      <c r="L90" s="3">
        <v>5</v>
      </c>
      <c r="M90" s="3">
        <v>4375</v>
      </c>
      <c r="N90" s="3">
        <v>21875</v>
      </c>
      <c r="O90" s="3">
        <v>21875</v>
      </c>
      <c r="P90" s="3" t="s">
        <v>24</v>
      </c>
      <c r="Q90" s="3">
        <v>0</v>
      </c>
      <c r="R90" s="3" t="str">
        <f t="shared" si="1"/>
        <v>Not Cancelled</v>
      </c>
      <c r="S90" s="3" t="s">
        <v>25</v>
      </c>
    </row>
    <row r="91" spans="1:19" x14ac:dyDescent="0.35">
      <c r="A91" s="3">
        <v>1090</v>
      </c>
      <c r="B91" s="3" t="s">
        <v>169</v>
      </c>
      <c r="C91" s="4">
        <v>45326</v>
      </c>
      <c r="D91" s="3" t="s">
        <v>105</v>
      </c>
      <c r="E91" s="4">
        <v>45363</v>
      </c>
      <c r="F91" s="4">
        <v>45364</v>
      </c>
      <c r="G91" s="3" t="s">
        <v>34</v>
      </c>
      <c r="H91" s="3" t="s">
        <v>21</v>
      </c>
      <c r="I91" s="3" t="s">
        <v>39</v>
      </c>
      <c r="J91" s="3" t="s">
        <v>46</v>
      </c>
      <c r="K91" s="3">
        <v>37</v>
      </c>
      <c r="L91" s="3">
        <v>1</v>
      </c>
      <c r="M91" s="3">
        <v>5906</v>
      </c>
      <c r="N91" s="3">
        <v>5906</v>
      </c>
      <c r="O91" s="3">
        <v>0</v>
      </c>
      <c r="P91" s="3" t="s">
        <v>24</v>
      </c>
      <c r="Q91" s="3">
        <v>1</v>
      </c>
      <c r="R91" s="3" t="str">
        <f t="shared" si="1"/>
        <v>Cancelled</v>
      </c>
      <c r="S91" s="3" t="s">
        <v>31</v>
      </c>
    </row>
    <row r="92" spans="1:19" x14ac:dyDescent="0.35">
      <c r="A92" s="3">
        <v>1091</v>
      </c>
      <c r="B92" s="3" t="s">
        <v>170</v>
      </c>
      <c r="C92" s="4">
        <v>45489</v>
      </c>
      <c r="D92" s="3" t="s">
        <v>82</v>
      </c>
      <c r="E92" s="4">
        <v>45517</v>
      </c>
      <c r="F92" s="4">
        <v>45519</v>
      </c>
      <c r="G92" s="3" t="s">
        <v>28</v>
      </c>
      <c r="H92" s="3" t="s">
        <v>60</v>
      </c>
      <c r="I92" s="3" t="s">
        <v>22</v>
      </c>
      <c r="J92" s="3" t="s">
        <v>23</v>
      </c>
      <c r="K92" s="3">
        <v>28</v>
      </c>
      <c r="L92" s="3">
        <v>2</v>
      </c>
      <c r="M92" s="3">
        <v>4287</v>
      </c>
      <c r="N92" s="3">
        <v>8574</v>
      </c>
      <c r="O92" s="3">
        <v>8574</v>
      </c>
      <c r="P92" s="3" t="s">
        <v>51</v>
      </c>
      <c r="Q92" s="3">
        <v>0</v>
      </c>
      <c r="R92" s="3" t="str">
        <f t="shared" si="1"/>
        <v>Not Cancelled</v>
      </c>
      <c r="S92" s="3" t="s">
        <v>31</v>
      </c>
    </row>
    <row r="93" spans="1:19" x14ac:dyDescent="0.35">
      <c r="A93" s="3">
        <v>1092</v>
      </c>
      <c r="B93" s="3" t="s">
        <v>171</v>
      </c>
      <c r="C93" s="4">
        <v>45536</v>
      </c>
      <c r="D93" s="3" t="s">
        <v>82</v>
      </c>
      <c r="E93" s="4">
        <v>45564</v>
      </c>
      <c r="F93" s="4">
        <v>45566</v>
      </c>
      <c r="G93" s="3" t="s">
        <v>28</v>
      </c>
      <c r="H93" s="3" t="s">
        <v>21</v>
      </c>
      <c r="I93" s="3" t="s">
        <v>22</v>
      </c>
      <c r="J93" s="3" t="s">
        <v>23</v>
      </c>
      <c r="K93" s="3">
        <v>28</v>
      </c>
      <c r="L93" s="3">
        <v>2</v>
      </c>
      <c r="M93" s="3">
        <v>6432</v>
      </c>
      <c r="N93" s="3">
        <v>12864</v>
      </c>
      <c r="O93" s="3">
        <v>0</v>
      </c>
      <c r="P93" s="3" t="s">
        <v>24</v>
      </c>
      <c r="Q93" s="3">
        <v>1</v>
      </c>
      <c r="R93" s="3" t="str">
        <f t="shared" si="1"/>
        <v>Cancelled</v>
      </c>
      <c r="S93" s="3" t="s">
        <v>31</v>
      </c>
    </row>
    <row r="94" spans="1:19" x14ac:dyDescent="0.35">
      <c r="A94" s="3">
        <v>1093</v>
      </c>
      <c r="B94" s="3" t="s">
        <v>172</v>
      </c>
      <c r="C94" s="4">
        <v>45350</v>
      </c>
      <c r="D94" s="3" t="s">
        <v>140</v>
      </c>
      <c r="E94" s="4">
        <v>45392</v>
      </c>
      <c r="F94" s="4">
        <v>45393</v>
      </c>
      <c r="G94" s="3" t="s">
        <v>34</v>
      </c>
      <c r="H94" s="3" t="s">
        <v>29</v>
      </c>
      <c r="I94" s="3" t="s">
        <v>39</v>
      </c>
      <c r="J94" s="3" t="s">
        <v>23</v>
      </c>
      <c r="K94" s="3">
        <v>42</v>
      </c>
      <c r="L94" s="3">
        <v>1</v>
      </c>
      <c r="M94" s="3">
        <v>4107</v>
      </c>
      <c r="N94" s="3">
        <v>4107</v>
      </c>
      <c r="O94" s="3">
        <v>0</v>
      </c>
      <c r="P94" s="3" t="s">
        <v>24</v>
      </c>
      <c r="Q94" s="3">
        <v>1</v>
      </c>
      <c r="R94" s="3" t="str">
        <f t="shared" si="1"/>
        <v>Cancelled</v>
      </c>
      <c r="S94" s="3" t="s">
        <v>25</v>
      </c>
    </row>
    <row r="95" spans="1:19" x14ac:dyDescent="0.35">
      <c r="A95" s="3">
        <v>1094</v>
      </c>
      <c r="B95" s="3" t="s">
        <v>173</v>
      </c>
      <c r="C95" s="4">
        <v>45616</v>
      </c>
      <c r="D95" s="3" t="s">
        <v>66</v>
      </c>
      <c r="E95" s="4">
        <v>45659</v>
      </c>
      <c r="F95" s="4">
        <v>45661</v>
      </c>
      <c r="G95" s="3" t="s">
        <v>28</v>
      </c>
      <c r="H95" s="3" t="s">
        <v>38</v>
      </c>
      <c r="I95" s="3" t="s">
        <v>39</v>
      </c>
      <c r="J95" s="3" t="s">
        <v>46</v>
      </c>
      <c r="K95" s="3">
        <v>43</v>
      </c>
      <c r="L95" s="3">
        <v>2</v>
      </c>
      <c r="M95" s="3">
        <v>6248</v>
      </c>
      <c r="N95" s="3">
        <v>12496</v>
      </c>
      <c r="O95" s="3">
        <v>0</v>
      </c>
      <c r="P95" s="3" t="s">
        <v>24</v>
      </c>
      <c r="Q95" s="3">
        <v>1</v>
      </c>
      <c r="R95" s="3" t="str">
        <f t="shared" si="1"/>
        <v>Cancelled</v>
      </c>
      <c r="S95" s="3" t="s">
        <v>25</v>
      </c>
    </row>
    <row r="96" spans="1:19" x14ac:dyDescent="0.35">
      <c r="A96" s="3">
        <v>1095</v>
      </c>
      <c r="B96" s="3" t="s">
        <v>174</v>
      </c>
      <c r="C96" s="4">
        <v>45452</v>
      </c>
      <c r="D96" s="3" t="s">
        <v>175</v>
      </c>
      <c r="E96" s="4">
        <v>45473</v>
      </c>
      <c r="F96" s="4">
        <v>45474</v>
      </c>
      <c r="G96" s="3" t="s">
        <v>34</v>
      </c>
      <c r="H96" s="3" t="s">
        <v>21</v>
      </c>
      <c r="I96" s="3" t="s">
        <v>39</v>
      </c>
      <c r="J96" s="3" t="s">
        <v>30</v>
      </c>
      <c r="K96" s="3">
        <v>21</v>
      </c>
      <c r="L96" s="3">
        <v>1</v>
      </c>
      <c r="M96" s="3">
        <v>2548</v>
      </c>
      <c r="N96" s="3">
        <v>2548</v>
      </c>
      <c r="O96" s="3">
        <v>0</v>
      </c>
      <c r="P96" s="3" t="s">
        <v>51</v>
      </c>
      <c r="Q96" s="3">
        <v>1</v>
      </c>
      <c r="R96" s="3" t="str">
        <f t="shared" si="1"/>
        <v>Cancelled</v>
      </c>
      <c r="S96" s="3" t="s">
        <v>25</v>
      </c>
    </row>
    <row r="97" spans="1:19" x14ac:dyDescent="0.35">
      <c r="A97" s="3">
        <v>1096</v>
      </c>
      <c r="B97" s="3" t="s">
        <v>176</v>
      </c>
      <c r="C97" s="4">
        <v>45470</v>
      </c>
      <c r="D97" s="3" t="s">
        <v>159</v>
      </c>
      <c r="E97" s="4">
        <v>45494</v>
      </c>
      <c r="F97" s="4">
        <v>45495</v>
      </c>
      <c r="G97" s="3" t="s">
        <v>34</v>
      </c>
      <c r="H97" s="3" t="s">
        <v>29</v>
      </c>
      <c r="I97" s="3" t="s">
        <v>22</v>
      </c>
      <c r="J97" s="3" t="s">
        <v>23</v>
      </c>
      <c r="K97" s="3">
        <v>24</v>
      </c>
      <c r="L97" s="3">
        <v>1</v>
      </c>
      <c r="M97" s="3">
        <v>7671</v>
      </c>
      <c r="N97" s="3">
        <v>7671</v>
      </c>
      <c r="O97" s="3">
        <v>0</v>
      </c>
      <c r="P97" s="3" t="s">
        <v>24</v>
      </c>
      <c r="Q97" s="3">
        <v>1</v>
      </c>
      <c r="R97" s="3" t="str">
        <f t="shared" si="1"/>
        <v>Cancelled</v>
      </c>
      <c r="S97" s="3" t="s">
        <v>31</v>
      </c>
    </row>
    <row r="98" spans="1:19" x14ac:dyDescent="0.35">
      <c r="A98" s="3">
        <v>1097</v>
      </c>
      <c r="B98" s="3" t="s">
        <v>177</v>
      </c>
      <c r="C98" s="4">
        <v>45497</v>
      </c>
      <c r="D98" s="3" t="s">
        <v>140</v>
      </c>
      <c r="E98" s="4">
        <v>45539</v>
      </c>
      <c r="F98" s="4">
        <v>45542</v>
      </c>
      <c r="G98" s="3" t="s">
        <v>20</v>
      </c>
      <c r="H98" s="3" t="s">
        <v>35</v>
      </c>
      <c r="I98" s="3" t="s">
        <v>39</v>
      </c>
      <c r="J98" s="3" t="s">
        <v>23</v>
      </c>
      <c r="K98" s="3">
        <v>42</v>
      </c>
      <c r="L98" s="3">
        <v>3</v>
      </c>
      <c r="M98" s="3">
        <v>7908</v>
      </c>
      <c r="N98" s="3">
        <v>23724</v>
      </c>
      <c r="O98" s="3">
        <v>23724</v>
      </c>
      <c r="P98" s="3" t="s">
        <v>51</v>
      </c>
      <c r="Q98" s="3">
        <v>0</v>
      </c>
      <c r="R98" s="3" t="str">
        <f t="shared" si="1"/>
        <v>Not Cancelled</v>
      </c>
      <c r="S98" s="3" t="s">
        <v>25</v>
      </c>
    </row>
    <row r="99" spans="1:19" x14ac:dyDescent="0.35">
      <c r="A99" s="3">
        <v>1098</v>
      </c>
      <c r="B99" s="3" t="s">
        <v>178</v>
      </c>
      <c r="C99" s="4">
        <v>45303</v>
      </c>
      <c r="D99" s="3" t="s">
        <v>179</v>
      </c>
      <c r="E99" s="4">
        <v>45343</v>
      </c>
      <c r="F99" s="4">
        <v>45347</v>
      </c>
      <c r="G99" s="3" t="s">
        <v>42</v>
      </c>
      <c r="H99" s="3" t="s">
        <v>21</v>
      </c>
      <c r="I99" s="3" t="s">
        <v>39</v>
      </c>
      <c r="J99" s="3" t="s">
        <v>23</v>
      </c>
      <c r="K99" s="3">
        <v>40</v>
      </c>
      <c r="L99" s="3">
        <v>4</v>
      </c>
      <c r="M99" s="3">
        <v>6361</v>
      </c>
      <c r="N99" s="3">
        <v>25444</v>
      </c>
      <c r="O99" s="3">
        <v>0</v>
      </c>
      <c r="P99" s="3" t="s">
        <v>24</v>
      </c>
      <c r="Q99" s="3">
        <v>1</v>
      </c>
      <c r="R99" s="3" t="str">
        <f t="shared" si="1"/>
        <v>Cancelled</v>
      </c>
      <c r="S99" s="3" t="s">
        <v>31</v>
      </c>
    </row>
    <row r="100" spans="1:19" x14ac:dyDescent="0.35">
      <c r="A100" s="3">
        <v>1099</v>
      </c>
      <c r="B100" s="3" t="s">
        <v>180</v>
      </c>
      <c r="C100" s="4">
        <v>45567</v>
      </c>
      <c r="D100" s="3" t="s">
        <v>28</v>
      </c>
      <c r="E100" s="4">
        <v>45569</v>
      </c>
      <c r="F100" s="4">
        <v>45571</v>
      </c>
      <c r="G100" s="3" t="s">
        <v>28</v>
      </c>
      <c r="H100" s="3" t="s">
        <v>38</v>
      </c>
      <c r="I100" s="3" t="s">
        <v>22</v>
      </c>
      <c r="J100" s="3" t="s">
        <v>30</v>
      </c>
      <c r="K100" s="3">
        <v>2</v>
      </c>
      <c r="L100" s="3">
        <v>2</v>
      </c>
      <c r="M100" s="3">
        <v>8245</v>
      </c>
      <c r="N100" s="3">
        <v>16490</v>
      </c>
      <c r="O100" s="3">
        <v>0</v>
      </c>
      <c r="P100" s="3" t="s">
        <v>51</v>
      </c>
      <c r="Q100" s="3">
        <v>1</v>
      </c>
      <c r="R100" s="3" t="str">
        <f t="shared" si="1"/>
        <v>Cancelled</v>
      </c>
      <c r="S100" s="3" t="s">
        <v>25</v>
      </c>
    </row>
    <row r="101" spans="1:19" x14ac:dyDescent="0.35">
      <c r="A101" s="3">
        <v>1100</v>
      </c>
      <c r="B101" s="3" t="s">
        <v>181</v>
      </c>
      <c r="C101" s="4">
        <v>45472</v>
      </c>
      <c r="D101" s="3" t="s">
        <v>113</v>
      </c>
      <c r="E101" s="4">
        <v>45527</v>
      </c>
      <c r="F101" s="4">
        <v>45529</v>
      </c>
      <c r="G101" s="3" t="s">
        <v>28</v>
      </c>
      <c r="H101" s="3" t="s">
        <v>29</v>
      </c>
      <c r="I101" s="3" t="s">
        <v>22</v>
      </c>
      <c r="J101" s="3" t="s">
        <v>23</v>
      </c>
      <c r="K101" s="3">
        <v>55</v>
      </c>
      <c r="L101" s="3">
        <v>2</v>
      </c>
      <c r="M101" s="3">
        <v>4680</v>
      </c>
      <c r="N101" s="3">
        <v>9360</v>
      </c>
      <c r="O101" s="3">
        <v>0</v>
      </c>
      <c r="P101" s="3" t="s">
        <v>24</v>
      </c>
      <c r="Q101" s="3">
        <v>1</v>
      </c>
      <c r="R101" s="3" t="str">
        <f t="shared" si="1"/>
        <v>Cancelled</v>
      </c>
      <c r="S101" s="3" t="s">
        <v>25</v>
      </c>
    </row>
    <row r="102" spans="1:19" x14ac:dyDescent="0.35">
      <c r="A102" s="3">
        <v>1101</v>
      </c>
      <c r="B102" s="3" t="s">
        <v>182</v>
      </c>
      <c r="C102" s="4">
        <v>45533</v>
      </c>
      <c r="D102" s="3" t="s">
        <v>59</v>
      </c>
      <c r="E102" s="4">
        <v>45541</v>
      </c>
      <c r="F102" s="4">
        <v>45544</v>
      </c>
      <c r="G102" s="3" t="s">
        <v>20</v>
      </c>
      <c r="H102" s="3" t="s">
        <v>21</v>
      </c>
      <c r="I102" s="3" t="s">
        <v>39</v>
      </c>
      <c r="J102" s="3" t="s">
        <v>23</v>
      </c>
      <c r="K102" s="3">
        <v>8</v>
      </c>
      <c r="L102" s="3">
        <v>3</v>
      </c>
      <c r="M102" s="3">
        <v>5546</v>
      </c>
      <c r="N102" s="3">
        <v>16638</v>
      </c>
      <c r="O102" s="3">
        <v>16638</v>
      </c>
      <c r="P102" s="3" t="s">
        <v>24</v>
      </c>
      <c r="Q102" s="3">
        <v>0</v>
      </c>
      <c r="R102" s="3" t="str">
        <f t="shared" si="1"/>
        <v>Not Cancelled</v>
      </c>
      <c r="S102" s="3" t="s">
        <v>25</v>
      </c>
    </row>
    <row r="103" spans="1:19" x14ac:dyDescent="0.35">
      <c r="A103" s="3">
        <v>1102</v>
      </c>
      <c r="B103" s="3" t="s">
        <v>183</v>
      </c>
      <c r="C103" s="4">
        <v>45507</v>
      </c>
      <c r="D103" s="3" t="s">
        <v>73</v>
      </c>
      <c r="E103" s="4">
        <v>45555</v>
      </c>
      <c r="F103" s="4">
        <v>45558</v>
      </c>
      <c r="G103" s="3" t="s">
        <v>20</v>
      </c>
      <c r="H103" s="3" t="s">
        <v>35</v>
      </c>
      <c r="I103" s="3" t="s">
        <v>39</v>
      </c>
      <c r="J103" s="3" t="s">
        <v>46</v>
      </c>
      <c r="K103" s="3">
        <v>48</v>
      </c>
      <c r="L103" s="3">
        <v>3</v>
      </c>
      <c r="M103" s="3">
        <v>5333</v>
      </c>
      <c r="N103" s="3">
        <v>15999</v>
      </c>
      <c r="O103" s="3">
        <v>15999</v>
      </c>
      <c r="P103" s="3" t="s">
        <v>24</v>
      </c>
      <c r="Q103" s="3">
        <v>0</v>
      </c>
      <c r="R103" s="3" t="str">
        <f t="shared" si="1"/>
        <v>Not Cancelled</v>
      </c>
      <c r="S103" s="3" t="s">
        <v>31</v>
      </c>
    </row>
    <row r="104" spans="1:19" x14ac:dyDescent="0.35">
      <c r="A104" s="3">
        <v>1103</v>
      </c>
      <c r="B104" s="3" t="s">
        <v>184</v>
      </c>
      <c r="C104" s="4">
        <v>45542</v>
      </c>
      <c r="D104" s="3" t="s">
        <v>185</v>
      </c>
      <c r="E104" s="4">
        <v>45569</v>
      </c>
      <c r="F104" s="4">
        <v>45572</v>
      </c>
      <c r="G104" s="3" t="s">
        <v>20</v>
      </c>
      <c r="H104" s="3" t="s">
        <v>21</v>
      </c>
      <c r="I104" s="3" t="s">
        <v>39</v>
      </c>
      <c r="J104" s="3" t="s">
        <v>23</v>
      </c>
      <c r="K104" s="3">
        <v>27</v>
      </c>
      <c r="L104" s="3">
        <v>3</v>
      </c>
      <c r="M104" s="3">
        <v>7785</v>
      </c>
      <c r="N104" s="3">
        <v>23355</v>
      </c>
      <c r="O104" s="3">
        <v>0</v>
      </c>
      <c r="P104" s="3" t="s">
        <v>51</v>
      </c>
      <c r="Q104" s="3">
        <v>1</v>
      </c>
      <c r="R104" s="3" t="str">
        <f t="shared" si="1"/>
        <v>Cancelled</v>
      </c>
      <c r="S104" s="3" t="s">
        <v>25</v>
      </c>
    </row>
    <row r="105" spans="1:19" x14ac:dyDescent="0.35">
      <c r="A105" s="3">
        <v>1104</v>
      </c>
      <c r="B105" s="3" t="s">
        <v>186</v>
      </c>
      <c r="C105" s="4">
        <v>45590</v>
      </c>
      <c r="D105" s="3" t="s">
        <v>19</v>
      </c>
      <c r="E105" s="4">
        <v>45612</v>
      </c>
      <c r="F105" s="4">
        <v>45617</v>
      </c>
      <c r="G105" s="3" t="s">
        <v>45</v>
      </c>
      <c r="H105" s="3" t="s">
        <v>29</v>
      </c>
      <c r="I105" s="3" t="s">
        <v>22</v>
      </c>
      <c r="J105" s="3" t="s">
        <v>46</v>
      </c>
      <c r="K105" s="3">
        <v>22</v>
      </c>
      <c r="L105" s="3">
        <v>5</v>
      </c>
      <c r="M105" s="3">
        <v>3897</v>
      </c>
      <c r="N105" s="3">
        <v>19485</v>
      </c>
      <c r="O105" s="3">
        <v>0</v>
      </c>
      <c r="P105" s="3" t="s">
        <v>24</v>
      </c>
      <c r="Q105" s="3">
        <v>1</v>
      </c>
      <c r="R105" s="3" t="str">
        <f t="shared" si="1"/>
        <v>Cancelled</v>
      </c>
      <c r="S105" s="3" t="s">
        <v>31</v>
      </c>
    </row>
    <row r="106" spans="1:19" x14ac:dyDescent="0.35">
      <c r="A106" s="3">
        <v>1105</v>
      </c>
      <c r="B106" s="3" t="s">
        <v>187</v>
      </c>
      <c r="C106" s="4">
        <v>45417</v>
      </c>
      <c r="D106" s="3" t="s">
        <v>105</v>
      </c>
      <c r="E106" s="4">
        <v>45454</v>
      </c>
      <c r="F106" s="4">
        <v>45459</v>
      </c>
      <c r="G106" s="3" t="s">
        <v>45</v>
      </c>
      <c r="H106" s="3" t="s">
        <v>21</v>
      </c>
      <c r="I106" s="3" t="s">
        <v>22</v>
      </c>
      <c r="J106" s="3" t="s">
        <v>30</v>
      </c>
      <c r="K106" s="3">
        <v>37</v>
      </c>
      <c r="L106" s="3">
        <v>5</v>
      </c>
      <c r="M106" s="3">
        <v>8424</v>
      </c>
      <c r="N106" s="3">
        <v>42120</v>
      </c>
      <c r="O106" s="3">
        <v>0</v>
      </c>
      <c r="P106" s="3" t="s">
        <v>24</v>
      </c>
      <c r="Q106" s="3">
        <v>1</v>
      </c>
      <c r="R106" s="3" t="str">
        <f t="shared" si="1"/>
        <v>Cancelled</v>
      </c>
      <c r="S106" s="3" t="s">
        <v>25</v>
      </c>
    </row>
    <row r="107" spans="1:19" x14ac:dyDescent="0.35">
      <c r="A107" s="3">
        <v>1106</v>
      </c>
      <c r="B107" s="3" t="s">
        <v>188</v>
      </c>
      <c r="C107" s="4">
        <v>45508</v>
      </c>
      <c r="D107" s="3" t="s">
        <v>185</v>
      </c>
      <c r="E107" s="4">
        <v>45535</v>
      </c>
      <c r="F107" s="4">
        <v>45540</v>
      </c>
      <c r="G107" s="3" t="s">
        <v>45</v>
      </c>
      <c r="H107" s="3" t="s">
        <v>38</v>
      </c>
      <c r="I107" s="3" t="s">
        <v>39</v>
      </c>
      <c r="J107" s="3" t="s">
        <v>23</v>
      </c>
      <c r="K107" s="3">
        <v>27</v>
      </c>
      <c r="L107" s="3">
        <v>5</v>
      </c>
      <c r="M107" s="3">
        <v>6326</v>
      </c>
      <c r="N107" s="3">
        <v>31630</v>
      </c>
      <c r="O107" s="3">
        <v>0</v>
      </c>
      <c r="P107" s="3" t="s">
        <v>51</v>
      </c>
      <c r="Q107" s="3">
        <v>1</v>
      </c>
      <c r="R107" s="3" t="str">
        <f t="shared" si="1"/>
        <v>Cancelled</v>
      </c>
      <c r="S107" s="3" t="s">
        <v>25</v>
      </c>
    </row>
    <row r="108" spans="1:19" x14ac:dyDescent="0.35">
      <c r="A108" s="3">
        <v>1107</v>
      </c>
      <c r="B108" s="3" t="s">
        <v>189</v>
      </c>
      <c r="C108" s="4">
        <v>45597</v>
      </c>
      <c r="D108" s="3" t="s">
        <v>100</v>
      </c>
      <c r="E108" s="4">
        <v>45654</v>
      </c>
      <c r="F108" s="4">
        <v>45655</v>
      </c>
      <c r="G108" s="3" t="s">
        <v>34</v>
      </c>
      <c r="H108" s="3" t="s">
        <v>60</v>
      </c>
      <c r="I108" s="3" t="s">
        <v>22</v>
      </c>
      <c r="J108" s="3" t="s">
        <v>23</v>
      </c>
      <c r="K108" s="3">
        <v>57</v>
      </c>
      <c r="L108" s="3">
        <v>1</v>
      </c>
      <c r="M108" s="3">
        <v>7074</v>
      </c>
      <c r="N108" s="3">
        <v>7074</v>
      </c>
      <c r="O108" s="3">
        <v>0</v>
      </c>
      <c r="P108" s="3" t="s">
        <v>51</v>
      </c>
      <c r="Q108" s="3">
        <v>1</v>
      </c>
      <c r="R108" s="3" t="str">
        <f t="shared" si="1"/>
        <v>Cancelled</v>
      </c>
      <c r="S108" s="3" t="s">
        <v>31</v>
      </c>
    </row>
    <row r="109" spans="1:19" x14ac:dyDescent="0.35">
      <c r="A109" s="3">
        <v>1108</v>
      </c>
      <c r="B109" s="3" t="s">
        <v>190</v>
      </c>
      <c r="C109" s="4">
        <v>45576</v>
      </c>
      <c r="D109" s="3" t="s">
        <v>57</v>
      </c>
      <c r="E109" s="4">
        <v>45605</v>
      </c>
      <c r="F109" s="4">
        <v>45607</v>
      </c>
      <c r="G109" s="3" t="s">
        <v>28</v>
      </c>
      <c r="H109" s="3" t="s">
        <v>29</v>
      </c>
      <c r="I109" s="3" t="s">
        <v>39</v>
      </c>
      <c r="J109" s="3" t="s">
        <v>46</v>
      </c>
      <c r="K109" s="3">
        <v>29</v>
      </c>
      <c r="L109" s="3">
        <v>2</v>
      </c>
      <c r="M109" s="3">
        <v>3331</v>
      </c>
      <c r="N109" s="3">
        <v>6662</v>
      </c>
      <c r="O109" s="3">
        <v>0</v>
      </c>
      <c r="P109" s="3" t="s">
        <v>24</v>
      </c>
      <c r="Q109" s="3">
        <v>1</v>
      </c>
      <c r="R109" s="3" t="str">
        <f t="shared" si="1"/>
        <v>Cancelled</v>
      </c>
      <c r="S109" s="3" t="s">
        <v>25</v>
      </c>
    </row>
    <row r="110" spans="1:19" x14ac:dyDescent="0.35">
      <c r="A110" s="3">
        <v>1109</v>
      </c>
      <c r="B110" s="3" t="s">
        <v>191</v>
      </c>
      <c r="C110" s="4">
        <v>45476</v>
      </c>
      <c r="D110" s="3" t="s">
        <v>20</v>
      </c>
      <c r="E110" s="4">
        <v>45479</v>
      </c>
      <c r="F110" s="4">
        <v>45483</v>
      </c>
      <c r="G110" s="3" t="s">
        <v>42</v>
      </c>
      <c r="H110" s="3" t="s">
        <v>29</v>
      </c>
      <c r="I110" s="3" t="s">
        <v>39</v>
      </c>
      <c r="J110" s="3" t="s">
        <v>30</v>
      </c>
      <c r="K110" s="3">
        <v>3</v>
      </c>
      <c r="L110" s="3">
        <v>4</v>
      </c>
      <c r="M110" s="3">
        <v>5197</v>
      </c>
      <c r="N110" s="3">
        <v>20788</v>
      </c>
      <c r="O110" s="3">
        <v>0</v>
      </c>
      <c r="P110" s="3" t="s">
        <v>24</v>
      </c>
      <c r="Q110" s="3">
        <v>1</v>
      </c>
      <c r="R110" s="3" t="str">
        <f t="shared" si="1"/>
        <v>Cancelled</v>
      </c>
      <c r="S110" s="3" t="s">
        <v>25</v>
      </c>
    </row>
    <row r="111" spans="1:19" x14ac:dyDescent="0.35">
      <c r="A111" s="3">
        <v>1110</v>
      </c>
      <c r="B111" s="3" t="s">
        <v>192</v>
      </c>
      <c r="C111" s="4">
        <v>45330</v>
      </c>
      <c r="D111" s="3" t="s">
        <v>62</v>
      </c>
      <c r="E111" s="4">
        <v>45374</v>
      </c>
      <c r="F111" s="4">
        <v>45375</v>
      </c>
      <c r="G111" s="3" t="s">
        <v>34</v>
      </c>
      <c r="H111" s="3" t="s">
        <v>29</v>
      </c>
      <c r="I111" s="3" t="s">
        <v>22</v>
      </c>
      <c r="J111" s="3" t="s">
        <v>30</v>
      </c>
      <c r="K111" s="3">
        <v>44</v>
      </c>
      <c r="L111" s="3">
        <v>1</v>
      </c>
      <c r="M111" s="3">
        <v>8210</v>
      </c>
      <c r="N111" s="3">
        <v>8210</v>
      </c>
      <c r="O111" s="3">
        <v>0</v>
      </c>
      <c r="P111" s="3" t="s">
        <v>24</v>
      </c>
      <c r="Q111" s="3">
        <v>1</v>
      </c>
      <c r="R111" s="3" t="str">
        <f t="shared" si="1"/>
        <v>Cancelled</v>
      </c>
      <c r="S111" s="3" t="s">
        <v>25</v>
      </c>
    </row>
    <row r="112" spans="1:19" x14ac:dyDescent="0.35">
      <c r="A112" s="3">
        <v>1111</v>
      </c>
      <c r="B112" s="3" t="s">
        <v>193</v>
      </c>
      <c r="C112" s="4">
        <v>45514</v>
      </c>
      <c r="D112" s="3" t="s">
        <v>44</v>
      </c>
      <c r="E112" s="4">
        <v>45527</v>
      </c>
      <c r="F112" s="4">
        <v>45529</v>
      </c>
      <c r="G112" s="3" t="s">
        <v>28</v>
      </c>
      <c r="H112" s="3" t="s">
        <v>29</v>
      </c>
      <c r="I112" s="3" t="s">
        <v>39</v>
      </c>
      <c r="J112" s="3" t="s">
        <v>46</v>
      </c>
      <c r="K112" s="3">
        <v>13</v>
      </c>
      <c r="L112" s="3">
        <v>2</v>
      </c>
      <c r="M112" s="3">
        <v>7277</v>
      </c>
      <c r="N112" s="3">
        <v>14554</v>
      </c>
      <c r="O112" s="3">
        <v>0</v>
      </c>
      <c r="P112" s="3" t="s">
        <v>24</v>
      </c>
      <c r="Q112" s="3">
        <v>1</v>
      </c>
      <c r="R112" s="3" t="str">
        <f t="shared" si="1"/>
        <v>Cancelled</v>
      </c>
      <c r="S112" s="3" t="s">
        <v>25</v>
      </c>
    </row>
    <row r="113" spans="1:19" x14ac:dyDescent="0.35">
      <c r="A113" s="3">
        <v>1112</v>
      </c>
      <c r="B113" s="3" t="s">
        <v>194</v>
      </c>
      <c r="C113" s="4">
        <v>45475</v>
      </c>
      <c r="D113" s="3" t="s">
        <v>64</v>
      </c>
      <c r="E113" s="4">
        <v>45520</v>
      </c>
      <c r="F113" s="4">
        <v>45522</v>
      </c>
      <c r="G113" s="3" t="s">
        <v>28</v>
      </c>
      <c r="H113" s="3" t="s">
        <v>21</v>
      </c>
      <c r="I113" s="3" t="s">
        <v>39</v>
      </c>
      <c r="J113" s="3" t="s">
        <v>30</v>
      </c>
      <c r="K113" s="3">
        <v>45</v>
      </c>
      <c r="L113" s="3">
        <v>2</v>
      </c>
      <c r="M113" s="3">
        <v>5235</v>
      </c>
      <c r="N113" s="3">
        <v>10470</v>
      </c>
      <c r="O113" s="3">
        <v>10470</v>
      </c>
      <c r="P113" s="3" t="s">
        <v>24</v>
      </c>
      <c r="Q113" s="3">
        <v>0</v>
      </c>
      <c r="R113" s="3" t="str">
        <f t="shared" si="1"/>
        <v>Not Cancelled</v>
      </c>
      <c r="S113" s="3" t="s">
        <v>31</v>
      </c>
    </row>
    <row r="114" spans="1:19" x14ac:dyDescent="0.35">
      <c r="A114" s="3">
        <v>1113</v>
      </c>
      <c r="B114" s="3" t="s">
        <v>195</v>
      </c>
      <c r="C114" s="4">
        <v>45469</v>
      </c>
      <c r="D114" s="3" t="s">
        <v>37</v>
      </c>
      <c r="E114" s="4">
        <v>45479</v>
      </c>
      <c r="F114" s="4">
        <v>45482</v>
      </c>
      <c r="G114" s="3" t="s">
        <v>20</v>
      </c>
      <c r="H114" s="3" t="s">
        <v>38</v>
      </c>
      <c r="I114" s="3" t="s">
        <v>22</v>
      </c>
      <c r="J114" s="3" t="s">
        <v>30</v>
      </c>
      <c r="K114" s="3">
        <v>10</v>
      </c>
      <c r="L114" s="3">
        <v>3</v>
      </c>
      <c r="M114" s="3">
        <v>7919</v>
      </c>
      <c r="N114" s="3">
        <v>23757</v>
      </c>
      <c r="O114" s="3">
        <v>23757</v>
      </c>
      <c r="P114" s="3" t="s">
        <v>51</v>
      </c>
      <c r="Q114" s="3">
        <v>0</v>
      </c>
      <c r="R114" s="3" t="str">
        <f t="shared" si="1"/>
        <v>Not Cancelled</v>
      </c>
      <c r="S114" s="3" t="s">
        <v>31</v>
      </c>
    </row>
    <row r="115" spans="1:19" x14ac:dyDescent="0.35">
      <c r="A115" s="3">
        <v>1114</v>
      </c>
      <c r="B115" s="3" t="s">
        <v>196</v>
      </c>
      <c r="C115" s="4">
        <v>45585</v>
      </c>
      <c r="D115" s="3" t="s">
        <v>146</v>
      </c>
      <c r="E115" s="4">
        <v>45621</v>
      </c>
      <c r="F115" s="4">
        <v>45624</v>
      </c>
      <c r="G115" s="3" t="s">
        <v>20</v>
      </c>
      <c r="H115" s="3" t="s">
        <v>35</v>
      </c>
      <c r="I115" s="3" t="s">
        <v>39</v>
      </c>
      <c r="J115" s="3" t="s">
        <v>30</v>
      </c>
      <c r="K115" s="3">
        <v>36</v>
      </c>
      <c r="L115" s="3">
        <v>3</v>
      </c>
      <c r="M115" s="3">
        <v>2581</v>
      </c>
      <c r="N115" s="3">
        <v>7743</v>
      </c>
      <c r="O115" s="3">
        <v>0</v>
      </c>
      <c r="P115" s="3" t="s">
        <v>24</v>
      </c>
      <c r="Q115" s="3">
        <v>1</v>
      </c>
      <c r="R115" s="3" t="str">
        <f t="shared" si="1"/>
        <v>Cancelled</v>
      </c>
      <c r="S115" s="3" t="s">
        <v>25</v>
      </c>
    </row>
    <row r="116" spans="1:19" x14ac:dyDescent="0.35">
      <c r="A116" s="3">
        <v>1115</v>
      </c>
      <c r="B116" s="3" t="s">
        <v>197</v>
      </c>
      <c r="C116" s="4">
        <v>45631</v>
      </c>
      <c r="D116" s="3" t="s">
        <v>165</v>
      </c>
      <c r="E116" s="4">
        <v>45640</v>
      </c>
      <c r="F116" s="4">
        <v>45641</v>
      </c>
      <c r="G116" s="3" t="s">
        <v>34</v>
      </c>
      <c r="H116" s="3" t="s">
        <v>38</v>
      </c>
      <c r="I116" s="3" t="s">
        <v>39</v>
      </c>
      <c r="J116" s="3" t="s">
        <v>30</v>
      </c>
      <c r="K116" s="3">
        <v>9</v>
      </c>
      <c r="L116" s="3">
        <v>1</v>
      </c>
      <c r="M116" s="3">
        <v>2586</v>
      </c>
      <c r="N116" s="3">
        <v>2586</v>
      </c>
      <c r="O116" s="3">
        <v>2586</v>
      </c>
      <c r="P116" s="3" t="s">
        <v>51</v>
      </c>
      <c r="Q116" s="3">
        <v>0</v>
      </c>
      <c r="R116" s="3" t="str">
        <f t="shared" si="1"/>
        <v>Not Cancelled</v>
      </c>
      <c r="S116" s="3" t="s">
        <v>25</v>
      </c>
    </row>
    <row r="117" spans="1:19" x14ac:dyDescent="0.35">
      <c r="A117" s="3">
        <v>1116</v>
      </c>
      <c r="B117" s="3" t="s">
        <v>198</v>
      </c>
      <c r="C117" s="4">
        <v>45442</v>
      </c>
      <c r="D117" s="3" t="s">
        <v>117</v>
      </c>
      <c r="E117" s="4">
        <v>45496</v>
      </c>
      <c r="F117" s="4">
        <v>45499</v>
      </c>
      <c r="G117" s="3" t="s">
        <v>20</v>
      </c>
      <c r="H117" s="3" t="s">
        <v>29</v>
      </c>
      <c r="I117" s="3" t="s">
        <v>22</v>
      </c>
      <c r="J117" s="3" t="s">
        <v>30</v>
      </c>
      <c r="K117" s="3">
        <v>54</v>
      </c>
      <c r="L117" s="3">
        <v>3</v>
      </c>
      <c r="M117" s="3">
        <v>8868</v>
      </c>
      <c r="N117" s="3">
        <v>26604</v>
      </c>
      <c r="O117" s="3">
        <v>0</v>
      </c>
      <c r="P117" s="3" t="s">
        <v>51</v>
      </c>
      <c r="Q117" s="3">
        <v>1</v>
      </c>
      <c r="R117" s="3" t="str">
        <f t="shared" si="1"/>
        <v>Cancelled</v>
      </c>
      <c r="S117" s="3" t="s">
        <v>31</v>
      </c>
    </row>
    <row r="118" spans="1:19" x14ac:dyDescent="0.35">
      <c r="A118" s="3">
        <v>1117</v>
      </c>
      <c r="B118" s="3" t="s">
        <v>199</v>
      </c>
      <c r="C118" s="4">
        <v>45417</v>
      </c>
      <c r="D118" s="3" t="s">
        <v>94</v>
      </c>
      <c r="E118" s="4">
        <v>45473</v>
      </c>
      <c r="F118" s="4">
        <v>45475</v>
      </c>
      <c r="G118" s="3" t="s">
        <v>28</v>
      </c>
      <c r="H118" s="3" t="s">
        <v>21</v>
      </c>
      <c r="I118" s="3" t="s">
        <v>39</v>
      </c>
      <c r="J118" s="3" t="s">
        <v>30</v>
      </c>
      <c r="K118" s="3">
        <v>56</v>
      </c>
      <c r="L118" s="3">
        <v>2</v>
      </c>
      <c r="M118" s="3">
        <v>4563</v>
      </c>
      <c r="N118" s="3">
        <v>9126</v>
      </c>
      <c r="O118" s="3">
        <v>0</v>
      </c>
      <c r="P118" s="3" t="s">
        <v>24</v>
      </c>
      <c r="Q118" s="3">
        <v>1</v>
      </c>
      <c r="R118" s="3" t="str">
        <f t="shared" si="1"/>
        <v>Cancelled</v>
      </c>
      <c r="S118" s="3" t="s">
        <v>25</v>
      </c>
    </row>
    <row r="119" spans="1:19" x14ac:dyDescent="0.35">
      <c r="A119" s="3">
        <v>1118</v>
      </c>
      <c r="B119" s="3" t="s">
        <v>200</v>
      </c>
      <c r="C119" s="4">
        <v>45592</v>
      </c>
      <c r="D119" s="3" t="s">
        <v>113</v>
      </c>
      <c r="E119" s="4">
        <v>45647</v>
      </c>
      <c r="F119" s="4">
        <v>45650</v>
      </c>
      <c r="G119" s="3" t="s">
        <v>20</v>
      </c>
      <c r="H119" s="3" t="s">
        <v>21</v>
      </c>
      <c r="I119" s="3" t="s">
        <v>39</v>
      </c>
      <c r="J119" s="3" t="s">
        <v>30</v>
      </c>
      <c r="K119" s="3">
        <v>55</v>
      </c>
      <c r="L119" s="3">
        <v>3</v>
      </c>
      <c r="M119" s="3">
        <v>3321</v>
      </c>
      <c r="N119" s="3">
        <v>9963</v>
      </c>
      <c r="O119" s="3">
        <v>0</v>
      </c>
      <c r="P119" s="3" t="s">
        <v>51</v>
      </c>
      <c r="Q119" s="3">
        <v>1</v>
      </c>
      <c r="R119" s="3" t="str">
        <f t="shared" si="1"/>
        <v>Cancelled</v>
      </c>
      <c r="S119" s="3" t="s">
        <v>31</v>
      </c>
    </row>
    <row r="120" spans="1:19" x14ac:dyDescent="0.35">
      <c r="A120" s="3">
        <v>1119</v>
      </c>
      <c r="B120" s="3" t="s">
        <v>201</v>
      </c>
      <c r="C120" s="4">
        <v>45599</v>
      </c>
      <c r="D120" s="3" t="s">
        <v>185</v>
      </c>
      <c r="E120" s="4">
        <v>45626</v>
      </c>
      <c r="F120" s="4">
        <v>45631</v>
      </c>
      <c r="G120" s="3" t="s">
        <v>45</v>
      </c>
      <c r="H120" s="3" t="s">
        <v>29</v>
      </c>
      <c r="I120" s="3" t="s">
        <v>22</v>
      </c>
      <c r="J120" s="3" t="s">
        <v>30</v>
      </c>
      <c r="K120" s="3">
        <v>27</v>
      </c>
      <c r="L120" s="3">
        <v>5</v>
      </c>
      <c r="M120" s="3">
        <v>2662</v>
      </c>
      <c r="N120" s="3">
        <v>13310</v>
      </c>
      <c r="O120" s="3">
        <v>0</v>
      </c>
      <c r="P120" s="3" t="s">
        <v>24</v>
      </c>
      <c r="Q120" s="3">
        <v>1</v>
      </c>
      <c r="R120" s="3" t="str">
        <f t="shared" si="1"/>
        <v>Cancelled</v>
      </c>
      <c r="S120" s="3" t="s">
        <v>25</v>
      </c>
    </row>
    <row r="121" spans="1:19" x14ac:dyDescent="0.35">
      <c r="A121" s="3">
        <v>1120</v>
      </c>
      <c r="B121" s="3" t="s">
        <v>202</v>
      </c>
      <c r="C121" s="4">
        <v>45627</v>
      </c>
      <c r="D121" s="3" t="s">
        <v>128</v>
      </c>
      <c r="E121" s="4">
        <v>45661</v>
      </c>
      <c r="F121" s="4">
        <v>45664</v>
      </c>
      <c r="G121" s="3" t="s">
        <v>20</v>
      </c>
      <c r="H121" s="3" t="s">
        <v>21</v>
      </c>
      <c r="I121" s="3" t="s">
        <v>22</v>
      </c>
      <c r="J121" s="3" t="s">
        <v>23</v>
      </c>
      <c r="K121" s="3">
        <v>34</v>
      </c>
      <c r="L121" s="3">
        <v>3</v>
      </c>
      <c r="M121" s="3">
        <v>6239</v>
      </c>
      <c r="N121" s="3">
        <v>18717</v>
      </c>
      <c r="O121" s="3">
        <v>18717</v>
      </c>
      <c r="P121" s="3" t="s">
        <v>51</v>
      </c>
      <c r="Q121" s="3">
        <v>0</v>
      </c>
      <c r="R121" s="3" t="str">
        <f t="shared" si="1"/>
        <v>Not Cancelled</v>
      </c>
      <c r="S121" s="3" t="s">
        <v>31</v>
      </c>
    </row>
    <row r="122" spans="1:19" x14ac:dyDescent="0.35">
      <c r="A122" s="3">
        <v>1121</v>
      </c>
      <c r="B122" s="3" t="s">
        <v>203</v>
      </c>
      <c r="C122" s="4">
        <v>45525</v>
      </c>
      <c r="D122" s="3" t="s">
        <v>124</v>
      </c>
      <c r="E122" s="4">
        <v>45576</v>
      </c>
      <c r="F122" s="4">
        <v>45578</v>
      </c>
      <c r="G122" s="3" t="s">
        <v>28</v>
      </c>
      <c r="H122" s="3" t="s">
        <v>29</v>
      </c>
      <c r="I122" s="3" t="s">
        <v>22</v>
      </c>
      <c r="J122" s="3" t="s">
        <v>46</v>
      </c>
      <c r="K122" s="3">
        <v>51</v>
      </c>
      <c r="L122" s="3">
        <v>2</v>
      </c>
      <c r="M122" s="3">
        <v>4897</v>
      </c>
      <c r="N122" s="3">
        <v>9794</v>
      </c>
      <c r="O122" s="3">
        <v>9794</v>
      </c>
      <c r="P122" s="3" t="s">
        <v>51</v>
      </c>
      <c r="Q122" s="3">
        <v>0</v>
      </c>
      <c r="R122" s="3" t="str">
        <f t="shared" si="1"/>
        <v>Not Cancelled</v>
      </c>
      <c r="S122" s="3" t="s">
        <v>31</v>
      </c>
    </row>
    <row r="123" spans="1:19" x14ac:dyDescent="0.35">
      <c r="A123" s="3">
        <v>1122</v>
      </c>
      <c r="B123" s="3" t="s">
        <v>204</v>
      </c>
      <c r="C123" s="4">
        <v>45299</v>
      </c>
      <c r="D123" s="3" t="s">
        <v>34</v>
      </c>
      <c r="E123" s="4">
        <v>45300</v>
      </c>
      <c r="F123" s="4">
        <v>45301</v>
      </c>
      <c r="G123" s="3" t="s">
        <v>34</v>
      </c>
      <c r="H123" s="3" t="s">
        <v>38</v>
      </c>
      <c r="I123" s="3" t="s">
        <v>39</v>
      </c>
      <c r="J123" s="3" t="s">
        <v>30</v>
      </c>
      <c r="K123" s="3">
        <v>1</v>
      </c>
      <c r="L123" s="3">
        <v>1</v>
      </c>
      <c r="M123" s="3">
        <v>4432</v>
      </c>
      <c r="N123" s="3">
        <v>4432</v>
      </c>
      <c r="O123" s="3">
        <v>4432</v>
      </c>
      <c r="P123" s="3" t="s">
        <v>24</v>
      </c>
      <c r="Q123" s="3">
        <v>0</v>
      </c>
      <c r="R123" s="3" t="str">
        <f t="shared" si="1"/>
        <v>Not Cancelled</v>
      </c>
      <c r="S123" s="3" t="s">
        <v>31</v>
      </c>
    </row>
    <row r="124" spans="1:19" x14ac:dyDescent="0.35">
      <c r="A124" s="3">
        <v>1123</v>
      </c>
      <c r="B124" s="3" t="s">
        <v>205</v>
      </c>
      <c r="C124" s="4">
        <v>45632</v>
      </c>
      <c r="D124" s="3" t="s">
        <v>144</v>
      </c>
      <c r="E124" s="4">
        <v>45664</v>
      </c>
      <c r="F124" s="4">
        <v>45668</v>
      </c>
      <c r="G124" s="3" t="s">
        <v>42</v>
      </c>
      <c r="H124" s="3" t="s">
        <v>60</v>
      </c>
      <c r="I124" s="3" t="s">
        <v>22</v>
      </c>
      <c r="J124" s="3" t="s">
        <v>46</v>
      </c>
      <c r="K124" s="3">
        <v>32</v>
      </c>
      <c r="L124" s="3">
        <v>4</v>
      </c>
      <c r="M124" s="3">
        <v>5228</v>
      </c>
      <c r="N124" s="3">
        <v>20912</v>
      </c>
      <c r="O124" s="3">
        <v>20912</v>
      </c>
      <c r="P124" s="3" t="s">
        <v>24</v>
      </c>
      <c r="Q124" s="3">
        <v>0</v>
      </c>
      <c r="R124" s="3" t="str">
        <f t="shared" si="1"/>
        <v>Not Cancelled</v>
      </c>
      <c r="S124" s="3" t="s">
        <v>31</v>
      </c>
    </row>
    <row r="125" spans="1:19" x14ac:dyDescent="0.35">
      <c r="A125" s="3">
        <v>1124</v>
      </c>
      <c r="B125" s="3" t="s">
        <v>206</v>
      </c>
      <c r="C125" s="4">
        <v>45420</v>
      </c>
      <c r="D125" s="3" t="s">
        <v>107</v>
      </c>
      <c r="E125" s="4">
        <v>45445</v>
      </c>
      <c r="F125" s="4">
        <v>45448</v>
      </c>
      <c r="G125" s="3" t="s">
        <v>20</v>
      </c>
      <c r="H125" s="3" t="s">
        <v>21</v>
      </c>
      <c r="I125" s="3" t="s">
        <v>39</v>
      </c>
      <c r="J125" s="3" t="s">
        <v>30</v>
      </c>
      <c r="K125" s="3">
        <v>25</v>
      </c>
      <c r="L125" s="3">
        <v>3</v>
      </c>
      <c r="M125" s="3">
        <v>6035</v>
      </c>
      <c r="N125" s="3">
        <v>18105</v>
      </c>
      <c r="O125" s="3">
        <v>0</v>
      </c>
      <c r="P125" s="3" t="s">
        <v>51</v>
      </c>
      <c r="Q125" s="3">
        <v>1</v>
      </c>
      <c r="R125" s="3" t="str">
        <f t="shared" si="1"/>
        <v>Cancelled</v>
      </c>
      <c r="S125" s="3" t="s">
        <v>25</v>
      </c>
    </row>
    <row r="126" spans="1:19" x14ac:dyDescent="0.35">
      <c r="A126" s="3">
        <v>1125</v>
      </c>
      <c r="B126" s="3" t="s">
        <v>207</v>
      </c>
      <c r="C126" s="4">
        <v>45555</v>
      </c>
      <c r="D126" s="3" t="s">
        <v>57</v>
      </c>
      <c r="E126" s="4">
        <v>45584</v>
      </c>
      <c r="F126" s="4">
        <v>45586</v>
      </c>
      <c r="G126" s="3" t="s">
        <v>28</v>
      </c>
      <c r="H126" s="3" t="s">
        <v>29</v>
      </c>
      <c r="I126" s="3" t="s">
        <v>22</v>
      </c>
      <c r="J126" s="3" t="s">
        <v>30</v>
      </c>
      <c r="K126" s="3">
        <v>29</v>
      </c>
      <c r="L126" s="3">
        <v>2</v>
      </c>
      <c r="M126" s="3">
        <v>8446</v>
      </c>
      <c r="N126" s="3">
        <v>16892</v>
      </c>
      <c r="O126" s="3">
        <v>0</v>
      </c>
      <c r="P126" s="3" t="s">
        <v>24</v>
      </c>
      <c r="Q126" s="3">
        <v>1</v>
      </c>
      <c r="R126" s="3" t="str">
        <f t="shared" si="1"/>
        <v>Cancelled</v>
      </c>
      <c r="S126" s="3" t="s">
        <v>25</v>
      </c>
    </row>
    <row r="127" spans="1:19" x14ac:dyDescent="0.35">
      <c r="A127" s="3">
        <v>1126</v>
      </c>
      <c r="B127" s="3" t="s">
        <v>208</v>
      </c>
      <c r="C127" s="4">
        <v>45448</v>
      </c>
      <c r="D127" s="3" t="s">
        <v>209</v>
      </c>
      <c r="E127" s="4">
        <v>45455</v>
      </c>
      <c r="F127" s="4">
        <v>45459</v>
      </c>
      <c r="G127" s="3" t="s">
        <v>42</v>
      </c>
      <c r="H127" s="3" t="s">
        <v>29</v>
      </c>
      <c r="I127" s="3" t="s">
        <v>39</v>
      </c>
      <c r="J127" s="3" t="s">
        <v>23</v>
      </c>
      <c r="K127" s="3">
        <v>7</v>
      </c>
      <c r="L127" s="3">
        <v>4</v>
      </c>
      <c r="M127" s="3">
        <v>8456</v>
      </c>
      <c r="N127" s="3">
        <v>33824</v>
      </c>
      <c r="O127" s="3">
        <v>33824</v>
      </c>
      <c r="P127" s="3" t="s">
        <v>24</v>
      </c>
      <c r="Q127" s="3">
        <v>0</v>
      </c>
      <c r="R127" s="3" t="str">
        <f t="shared" si="1"/>
        <v>Not Cancelled</v>
      </c>
      <c r="S127" s="3" t="s">
        <v>31</v>
      </c>
    </row>
    <row r="128" spans="1:19" x14ac:dyDescent="0.35">
      <c r="A128" s="3">
        <v>1127</v>
      </c>
      <c r="B128" s="3" t="s">
        <v>210</v>
      </c>
      <c r="C128" s="4">
        <v>45643</v>
      </c>
      <c r="D128" s="3" t="s">
        <v>211</v>
      </c>
      <c r="E128" s="4">
        <v>45692</v>
      </c>
      <c r="F128" s="4">
        <v>45696</v>
      </c>
      <c r="G128" s="3" t="s">
        <v>42</v>
      </c>
      <c r="H128" s="3" t="s">
        <v>21</v>
      </c>
      <c r="I128" s="3" t="s">
        <v>39</v>
      </c>
      <c r="J128" s="3" t="s">
        <v>46</v>
      </c>
      <c r="K128" s="3">
        <v>49</v>
      </c>
      <c r="L128" s="3">
        <v>4</v>
      </c>
      <c r="M128" s="3">
        <v>5946</v>
      </c>
      <c r="N128" s="3">
        <v>23784</v>
      </c>
      <c r="O128" s="3">
        <v>0</v>
      </c>
      <c r="P128" s="3" t="s">
        <v>51</v>
      </c>
      <c r="Q128" s="3">
        <v>1</v>
      </c>
      <c r="R128" s="3" t="str">
        <f t="shared" si="1"/>
        <v>Cancelled</v>
      </c>
      <c r="S128" s="3" t="s">
        <v>31</v>
      </c>
    </row>
    <row r="129" spans="1:19" x14ac:dyDescent="0.35">
      <c r="A129" s="3">
        <v>1128</v>
      </c>
      <c r="B129" s="3" t="s">
        <v>212</v>
      </c>
      <c r="C129" s="4">
        <v>45649</v>
      </c>
      <c r="D129" s="3" t="s">
        <v>20</v>
      </c>
      <c r="E129" s="4">
        <v>45652</v>
      </c>
      <c r="F129" s="4">
        <v>45657</v>
      </c>
      <c r="G129" s="3" t="s">
        <v>45</v>
      </c>
      <c r="H129" s="3" t="s">
        <v>35</v>
      </c>
      <c r="I129" s="3" t="s">
        <v>22</v>
      </c>
      <c r="J129" s="3" t="s">
        <v>46</v>
      </c>
      <c r="K129" s="3">
        <v>3</v>
      </c>
      <c r="L129" s="3">
        <v>5</v>
      </c>
      <c r="M129" s="3">
        <v>7711</v>
      </c>
      <c r="N129" s="3">
        <v>38555</v>
      </c>
      <c r="O129" s="3">
        <v>38555</v>
      </c>
      <c r="P129" s="3" t="s">
        <v>51</v>
      </c>
      <c r="Q129" s="3">
        <v>0</v>
      </c>
      <c r="R129" s="3" t="str">
        <f t="shared" si="1"/>
        <v>Not Cancelled</v>
      </c>
      <c r="S129" s="3" t="s">
        <v>31</v>
      </c>
    </row>
    <row r="130" spans="1:19" x14ac:dyDescent="0.35">
      <c r="A130" s="3">
        <v>1129</v>
      </c>
      <c r="B130" s="3" t="s">
        <v>213</v>
      </c>
      <c r="C130" s="4">
        <v>45296</v>
      </c>
      <c r="D130" s="3" t="s">
        <v>157</v>
      </c>
      <c r="E130" s="4">
        <v>45316</v>
      </c>
      <c r="F130" s="4">
        <v>45320</v>
      </c>
      <c r="G130" s="3" t="s">
        <v>42</v>
      </c>
      <c r="H130" s="3" t="s">
        <v>29</v>
      </c>
      <c r="I130" s="3" t="s">
        <v>39</v>
      </c>
      <c r="J130" s="3" t="s">
        <v>23</v>
      </c>
      <c r="K130" s="3">
        <v>20</v>
      </c>
      <c r="L130" s="3">
        <v>4</v>
      </c>
      <c r="M130" s="3">
        <v>8824</v>
      </c>
      <c r="N130" s="3">
        <v>35296</v>
      </c>
      <c r="O130" s="3">
        <v>0</v>
      </c>
      <c r="P130" s="3" t="s">
        <v>51</v>
      </c>
      <c r="Q130" s="3">
        <v>1</v>
      </c>
      <c r="R130" s="3" t="str">
        <f t="shared" si="1"/>
        <v>Cancelled</v>
      </c>
      <c r="S130" s="3" t="s">
        <v>31</v>
      </c>
    </row>
    <row r="131" spans="1:19" x14ac:dyDescent="0.35">
      <c r="A131" s="3">
        <v>1130</v>
      </c>
      <c r="B131" s="3" t="s">
        <v>214</v>
      </c>
      <c r="C131" s="4">
        <v>45377</v>
      </c>
      <c r="D131" s="3" t="s">
        <v>157</v>
      </c>
      <c r="E131" s="4">
        <v>45397</v>
      </c>
      <c r="F131" s="4">
        <v>45399</v>
      </c>
      <c r="G131" s="3" t="s">
        <v>28</v>
      </c>
      <c r="H131" s="3" t="s">
        <v>21</v>
      </c>
      <c r="I131" s="3" t="s">
        <v>39</v>
      </c>
      <c r="J131" s="3" t="s">
        <v>23</v>
      </c>
      <c r="K131" s="3">
        <v>20</v>
      </c>
      <c r="L131" s="3">
        <v>2</v>
      </c>
      <c r="M131" s="3">
        <v>5290</v>
      </c>
      <c r="N131" s="3">
        <v>10580</v>
      </c>
      <c r="O131" s="3">
        <v>10580</v>
      </c>
      <c r="P131" s="3" t="s">
        <v>24</v>
      </c>
      <c r="Q131" s="3">
        <v>0</v>
      </c>
      <c r="R131" s="3" t="str">
        <f t="shared" ref="R131:R194" si="2">IF(Q131=0,"Not Cancelled","Cancelled")</f>
        <v>Not Cancelled</v>
      </c>
      <c r="S131" s="3" t="s">
        <v>25</v>
      </c>
    </row>
    <row r="132" spans="1:19" x14ac:dyDescent="0.35">
      <c r="A132" s="3">
        <v>1131</v>
      </c>
      <c r="B132" s="3" t="s">
        <v>215</v>
      </c>
      <c r="C132" s="4">
        <v>45466</v>
      </c>
      <c r="D132" s="3" t="s">
        <v>133</v>
      </c>
      <c r="E132" s="4">
        <v>45519</v>
      </c>
      <c r="F132" s="4">
        <v>45521</v>
      </c>
      <c r="G132" s="3" t="s">
        <v>28</v>
      </c>
      <c r="H132" s="3" t="s">
        <v>29</v>
      </c>
      <c r="I132" s="3" t="s">
        <v>22</v>
      </c>
      <c r="J132" s="3" t="s">
        <v>46</v>
      </c>
      <c r="K132" s="3">
        <v>53</v>
      </c>
      <c r="L132" s="3">
        <v>2</v>
      </c>
      <c r="M132" s="3">
        <v>5207</v>
      </c>
      <c r="N132" s="3">
        <v>10414</v>
      </c>
      <c r="O132" s="3">
        <v>0</v>
      </c>
      <c r="P132" s="3" t="s">
        <v>24</v>
      </c>
      <c r="Q132" s="3">
        <v>1</v>
      </c>
      <c r="R132" s="3" t="str">
        <f t="shared" si="2"/>
        <v>Cancelled</v>
      </c>
      <c r="S132" s="3" t="s">
        <v>31</v>
      </c>
    </row>
    <row r="133" spans="1:19" x14ac:dyDescent="0.35">
      <c r="A133" s="3">
        <v>1132</v>
      </c>
      <c r="B133" s="3" t="s">
        <v>216</v>
      </c>
      <c r="C133" s="4">
        <v>45581</v>
      </c>
      <c r="D133" s="3" t="s">
        <v>50</v>
      </c>
      <c r="E133" s="4">
        <v>45611</v>
      </c>
      <c r="F133" s="4">
        <v>45614</v>
      </c>
      <c r="G133" s="3" t="s">
        <v>20</v>
      </c>
      <c r="H133" s="3" t="s">
        <v>35</v>
      </c>
      <c r="I133" s="3" t="s">
        <v>39</v>
      </c>
      <c r="J133" s="3" t="s">
        <v>30</v>
      </c>
      <c r="K133" s="3">
        <v>30</v>
      </c>
      <c r="L133" s="3">
        <v>3</v>
      </c>
      <c r="M133" s="3">
        <v>8478</v>
      </c>
      <c r="N133" s="3">
        <v>25434</v>
      </c>
      <c r="O133" s="3">
        <v>25434</v>
      </c>
      <c r="P133" s="3" t="s">
        <v>24</v>
      </c>
      <c r="Q133" s="3">
        <v>0</v>
      </c>
      <c r="R133" s="3" t="str">
        <f t="shared" si="2"/>
        <v>Not Cancelled</v>
      </c>
      <c r="S133" s="3" t="s">
        <v>31</v>
      </c>
    </row>
    <row r="134" spans="1:19" x14ac:dyDescent="0.35">
      <c r="A134" s="3">
        <v>1133</v>
      </c>
      <c r="B134" s="3" t="s">
        <v>217</v>
      </c>
      <c r="C134" s="4">
        <v>45484</v>
      </c>
      <c r="D134" s="3" t="s">
        <v>91</v>
      </c>
      <c r="E134" s="4">
        <v>45519</v>
      </c>
      <c r="F134" s="4">
        <v>45522</v>
      </c>
      <c r="G134" s="3" t="s">
        <v>20</v>
      </c>
      <c r="H134" s="3" t="s">
        <v>60</v>
      </c>
      <c r="I134" s="3" t="s">
        <v>39</v>
      </c>
      <c r="J134" s="3" t="s">
        <v>30</v>
      </c>
      <c r="K134" s="3">
        <v>35</v>
      </c>
      <c r="L134" s="3">
        <v>3</v>
      </c>
      <c r="M134" s="3">
        <v>6433</v>
      </c>
      <c r="N134" s="3">
        <v>19299</v>
      </c>
      <c r="O134" s="3">
        <v>0</v>
      </c>
      <c r="P134" s="3" t="s">
        <v>51</v>
      </c>
      <c r="Q134" s="3">
        <v>1</v>
      </c>
      <c r="R134" s="3" t="str">
        <f t="shared" si="2"/>
        <v>Cancelled</v>
      </c>
      <c r="S134" s="3" t="s">
        <v>31</v>
      </c>
    </row>
    <row r="135" spans="1:19" x14ac:dyDescent="0.35">
      <c r="A135" s="3">
        <v>1134</v>
      </c>
      <c r="B135" s="3" t="s">
        <v>218</v>
      </c>
      <c r="C135" s="4">
        <v>45602</v>
      </c>
      <c r="D135" s="3" t="s">
        <v>91</v>
      </c>
      <c r="E135" s="4">
        <v>45637</v>
      </c>
      <c r="F135" s="4">
        <v>45640</v>
      </c>
      <c r="G135" s="3" t="s">
        <v>20</v>
      </c>
      <c r="H135" s="3" t="s">
        <v>35</v>
      </c>
      <c r="I135" s="3" t="s">
        <v>39</v>
      </c>
      <c r="J135" s="3" t="s">
        <v>46</v>
      </c>
      <c r="K135" s="3">
        <v>35</v>
      </c>
      <c r="L135" s="3">
        <v>3</v>
      </c>
      <c r="M135" s="3">
        <v>5885</v>
      </c>
      <c r="N135" s="3">
        <v>17655</v>
      </c>
      <c r="O135" s="3">
        <v>17655</v>
      </c>
      <c r="P135" s="3" t="s">
        <v>24</v>
      </c>
      <c r="Q135" s="3">
        <v>0</v>
      </c>
      <c r="R135" s="3" t="str">
        <f t="shared" si="2"/>
        <v>Not Cancelled</v>
      </c>
      <c r="S135" s="3" t="s">
        <v>31</v>
      </c>
    </row>
    <row r="136" spans="1:19" x14ac:dyDescent="0.35">
      <c r="A136" s="3">
        <v>1135</v>
      </c>
      <c r="B136" s="3" t="s">
        <v>219</v>
      </c>
      <c r="C136" s="4">
        <v>45410</v>
      </c>
      <c r="D136" s="3" t="s">
        <v>211</v>
      </c>
      <c r="E136" s="4">
        <v>45459</v>
      </c>
      <c r="F136" s="4">
        <v>45463</v>
      </c>
      <c r="G136" s="3" t="s">
        <v>42</v>
      </c>
      <c r="H136" s="3" t="s">
        <v>38</v>
      </c>
      <c r="I136" s="3" t="s">
        <v>22</v>
      </c>
      <c r="J136" s="3" t="s">
        <v>30</v>
      </c>
      <c r="K136" s="3">
        <v>49</v>
      </c>
      <c r="L136" s="3">
        <v>4</v>
      </c>
      <c r="M136" s="3">
        <v>3422</v>
      </c>
      <c r="N136" s="3">
        <v>13688</v>
      </c>
      <c r="O136" s="3">
        <v>0</v>
      </c>
      <c r="P136" s="3" t="s">
        <v>51</v>
      </c>
      <c r="Q136" s="3">
        <v>1</v>
      </c>
      <c r="R136" s="3" t="str">
        <f t="shared" si="2"/>
        <v>Cancelled</v>
      </c>
      <c r="S136" s="3" t="s">
        <v>31</v>
      </c>
    </row>
    <row r="137" spans="1:19" x14ac:dyDescent="0.35">
      <c r="A137" s="3">
        <v>1136</v>
      </c>
      <c r="B137" s="3" t="s">
        <v>167</v>
      </c>
      <c r="C137" s="4">
        <v>45509</v>
      </c>
      <c r="D137" s="3" t="s">
        <v>153</v>
      </c>
      <c r="E137" s="4">
        <v>45548</v>
      </c>
      <c r="F137" s="4">
        <v>45552</v>
      </c>
      <c r="G137" s="3" t="s">
        <v>42</v>
      </c>
      <c r="H137" s="3" t="s">
        <v>21</v>
      </c>
      <c r="I137" s="3" t="s">
        <v>22</v>
      </c>
      <c r="J137" s="3" t="s">
        <v>23</v>
      </c>
      <c r="K137" s="3">
        <v>39</v>
      </c>
      <c r="L137" s="3">
        <v>4</v>
      </c>
      <c r="M137" s="3">
        <v>4675</v>
      </c>
      <c r="N137" s="3">
        <v>18700</v>
      </c>
      <c r="O137" s="3">
        <v>0</v>
      </c>
      <c r="P137" s="3" t="s">
        <v>51</v>
      </c>
      <c r="Q137" s="3">
        <v>1</v>
      </c>
      <c r="R137" s="3" t="str">
        <f t="shared" si="2"/>
        <v>Cancelled</v>
      </c>
      <c r="S137" s="3" t="s">
        <v>31</v>
      </c>
    </row>
    <row r="138" spans="1:19" x14ac:dyDescent="0.35">
      <c r="A138" s="3">
        <v>1137</v>
      </c>
      <c r="B138" s="3" t="s">
        <v>220</v>
      </c>
      <c r="C138" s="4">
        <v>45405</v>
      </c>
      <c r="D138" s="3" t="s">
        <v>185</v>
      </c>
      <c r="E138" s="4">
        <v>45432</v>
      </c>
      <c r="F138" s="4">
        <v>45437</v>
      </c>
      <c r="G138" s="3" t="s">
        <v>45</v>
      </c>
      <c r="H138" s="3" t="s">
        <v>35</v>
      </c>
      <c r="I138" s="3" t="s">
        <v>22</v>
      </c>
      <c r="J138" s="3" t="s">
        <v>23</v>
      </c>
      <c r="K138" s="3">
        <v>27</v>
      </c>
      <c r="L138" s="3">
        <v>5</v>
      </c>
      <c r="M138" s="3">
        <v>8045</v>
      </c>
      <c r="N138" s="3">
        <v>40225</v>
      </c>
      <c r="O138" s="3">
        <v>0</v>
      </c>
      <c r="P138" s="3" t="s">
        <v>51</v>
      </c>
      <c r="Q138" s="3">
        <v>1</v>
      </c>
      <c r="R138" s="3" t="str">
        <f t="shared" si="2"/>
        <v>Cancelled</v>
      </c>
      <c r="S138" s="3" t="s">
        <v>31</v>
      </c>
    </row>
    <row r="139" spans="1:19" x14ac:dyDescent="0.35">
      <c r="A139" s="3">
        <v>1138</v>
      </c>
      <c r="B139" s="3" t="s">
        <v>221</v>
      </c>
      <c r="C139" s="4">
        <v>45436</v>
      </c>
      <c r="D139" s="3" t="s">
        <v>98</v>
      </c>
      <c r="E139" s="4">
        <v>45462</v>
      </c>
      <c r="F139" s="4">
        <v>45465</v>
      </c>
      <c r="G139" s="3" t="s">
        <v>20</v>
      </c>
      <c r="H139" s="3" t="s">
        <v>60</v>
      </c>
      <c r="I139" s="3" t="s">
        <v>22</v>
      </c>
      <c r="J139" s="3" t="s">
        <v>23</v>
      </c>
      <c r="K139" s="3">
        <v>26</v>
      </c>
      <c r="L139" s="3">
        <v>3</v>
      </c>
      <c r="M139" s="3">
        <v>4082</v>
      </c>
      <c r="N139" s="3">
        <v>12246</v>
      </c>
      <c r="O139" s="3">
        <v>0</v>
      </c>
      <c r="P139" s="3" t="s">
        <v>51</v>
      </c>
      <c r="Q139" s="3">
        <v>1</v>
      </c>
      <c r="R139" s="3" t="str">
        <f t="shared" si="2"/>
        <v>Cancelled</v>
      </c>
      <c r="S139" s="3" t="s">
        <v>25</v>
      </c>
    </row>
    <row r="140" spans="1:19" x14ac:dyDescent="0.35">
      <c r="A140" s="3">
        <v>1139</v>
      </c>
      <c r="B140" s="3" t="s">
        <v>222</v>
      </c>
      <c r="C140" s="4">
        <v>45317</v>
      </c>
      <c r="D140" s="3" t="s">
        <v>33</v>
      </c>
      <c r="E140" s="4">
        <v>45331</v>
      </c>
      <c r="F140" s="4">
        <v>45332</v>
      </c>
      <c r="G140" s="3" t="s">
        <v>34</v>
      </c>
      <c r="H140" s="3" t="s">
        <v>29</v>
      </c>
      <c r="I140" s="3" t="s">
        <v>22</v>
      </c>
      <c r="J140" s="3" t="s">
        <v>46</v>
      </c>
      <c r="K140" s="3">
        <v>14</v>
      </c>
      <c r="L140" s="3">
        <v>1</v>
      </c>
      <c r="M140" s="3">
        <v>3064</v>
      </c>
      <c r="N140" s="3">
        <v>3064</v>
      </c>
      <c r="O140" s="3">
        <v>3064</v>
      </c>
      <c r="P140" s="3" t="s">
        <v>51</v>
      </c>
      <c r="Q140" s="3">
        <v>0</v>
      </c>
      <c r="R140" s="3" t="str">
        <f t="shared" si="2"/>
        <v>Not Cancelled</v>
      </c>
      <c r="S140" s="3" t="s">
        <v>31</v>
      </c>
    </row>
    <row r="141" spans="1:19" x14ac:dyDescent="0.35">
      <c r="A141" s="3">
        <v>1140</v>
      </c>
      <c r="B141" s="3" t="s">
        <v>212</v>
      </c>
      <c r="C141" s="4">
        <v>45427</v>
      </c>
      <c r="D141" s="3" t="s">
        <v>71</v>
      </c>
      <c r="E141" s="4">
        <v>45444</v>
      </c>
      <c r="F141" s="4">
        <v>45449</v>
      </c>
      <c r="G141" s="3" t="s">
        <v>45</v>
      </c>
      <c r="H141" s="3" t="s">
        <v>21</v>
      </c>
      <c r="I141" s="3" t="s">
        <v>22</v>
      </c>
      <c r="J141" s="3" t="s">
        <v>46</v>
      </c>
      <c r="K141" s="3">
        <v>17</v>
      </c>
      <c r="L141" s="3">
        <v>5</v>
      </c>
      <c r="M141" s="3">
        <v>5758</v>
      </c>
      <c r="N141" s="3">
        <v>28790</v>
      </c>
      <c r="O141" s="3">
        <v>28790</v>
      </c>
      <c r="P141" s="3" t="s">
        <v>51</v>
      </c>
      <c r="Q141" s="3">
        <v>0</v>
      </c>
      <c r="R141" s="3" t="str">
        <f t="shared" si="2"/>
        <v>Not Cancelled</v>
      </c>
      <c r="S141" s="3" t="s">
        <v>31</v>
      </c>
    </row>
    <row r="142" spans="1:19" x14ac:dyDescent="0.35">
      <c r="A142" s="3">
        <v>1141</v>
      </c>
      <c r="B142" s="3" t="s">
        <v>223</v>
      </c>
      <c r="C142" s="4">
        <v>45594</v>
      </c>
      <c r="D142" s="3" t="s">
        <v>27</v>
      </c>
      <c r="E142" s="4">
        <v>45612</v>
      </c>
      <c r="F142" s="4">
        <v>45613</v>
      </c>
      <c r="G142" s="3" t="s">
        <v>34</v>
      </c>
      <c r="H142" s="3" t="s">
        <v>35</v>
      </c>
      <c r="I142" s="3" t="s">
        <v>22</v>
      </c>
      <c r="J142" s="3" t="s">
        <v>46</v>
      </c>
      <c r="K142" s="3">
        <v>18</v>
      </c>
      <c r="L142" s="3">
        <v>1</v>
      </c>
      <c r="M142" s="3">
        <v>5097</v>
      </c>
      <c r="N142" s="3">
        <v>5097</v>
      </c>
      <c r="O142" s="3">
        <v>5097</v>
      </c>
      <c r="P142" s="3" t="s">
        <v>51</v>
      </c>
      <c r="Q142" s="3">
        <v>0</v>
      </c>
      <c r="R142" s="3" t="str">
        <f t="shared" si="2"/>
        <v>Not Cancelled</v>
      </c>
      <c r="S142" s="3" t="s">
        <v>31</v>
      </c>
    </row>
    <row r="143" spans="1:19" x14ac:dyDescent="0.35">
      <c r="A143" s="3">
        <v>1142</v>
      </c>
      <c r="B143" s="3" t="s">
        <v>224</v>
      </c>
      <c r="C143" s="4">
        <v>45523</v>
      </c>
      <c r="D143" s="3" t="s">
        <v>64</v>
      </c>
      <c r="E143" s="4">
        <v>45568</v>
      </c>
      <c r="F143" s="4">
        <v>45572</v>
      </c>
      <c r="G143" s="3" t="s">
        <v>42</v>
      </c>
      <c r="H143" s="3" t="s">
        <v>60</v>
      </c>
      <c r="I143" s="3" t="s">
        <v>22</v>
      </c>
      <c r="J143" s="3" t="s">
        <v>30</v>
      </c>
      <c r="K143" s="3">
        <v>45</v>
      </c>
      <c r="L143" s="3">
        <v>4</v>
      </c>
      <c r="M143" s="3">
        <v>5000</v>
      </c>
      <c r="N143" s="3">
        <v>20000</v>
      </c>
      <c r="O143" s="3">
        <v>0</v>
      </c>
      <c r="P143" s="3" t="s">
        <v>24</v>
      </c>
      <c r="Q143" s="3">
        <v>1</v>
      </c>
      <c r="R143" s="3" t="str">
        <f t="shared" si="2"/>
        <v>Cancelled</v>
      </c>
      <c r="S143" s="3" t="s">
        <v>25</v>
      </c>
    </row>
    <row r="144" spans="1:19" x14ac:dyDescent="0.35">
      <c r="A144" s="3">
        <v>1143</v>
      </c>
      <c r="B144" s="3" t="s">
        <v>225</v>
      </c>
      <c r="C144" s="4">
        <v>45367</v>
      </c>
      <c r="D144" s="3" t="s">
        <v>226</v>
      </c>
      <c r="E144" s="4">
        <v>45419</v>
      </c>
      <c r="F144" s="4">
        <v>45424</v>
      </c>
      <c r="G144" s="3" t="s">
        <v>45</v>
      </c>
      <c r="H144" s="3" t="s">
        <v>35</v>
      </c>
      <c r="I144" s="3" t="s">
        <v>39</v>
      </c>
      <c r="J144" s="3" t="s">
        <v>46</v>
      </c>
      <c r="K144" s="3">
        <v>52</v>
      </c>
      <c r="L144" s="3">
        <v>5</v>
      </c>
      <c r="M144" s="3">
        <v>7066</v>
      </c>
      <c r="N144" s="3">
        <v>35330</v>
      </c>
      <c r="O144" s="3">
        <v>0</v>
      </c>
      <c r="P144" s="3" t="s">
        <v>51</v>
      </c>
      <c r="Q144" s="3">
        <v>1</v>
      </c>
      <c r="R144" s="3" t="str">
        <f t="shared" si="2"/>
        <v>Cancelled</v>
      </c>
      <c r="S144" s="3" t="s">
        <v>25</v>
      </c>
    </row>
    <row r="145" spans="1:19" x14ac:dyDescent="0.35">
      <c r="A145" s="3">
        <v>1144</v>
      </c>
      <c r="B145" s="3" t="s">
        <v>227</v>
      </c>
      <c r="C145" s="4">
        <v>45619</v>
      </c>
      <c r="D145" s="3" t="s">
        <v>57</v>
      </c>
      <c r="E145" s="4">
        <v>45648</v>
      </c>
      <c r="F145" s="4">
        <v>45653</v>
      </c>
      <c r="G145" s="3" t="s">
        <v>45</v>
      </c>
      <c r="H145" s="3" t="s">
        <v>38</v>
      </c>
      <c r="I145" s="3" t="s">
        <v>39</v>
      </c>
      <c r="J145" s="3" t="s">
        <v>46</v>
      </c>
      <c r="K145" s="3">
        <v>29</v>
      </c>
      <c r="L145" s="3">
        <v>5</v>
      </c>
      <c r="M145" s="3">
        <v>3487</v>
      </c>
      <c r="N145" s="3">
        <v>17435</v>
      </c>
      <c r="O145" s="3">
        <v>0</v>
      </c>
      <c r="P145" s="3" t="s">
        <v>24</v>
      </c>
      <c r="Q145" s="3">
        <v>1</v>
      </c>
      <c r="R145" s="3" t="str">
        <f t="shared" si="2"/>
        <v>Cancelled</v>
      </c>
      <c r="S145" s="3" t="s">
        <v>25</v>
      </c>
    </row>
    <row r="146" spans="1:19" x14ac:dyDescent="0.35">
      <c r="A146" s="3">
        <v>1145</v>
      </c>
      <c r="B146" s="3" t="s">
        <v>228</v>
      </c>
      <c r="C146" s="4">
        <v>45636</v>
      </c>
      <c r="D146" s="3" t="s">
        <v>157</v>
      </c>
      <c r="E146" s="4">
        <v>45656</v>
      </c>
      <c r="F146" s="4">
        <v>45658</v>
      </c>
      <c r="G146" s="3" t="s">
        <v>28</v>
      </c>
      <c r="H146" s="3" t="s">
        <v>21</v>
      </c>
      <c r="I146" s="3" t="s">
        <v>39</v>
      </c>
      <c r="J146" s="3" t="s">
        <v>23</v>
      </c>
      <c r="K146" s="3">
        <v>20</v>
      </c>
      <c r="L146" s="3">
        <v>2</v>
      </c>
      <c r="M146" s="3">
        <v>6136</v>
      </c>
      <c r="N146" s="3">
        <v>12272</v>
      </c>
      <c r="O146" s="3">
        <v>0</v>
      </c>
      <c r="P146" s="3" t="s">
        <v>24</v>
      </c>
      <c r="Q146" s="3">
        <v>1</v>
      </c>
      <c r="R146" s="3" t="str">
        <f t="shared" si="2"/>
        <v>Cancelled</v>
      </c>
      <c r="S146" s="3" t="s">
        <v>31</v>
      </c>
    </row>
    <row r="147" spans="1:19" x14ac:dyDescent="0.35">
      <c r="A147" s="3">
        <v>1146</v>
      </c>
      <c r="B147" s="3" t="s">
        <v>229</v>
      </c>
      <c r="C147" s="4">
        <v>45593</v>
      </c>
      <c r="D147" s="3" t="s">
        <v>133</v>
      </c>
      <c r="E147" s="4">
        <v>45646</v>
      </c>
      <c r="F147" s="4">
        <v>45650</v>
      </c>
      <c r="G147" s="3" t="s">
        <v>42</v>
      </c>
      <c r="H147" s="3" t="s">
        <v>29</v>
      </c>
      <c r="I147" s="3" t="s">
        <v>39</v>
      </c>
      <c r="J147" s="3" t="s">
        <v>30</v>
      </c>
      <c r="K147" s="3">
        <v>53</v>
      </c>
      <c r="L147" s="3">
        <v>4</v>
      </c>
      <c r="M147" s="3">
        <v>8530</v>
      </c>
      <c r="N147" s="3">
        <v>34120</v>
      </c>
      <c r="O147" s="3">
        <v>0</v>
      </c>
      <c r="P147" s="3" t="s">
        <v>24</v>
      </c>
      <c r="Q147" s="3">
        <v>1</v>
      </c>
      <c r="R147" s="3" t="str">
        <f t="shared" si="2"/>
        <v>Cancelled</v>
      </c>
      <c r="S147" s="3" t="s">
        <v>31</v>
      </c>
    </row>
    <row r="148" spans="1:19" x14ac:dyDescent="0.35">
      <c r="A148" s="3">
        <v>1147</v>
      </c>
      <c r="B148" s="3" t="s">
        <v>230</v>
      </c>
      <c r="C148" s="4">
        <v>45580</v>
      </c>
      <c r="D148" s="3" t="s">
        <v>185</v>
      </c>
      <c r="E148" s="4">
        <v>45607</v>
      </c>
      <c r="F148" s="4">
        <v>45611</v>
      </c>
      <c r="G148" s="3" t="s">
        <v>42</v>
      </c>
      <c r="H148" s="3" t="s">
        <v>60</v>
      </c>
      <c r="I148" s="3" t="s">
        <v>22</v>
      </c>
      <c r="J148" s="3" t="s">
        <v>30</v>
      </c>
      <c r="K148" s="3">
        <v>27</v>
      </c>
      <c r="L148" s="3">
        <v>4</v>
      </c>
      <c r="M148" s="3">
        <v>2723</v>
      </c>
      <c r="N148" s="3">
        <v>10892</v>
      </c>
      <c r="O148" s="3">
        <v>10892</v>
      </c>
      <c r="P148" s="3" t="s">
        <v>24</v>
      </c>
      <c r="Q148" s="3">
        <v>0</v>
      </c>
      <c r="R148" s="3" t="str">
        <f t="shared" si="2"/>
        <v>Not Cancelled</v>
      </c>
      <c r="S148" s="3" t="s">
        <v>31</v>
      </c>
    </row>
    <row r="149" spans="1:19" x14ac:dyDescent="0.35">
      <c r="A149" s="3">
        <v>1148</v>
      </c>
      <c r="B149" s="3" t="s">
        <v>231</v>
      </c>
      <c r="C149" s="4">
        <v>45292</v>
      </c>
      <c r="D149" s="3" t="s">
        <v>27</v>
      </c>
      <c r="E149" s="4">
        <v>45310</v>
      </c>
      <c r="F149" s="4">
        <v>45315</v>
      </c>
      <c r="G149" s="3" t="s">
        <v>45</v>
      </c>
      <c r="H149" s="3" t="s">
        <v>35</v>
      </c>
      <c r="I149" s="3" t="s">
        <v>39</v>
      </c>
      <c r="J149" s="3" t="s">
        <v>23</v>
      </c>
      <c r="K149" s="3">
        <v>18</v>
      </c>
      <c r="L149" s="3">
        <v>5</v>
      </c>
      <c r="M149" s="3">
        <v>8797</v>
      </c>
      <c r="N149" s="3">
        <v>43985</v>
      </c>
      <c r="O149" s="3">
        <v>0</v>
      </c>
      <c r="P149" s="3" t="s">
        <v>24</v>
      </c>
      <c r="Q149" s="3">
        <v>1</v>
      </c>
      <c r="R149" s="3" t="str">
        <f t="shared" si="2"/>
        <v>Cancelled</v>
      </c>
      <c r="S149" s="3" t="s">
        <v>25</v>
      </c>
    </row>
    <row r="150" spans="1:19" x14ac:dyDescent="0.35">
      <c r="A150" s="3">
        <v>1149</v>
      </c>
      <c r="B150" s="3" t="s">
        <v>232</v>
      </c>
      <c r="C150" s="4">
        <v>45438</v>
      </c>
      <c r="D150" s="3" t="s">
        <v>42</v>
      </c>
      <c r="E150" s="4">
        <v>45442</v>
      </c>
      <c r="F150" s="4">
        <v>45446</v>
      </c>
      <c r="G150" s="3" t="s">
        <v>42</v>
      </c>
      <c r="H150" s="3" t="s">
        <v>21</v>
      </c>
      <c r="I150" s="3" t="s">
        <v>39</v>
      </c>
      <c r="J150" s="3" t="s">
        <v>30</v>
      </c>
      <c r="K150" s="3">
        <v>4</v>
      </c>
      <c r="L150" s="3">
        <v>4</v>
      </c>
      <c r="M150" s="3">
        <v>2850</v>
      </c>
      <c r="N150" s="3">
        <v>11400</v>
      </c>
      <c r="O150" s="3">
        <v>11400</v>
      </c>
      <c r="P150" s="3" t="s">
        <v>51</v>
      </c>
      <c r="Q150" s="3">
        <v>0</v>
      </c>
      <c r="R150" s="3" t="str">
        <f t="shared" si="2"/>
        <v>Not Cancelled</v>
      </c>
      <c r="S150" s="3" t="s">
        <v>31</v>
      </c>
    </row>
    <row r="151" spans="1:19" x14ac:dyDescent="0.35">
      <c r="A151" s="3">
        <v>1150</v>
      </c>
      <c r="B151" s="3" t="s">
        <v>233</v>
      </c>
      <c r="C151" s="4">
        <v>45578</v>
      </c>
      <c r="D151" s="3" t="s">
        <v>34</v>
      </c>
      <c r="E151" s="4">
        <v>45579</v>
      </c>
      <c r="F151" s="4">
        <v>45584</v>
      </c>
      <c r="G151" s="3" t="s">
        <v>45</v>
      </c>
      <c r="H151" s="3" t="s">
        <v>35</v>
      </c>
      <c r="I151" s="3" t="s">
        <v>39</v>
      </c>
      <c r="J151" s="3" t="s">
        <v>46</v>
      </c>
      <c r="K151" s="3">
        <v>1</v>
      </c>
      <c r="L151" s="3">
        <v>5</v>
      </c>
      <c r="M151" s="3">
        <v>4428</v>
      </c>
      <c r="N151" s="3">
        <v>22140</v>
      </c>
      <c r="O151" s="3">
        <v>22140</v>
      </c>
      <c r="P151" s="3" t="s">
        <v>24</v>
      </c>
      <c r="Q151" s="3">
        <v>0</v>
      </c>
      <c r="R151" s="3" t="str">
        <f t="shared" si="2"/>
        <v>Not Cancelled</v>
      </c>
      <c r="S151" s="3" t="s">
        <v>25</v>
      </c>
    </row>
    <row r="152" spans="1:19" x14ac:dyDescent="0.35">
      <c r="A152" s="3">
        <v>1151</v>
      </c>
      <c r="B152" s="3" t="s">
        <v>234</v>
      </c>
      <c r="C152" s="4">
        <v>45433</v>
      </c>
      <c r="D152" s="3" t="s">
        <v>78</v>
      </c>
      <c r="E152" s="4">
        <v>45483</v>
      </c>
      <c r="F152" s="4">
        <v>45485</v>
      </c>
      <c r="G152" s="3" t="s">
        <v>28</v>
      </c>
      <c r="H152" s="3" t="s">
        <v>21</v>
      </c>
      <c r="I152" s="3" t="s">
        <v>39</v>
      </c>
      <c r="J152" s="3" t="s">
        <v>30</v>
      </c>
      <c r="K152" s="3">
        <v>50</v>
      </c>
      <c r="L152" s="3">
        <v>2</v>
      </c>
      <c r="M152" s="3">
        <v>2848</v>
      </c>
      <c r="N152" s="3">
        <v>5696</v>
      </c>
      <c r="O152" s="3">
        <v>0</v>
      </c>
      <c r="P152" s="3" t="s">
        <v>24</v>
      </c>
      <c r="Q152" s="3">
        <v>1</v>
      </c>
      <c r="R152" s="3" t="str">
        <f t="shared" si="2"/>
        <v>Cancelled</v>
      </c>
      <c r="S152" s="3" t="s">
        <v>25</v>
      </c>
    </row>
    <row r="153" spans="1:19" x14ac:dyDescent="0.35">
      <c r="A153" s="3">
        <v>1152</v>
      </c>
      <c r="B153" s="3" t="s">
        <v>235</v>
      </c>
      <c r="C153" s="4">
        <v>45344</v>
      </c>
      <c r="D153" s="3" t="s">
        <v>34</v>
      </c>
      <c r="E153" s="4">
        <v>45345</v>
      </c>
      <c r="F153" s="4">
        <v>45350</v>
      </c>
      <c r="G153" s="3" t="s">
        <v>45</v>
      </c>
      <c r="H153" s="3" t="s">
        <v>38</v>
      </c>
      <c r="I153" s="3" t="s">
        <v>39</v>
      </c>
      <c r="J153" s="3" t="s">
        <v>23</v>
      </c>
      <c r="K153" s="3">
        <v>1</v>
      </c>
      <c r="L153" s="3">
        <v>5</v>
      </c>
      <c r="M153" s="3">
        <v>6777</v>
      </c>
      <c r="N153" s="3">
        <v>33885</v>
      </c>
      <c r="O153" s="3">
        <v>0</v>
      </c>
      <c r="P153" s="3" t="s">
        <v>24</v>
      </c>
      <c r="Q153" s="3">
        <v>1</v>
      </c>
      <c r="R153" s="3" t="str">
        <f t="shared" si="2"/>
        <v>Cancelled</v>
      </c>
      <c r="S153" s="3" t="s">
        <v>25</v>
      </c>
    </row>
    <row r="154" spans="1:19" x14ac:dyDescent="0.35">
      <c r="A154" s="3">
        <v>1153</v>
      </c>
      <c r="B154" s="3" t="s">
        <v>236</v>
      </c>
      <c r="C154" s="4">
        <v>45595</v>
      </c>
      <c r="D154" s="3" t="s">
        <v>237</v>
      </c>
      <c r="E154" s="4">
        <v>45653</v>
      </c>
      <c r="F154" s="4">
        <v>45657</v>
      </c>
      <c r="G154" s="3" t="s">
        <v>42</v>
      </c>
      <c r="H154" s="3" t="s">
        <v>35</v>
      </c>
      <c r="I154" s="3" t="s">
        <v>22</v>
      </c>
      <c r="J154" s="3" t="s">
        <v>30</v>
      </c>
      <c r="K154" s="3">
        <v>58</v>
      </c>
      <c r="L154" s="3">
        <v>4</v>
      </c>
      <c r="M154" s="3">
        <v>7232</v>
      </c>
      <c r="N154" s="3">
        <v>28928</v>
      </c>
      <c r="O154" s="3">
        <v>0</v>
      </c>
      <c r="P154" s="3" t="s">
        <v>51</v>
      </c>
      <c r="Q154" s="3">
        <v>1</v>
      </c>
      <c r="R154" s="3" t="str">
        <f t="shared" si="2"/>
        <v>Cancelled</v>
      </c>
      <c r="S154" s="3" t="s">
        <v>25</v>
      </c>
    </row>
    <row r="155" spans="1:19" x14ac:dyDescent="0.35">
      <c r="A155" s="3">
        <v>1154</v>
      </c>
      <c r="B155" s="3" t="s">
        <v>238</v>
      </c>
      <c r="C155" s="4">
        <v>45360</v>
      </c>
      <c r="D155" s="3" t="s">
        <v>98</v>
      </c>
      <c r="E155" s="4">
        <v>45386</v>
      </c>
      <c r="F155" s="4">
        <v>45390</v>
      </c>
      <c r="G155" s="3" t="s">
        <v>42</v>
      </c>
      <c r="H155" s="3" t="s">
        <v>38</v>
      </c>
      <c r="I155" s="3" t="s">
        <v>22</v>
      </c>
      <c r="J155" s="3" t="s">
        <v>23</v>
      </c>
      <c r="K155" s="3">
        <v>26</v>
      </c>
      <c r="L155" s="3">
        <v>4</v>
      </c>
      <c r="M155" s="3">
        <v>3517</v>
      </c>
      <c r="N155" s="3">
        <v>14068</v>
      </c>
      <c r="O155" s="3">
        <v>0</v>
      </c>
      <c r="P155" s="3" t="s">
        <v>24</v>
      </c>
      <c r="Q155" s="3">
        <v>1</v>
      </c>
      <c r="R155" s="3" t="str">
        <f t="shared" si="2"/>
        <v>Cancelled</v>
      </c>
      <c r="S155" s="3" t="s">
        <v>25</v>
      </c>
    </row>
    <row r="156" spans="1:19" x14ac:dyDescent="0.35">
      <c r="A156" s="3">
        <v>1155</v>
      </c>
      <c r="B156" s="3" t="s">
        <v>239</v>
      </c>
      <c r="C156" s="4">
        <v>45652</v>
      </c>
      <c r="D156" s="3" t="s">
        <v>64</v>
      </c>
      <c r="E156" s="4">
        <v>45697</v>
      </c>
      <c r="F156" s="4">
        <v>45702</v>
      </c>
      <c r="G156" s="3" t="s">
        <v>45</v>
      </c>
      <c r="H156" s="3" t="s">
        <v>60</v>
      </c>
      <c r="I156" s="3" t="s">
        <v>39</v>
      </c>
      <c r="J156" s="3" t="s">
        <v>46</v>
      </c>
      <c r="K156" s="3">
        <v>45</v>
      </c>
      <c r="L156" s="3">
        <v>5</v>
      </c>
      <c r="M156" s="3">
        <v>4726</v>
      </c>
      <c r="N156" s="3">
        <v>23630</v>
      </c>
      <c r="O156" s="3">
        <v>0</v>
      </c>
      <c r="P156" s="3" t="s">
        <v>24</v>
      </c>
      <c r="Q156" s="3">
        <v>1</v>
      </c>
      <c r="R156" s="3" t="str">
        <f t="shared" si="2"/>
        <v>Cancelled</v>
      </c>
      <c r="S156" s="3" t="s">
        <v>31</v>
      </c>
    </row>
    <row r="157" spans="1:19" x14ac:dyDescent="0.35">
      <c r="A157" s="3">
        <v>1156</v>
      </c>
      <c r="B157" s="3" t="s">
        <v>240</v>
      </c>
      <c r="C157" s="4">
        <v>45381</v>
      </c>
      <c r="D157" s="3" t="s">
        <v>157</v>
      </c>
      <c r="E157" s="4">
        <v>45401</v>
      </c>
      <c r="F157" s="4">
        <v>45406</v>
      </c>
      <c r="G157" s="3" t="s">
        <v>45</v>
      </c>
      <c r="H157" s="3" t="s">
        <v>38</v>
      </c>
      <c r="I157" s="3" t="s">
        <v>39</v>
      </c>
      <c r="J157" s="3" t="s">
        <v>46</v>
      </c>
      <c r="K157" s="3">
        <v>20</v>
      </c>
      <c r="L157" s="3">
        <v>5</v>
      </c>
      <c r="M157" s="3">
        <v>7367</v>
      </c>
      <c r="N157" s="3">
        <v>36835</v>
      </c>
      <c r="O157" s="3">
        <v>0</v>
      </c>
      <c r="P157" s="3" t="s">
        <v>24</v>
      </c>
      <c r="Q157" s="3">
        <v>1</v>
      </c>
      <c r="R157" s="3" t="str">
        <f t="shared" si="2"/>
        <v>Cancelled</v>
      </c>
      <c r="S157" s="3" t="s">
        <v>31</v>
      </c>
    </row>
    <row r="158" spans="1:19" x14ac:dyDescent="0.35">
      <c r="A158" s="3">
        <v>1157</v>
      </c>
      <c r="B158" s="3" t="s">
        <v>241</v>
      </c>
      <c r="C158" s="4">
        <v>45511</v>
      </c>
      <c r="D158" s="3" t="s">
        <v>226</v>
      </c>
      <c r="E158" s="4">
        <v>45563</v>
      </c>
      <c r="F158" s="4">
        <v>45568</v>
      </c>
      <c r="G158" s="3" t="s">
        <v>45</v>
      </c>
      <c r="H158" s="3" t="s">
        <v>21</v>
      </c>
      <c r="I158" s="3" t="s">
        <v>39</v>
      </c>
      <c r="J158" s="3" t="s">
        <v>23</v>
      </c>
      <c r="K158" s="3">
        <v>52</v>
      </c>
      <c r="L158" s="3">
        <v>5</v>
      </c>
      <c r="M158" s="3">
        <v>7611</v>
      </c>
      <c r="N158" s="3">
        <v>38055</v>
      </c>
      <c r="O158" s="3">
        <v>0</v>
      </c>
      <c r="P158" s="3" t="s">
        <v>24</v>
      </c>
      <c r="Q158" s="3">
        <v>1</v>
      </c>
      <c r="R158" s="3" t="str">
        <f t="shared" si="2"/>
        <v>Cancelled</v>
      </c>
      <c r="S158" s="3" t="s">
        <v>25</v>
      </c>
    </row>
    <row r="159" spans="1:19" x14ac:dyDescent="0.35">
      <c r="A159" s="3">
        <v>1158</v>
      </c>
      <c r="B159" s="3" t="s">
        <v>200</v>
      </c>
      <c r="C159" s="4">
        <v>45483</v>
      </c>
      <c r="D159" s="3" t="s">
        <v>111</v>
      </c>
      <c r="E159" s="4">
        <v>45506</v>
      </c>
      <c r="F159" s="4">
        <v>45509</v>
      </c>
      <c r="G159" s="3" t="s">
        <v>20</v>
      </c>
      <c r="H159" s="3" t="s">
        <v>60</v>
      </c>
      <c r="I159" s="3" t="s">
        <v>39</v>
      </c>
      <c r="J159" s="3" t="s">
        <v>46</v>
      </c>
      <c r="K159" s="3">
        <v>23</v>
      </c>
      <c r="L159" s="3">
        <v>3</v>
      </c>
      <c r="M159" s="3">
        <v>8707</v>
      </c>
      <c r="N159" s="3">
        <v>26121</v>
      </c>
      <c r="O159" s="3">
        <v>26121</v>
      </c>
      <c r="P159" s="3" t="s">
        <v>51</v>
      </c>
      <c r="Q159" s="3">
        <v>0</v>
      </c>
      <c r="R159" s="3" t="str">
        <f t="shared" si="2"/>
        <v>Not Cancelled</v>
      </c>
      <c r="S159" s="3" t="s">
        <v>31</v>
      </c>
    </row>
    <row r="160" spans="1:19" x14ac:dyDescent="0.35">
      <c r="A160" s="3">
        <v>1159</v>
      </c>
      <c r="B160" s="3" t="s">
        <v>242</v>
      </c>
      <c r="C160" s="4">
        <v>45354</v>
      </c>
      <c r="D160" s="3" t="s">
        <v>37</v>
      </c>
      <c r="E160" s="4">
        <v>45364</v>
      </c>
      <c r="F160" s="4">
        <v>45368</v>
      </c>
      <c r="G160" s="3" t="s">
        <v>42</v>
      </c>
      <c r="H160" s="3" t="s">
        <v>35</v>
      </c>
      <c r="I160" s="3" t="s">
        <v>22</v>
      </c>
      <c r="J160" s="3" t="s">
        <v>46</v>
      </c>
      <c r="K160" s="3">
        <v>10</v>
      </c>
      <c r="L160" s="3">
        <v>4</v>
      </c>
      <c r="M160" s="3">
        <v>6624</v>
      </c>
      <c r="N160" s="3">
        <v>26496</v>
      </c>
      <c r="O160" s="3">
        <v>26496</v>
      </c>
      <c r="P160" s="3" t="s">
        <v>24</v>
      </c>
      <c r="Q160" s="3">
        <v>0</v>
      </c>
      <c r="R160" s="3" t="str">
        <f t="shared" si="2"/>
        <v>Not Cancelled</v>
      </c>
      <c r="S160" s="3" t="s">
        <v>31</v>
      </c>
    </row>
    <row r="161" spans="1:19" x14ac:dyDescent="0.35">
      <c r="A161" s="3">
        <v>1160</v>
      </c>
      <c r="B161" s="3" t="s">
        <v>243</v>
      </c>
      <c r="C161" s="4">
        <v>45364</v>
      </c>
      <c r="D161" s="3" t="s">
        <v>96</v>
      </c>
      <c r="E161" s="4">
        <v>45423</v>
      </c>
      <c r="F161" s="4">
        <v>45427</v>
      </c>
      <c r="G161" s="3" t="s">
        <v>42</v>
      </c>
      <c r="H161" s="3" t="s">
        <v>35</v>
      </c>
      <c r="I161" s="3" t="s">
        <v>39</v>
      </c>
      <c r="J161" s="3" t="s">
        <v>30</v>
      </c>
      <c r="K161" s="3">
        <v>59</v>
      </c>
      <c r="L161" s="3">
        <v>4</v>
      </c>
      <c r="M161" s="3">
        <v>4919</v>
      </c>
      <c r="N161" s="3">
        <v>19676</v>
      </c>
      <c r="O161" s="3">
        <v>19676</v>
      </c>
      <c r="P161" s="3" t="s">
        <v>51</v>
      </c>
      <c r="Q161" s="3">
        <v>0</v>
      </c>
      <c r="R161" s="3" t="str">
        <f t="shared" si="2"/>
        <v>Not Cancelled</v>
      </c>
      <c r="S161" s="3" t="s">
        <v>25</v>
      </c>
    </row>
    <row r="162" spans="1:19" x14ac:dyDescent="0.35">
      <c r="A162" s="3">
        <v>1161</v>
      </c>
      <c r="B162" s="3" t="s">
        <v>244</v>
      </c>
      <c r="C162" s="4">
        <v>45452</v>
      </c>
      <c r="D162" s="3" t="s">
        <v>75</v>
      </c>
      <c r="E162" s="4">
        <v>45463</v>
      </c>
      <c r="F162" s="4">
        <v>45466</v>
      </c>
      <c r="G162" s="3" t="s">
        <v>20</v>
      </c>
      <c r="H162" s="3" t="s">
        <v>21</v>
      </c>
      <c r="I162" s="3" t="s">
        <v>22</v>
      </c>
      <c r="J162" s="3" t="s">
        <v>46</v>
      </c>
      <c r="K162" s="3">
        <v>11</v>
      </c>
      <c r="L162" s="3">
        <v>3</v>
      </c>
      <c r="M162" s="3">
        <v>8740</v>
      </c>
      <c r="N162" s="3">
        <v>26220</v>
      </c>
      <c r="O162" s="3">
        <v>0</v>
      </c>
      <c r="P162" s="3" t="s">
        <v>51</v>
      </c>
      <c r="Q162" s="3">
        <v>1</v>
      </c>
      <c r="R162" s="3" t="str">
        <f t="shared" si="2"/>
        <v>Cancelled</v>
      </c>
      <c r="S162" s="3" t="s">
        <v>25</v>
      </c>
    </row>
    <row r="163" spans="1:19" x14ac:dyDescent="0.35">
      <c r="A163" s="3">
        <v>1162</v>
      </c>
      <c r="B163" s="3" t="s">
        <v>245</v>
      </c>
      <c r="C163" s="4">
        <v>45460</v>
      </c>
      <c r="D163" s="3" t="s">
        <v>86</v>
      </c>
      <c r="E163" s="4">
        <v>45501</v>
      </c>
      <c r="F163" s="4">
        <v>45506</v>
      </c>
      <c r="G163" s="3" t="s">
        <v>45</v>
      </c>
      <c r="H163" s="3" t="s">
        <v>29</v>
      </c>
      <c r="I163" s="3" t="s">
        <v>39</v>
      </c>
      <c r="J163" s="3" t="s">
        <v>23</v>
      </c>
      <c r="K163" s="3">
        <v>41</v>
      </c>
      <c r="L163" s="3">
        <v>5</v>
      </c>
      <c r="M163" s="3">
        <v>4393</v>
      </c>
      <c r="N163" s="3">
        <v>21965</v>
      </c>
      <c r="O163" s="3">
        <v>0</v>
      </c>
      <c r="P163" s="3" t="s">
        <v>24</v>
      </c>
      <c r="Q163" s="3">
        <v>1</v>
      </c>
      <c r="R163" s="3" t="str">
        <f t="shared" si="2"/>
        <v>Cancelled</v>
      </c>
      <c r="S163" s="3" t="s">
        <v>31</v>
      </c>
    </row>
    <row r="164" spans="1:19" x14ac:dyDescent="0.35">
      <c r="A164" s="3">
        <v>1163</v>
      </c>
      <c r="B164" s="3" t="s">
        <v>246</v>
      </c>
      <c r="C164" s="4">
        <v>45380</v>
      </c>
      <c r="D164" s="3" t="s">
        <v>86</v>
      </c>
      <c r="E164" s="4">
        <v>45421</v>
      </c>
      <c r="F164" s="4">
        <v>45423</v>
      </c>
      <c r="G164" s="3" t="s">
        <v>28</v>
      </c>
      <c r="H164" s="3" t="s">
        <v>29</v>
      </c>
      <c r="I164" s="3" t="s">
        <v>22</v>
      </c>
      <c r="J164" s="3" t="s">
        <v>46</v>
      </c>
      <c r="K164" s="3">
        <v>41</v>
      </c>
      <c r="L164" s="3">
        <v>2</v>
      </c>
      <c r="M164" s="3">
        <v>8061</v>
      </c>
      <c r="N164" s="3">
        <v>16122</v>
      </c>
      <c r="O164" s="3">
        <v>0</v>
      </c>
      <c r="P164" s="3" t="s">
        <v>24</v>
      </c>
      <c r="Q164" s="3">
        <v>1</v>
      </c>
      <c r="R164" s="3" t="str">
        <f t="shared" si="2"/>
        <v>Cancelled</v>
      </c>
      <c r="S164" s="3" t="s">
        <v>31</v>
      </c>
    </row>
    <row r="165" spans="1:19" x14ac:dyDescent="0.35">
      <c r="A165" s="3">
        <v>1164</v>
      </c>
      <c r="B165" s="3" t="s">
        <v>247</v>
      </c>
      <c r="C165" s="4">
        <v>45467</v>
      </c>
      <c r="D165" s="3" t="s">
        <v>45</v>
      </c>
      <c r="E165" s="4">
        <v>45472</v>
      </c>
      <c r="F165" s="4">
        <v>45477</v>
      </c>
      <c r="G165" s="3" t="s">
        <v>45</v>
      </c>
      <c r="H165" s="3" t="s">
        <v>35</v>
      </c>
      <c r="I165" s="3" t="s">
        <v>22</v>
      </c>
      <c r="J165" s="3" t="s">
        <v>30</v>
      </c>
      <c r="K165" s="3">
        <v>5</v>
      </c>
      <c r="L165" s="3">
        <v>5</v>
      </c>
      <c r="M165" s="3">
        <v>7822</v>
      </c>
      <c r="N165" s="3">
        <v>39110</v>
      </c>
      <c r="O165" s="3">
        <v>0</v>
      </c>
      <c r="P165" s="3" t="s">
        <v>51</v>
      </c>
      <c r="Q165" s="3">
        <v>1</v>
      </c>
      <c r="R165" s="3" t="str">
        <f t="shared" si="2"/>
        <v>Cancelled</v>
      </c>
      <c r="S165" s="3" t="s">
        <v>31</v>
      </c>
    </row>
    <row r="166" spans="1:19" x14ac:dyDescent="0.35">
      <c r="A166" s="3">
        <v>1165</v>
      </c>
      <c r="B166" s="3" t="s">
        <v>248</v>
      </c>
      <c r="C166" s="4">
        <v>45560</v>
      </c>
      <c r="D166" s="3" t="s">
        <v>237</v>
      </c>
      <c r="E166" s="4">
        <v>45618</v>
      </c>
      <c r="F166" s="4">
        <v>45623</v>
      </c>
      <c r="G166" s="3" t="s">
        <v>45</v>
      </c>
      <c r="H166" s="3" t="s">
        <v>21</v>
      </c>
      <c r="I166" s="3" t="s">
        <v>22</v>
      </c>
      <c r="J166" s="3" t="s">
        <v>23</v>
      </c>
      <c r="K166" s="3">
        <v>58</v>
      </c>
      <c r="L166" s="3">
        <v>5</v>
      </c>
      <c r="M166" s="3">
        <v>5540</v>
      </c>
      <c r="N166" s="3">
        <v>27700</v>
      </c>
      <c r="O166" s="3">
        <v>27700</v>
      </c>
      <c r="P166" s="3" t="s">
        <v>24</v>
      </c>
      <c r="Q166" s="3">
        <v>0</v>
      </c>
      <c r="R166" s="3" t="str">
        <f t="shared" si="2"/>
        <v>Not Cancelled</v>
      </c>
      <c r="S166" s="3" t="s">
        <v>31</v>
      </c>
    </row>
    <row r="167" spans="1:19" x14ac:dyDescent="0.35">
      <c r="A167" s="3">
        <v>1166</v>
      </c>
      <c r="B167" s="3" t="s">
        <v>249</v>
      </c>
      <c r="C167" s="4">
        <v>45364</v>
      </c>
      <c r="D167" s="3" t="s">
        <v>34</v>
      </c>
      <c r="E167" s="4">
        <v>45365</v>
      </c>
      <c r="F167" s="4">
        <v>45368</v>
      </c>
      <c r="G167" s="3" t="s">
        <v>20</v>
      </c>
      <c r="H167" s="3" t="s">
        <v>29</v>
      </c>
      <c r="I167" s="3" t="s">
        <v>39</v>
      </c>
      <c r="J167" s="3" t="s">
        <v>46</v>
      </c>
      <c r="K167" s="3">
        <v>1</v>
      </c>
      <c r="L167" s="3">
        <v>3</v>
      </c>
      <c r="M167" s="3">
        <v>4568</v>
      </c>
      <c r="N167" s="3">
        <v>13704</v>
      </c>
      <c r="O167" s="3">
        <v>0</v>
      </c>
      <c r="P167" s="3" t="s">
        <v>24</v>
      </c>
      <c r="Q167" s="3">
        <v>1</v>
      </c>
      <c r="R167" s="3" t="str">
        <f t="shared" si="2"/>
        <v>Cancelled</v>
      </c>
      <c r="S167" s="3" t="s">
        <v>25</v>
      </c>
    </row>
    <row r="168" spans="1:19" x14ac:dyDescent="0.35">
      <c r="A168" s="3">
        <v>1167</v>
      </c>
      <c r="B168" s="3" t="s">
        <v>250</v>
      </c>
      <c r="C168" s="4">
        <v>45536</v>
      </c>
      <c r="D168" s="3" t="s">
        <v>71</v>
      </c>
      <c r="E168" s="4">
        <v>45553</v>
      </c>
      <c r="F168" s="4">
        <v>45557</v>
      </c>
      <c r="G168" s="3" t="s">
        <v>42</v>
      </c>
      <c r="H168" s="3" t="s">
        <v>38</v>
      </c>
      <c r="I168" s="3" t="s">
        <v>39</v>
      </c>
      <c r="J168" s="3" t="s">
        <v>46</v>
      </c>
      <c r="K168" s="3">
        <v>17</v>
      </c>
      <c r="L168" s="3">
        <v>4</v>
      </c>
      <c r="M168" s="3">
        <v>3625</v>
      </c>
      <c r="N168" s="3">
        <v>14500</v>
      </c>
      <c r="O168" s="3">
        <v>14500</v>
      </c>
      <c r="P168" s="3" t="s">
        <v>24</v>
      </c>
      <c r="Q168" s="3">
        <v>0</v>
      </c>
      <c r="R168" s="3" t="str">
        <f t="shared" si="2"/>
        <v>Not Cancelled</v>
      </c>
      <c r="S168" s="3" t="s">
        <v>31</v>
      </c>
    </row>
    <row r="169" spans="1:19" x14ac:dyDescent="0.35">
      <c r="A169" s="3">
        <v>1168</v>
      </c>
      <c r="B169" s="3" t="s">
        <v>251</v>
      </c>
      <c r="C169" s="4">
        <v>45368</v>
      </c>
      <c r="D169" s="3" t="s">
        <v>19</v>
      </c>
      <c r="E169" s="4">
        <v>45390</v>
      </c>
      <c r="F169" s="4">
        <v>45395</v>
      </c>
      <c r="G169" s="3" t="s">
        <v>45</v>
      </c>
      <c r="H169" s="3" t="s">
        <v>35</v>
      </c>
      <c r="I169" s="3" t="s">
        <v>22</v>
      </c>
      <c r="J169" s="3" t="s">
        <v>46</v>
      </c>
      <c r="K169" s="3">
        <v>22</v>
      </c>
      <c r="L169" s="3">
        <v>5</v>
      </c>
      <c r="M169" s="3">
        <v>5617</v>
      </c>
      <c r="N169" s="3">
        <v>28085</v>
      </c>
      <c r="O169" s="3">
        <v>28085</v>
      </c>
      <c r="P169" s="3" t="s">
        <v>51</v>
      </c>
      <c r="Q169" s="3">
        <v>0</v>
      </c>
      <c r="R169" s="3" t="str">
        <f t="shared" si="2"/>
        <v>Not Cancelled</v>
      </c>
      <c r="S169" s="3" t="s">
        <v>25</v>
      </c>
    </row>
    <row r="170" spans="1:19" x14ac:dyDescent="0.35">
      <c r="A170" s="3">
        <v>1169</v>
      </c>
      <c r="B170" s="3" t="s">
        <v>252</v>
      </c>
      <c r="C170" s="4">
        <v>45450</v>
      </c>
      <c r="D170" s="3" t="s">
        <v>128</v>
      </c>
      <c r="E170" s="4">
        <v>45484</v>
      </c>
      <c r="F170" s="4">
        <v>45488</v>
      </c>
      <c r="G170" s="3" t="s">
        <v>42</v>
      </c>
      <c r="H170" s="3" t="s">
        <v>38</v>
      </c>
      <c r="I170" s="3" t="s">
        <v>39</v>
      </c>
      <c r="J170" s="3" t="s">
        <v>23</v>
      </c>
      <c r="K170" s="3">
        <v>34</v>
      </c>
      <c r="L170" s="3">
        <v>4</v>
      </c>
      <c r="M170" s="3">
        <v>6661</v>
      </c>
      <c r="N170" s="3">
        <v>26644</v>
      </c>
      <c r="O170" s="3">
        <v>0</v>
      </c>
      <c r="P170" s="3" t="s">
        <v>51</v>
      </c>
      <c r="Q170" s="3">
        <v>1</v>
      </c>
      <c r="R170" s="3" t="str">
        <f t="shared" si="2"/>
        <v>Cancelled</v>
      </c>
      <c r="S170" s="3" t="s">
        <v>25</v>
      </c>
    </row>
    <row r="171" spans="1:19" x14ac:dyDescent="0.35">
      <c r="A171" s="3">
        <v>1170</v>
      </c>
      <c r="B171" s="3" t="s">
        <v>253</v>
      </c>
      <c r="C171" s="4">
        <v>45615</v>
      </c>
      <c r="D171" s="3" t="s">
        <v>94</v>
      </c>
      <c r="E171" s="4">
        <v>45671</v>
      </c>
      <c r="F171" s="4">
        <v>45672</v>
      </c>
      <c r="G171" s="3" t="s">
        <v>34</v>
      </c>
      <c r="H171" s="3" t="s">
        <v>21</v>
      </c>
      <c r="I171" s="3" t="s">
        <v>39</v>
      </c>
      <c r="J171" s="3" t="s">
        <v>30</v>
      </c>
      <c r="K171" s="3">
        <v>56</v>
      </c>
      <c r="L171" s="3">
        <v>1</v>
      </c>
      <c r="M171" s="3">
        <v>6542</v>
      </c>
      <c r="N171" s="3">
        <v>6542</v>
      </c>
      <c r="O171" s="3">
        <v>0</v>
      </c>
      <c r="P171" s="3" t="s">
        <v>24</v>
      </c>
      <c r="Q171" s="3">
        <v>1</v>
      </c>
      <c r="R171" s="3" t="str">
        <f t="shared" si="2"/>
        <v>Cancelled</v>
      </c>
      <c r="S171" s="3" t="s">
        <v>31</v>
      </c>
    </row>
    <row r="172" spans="1:19" x14ac:dyDescent="0.35">
      <c r="A172" s="3">
        <v>1171</v>
      </c>
      <c r="B172" s="3" t="s">
        <v>254</v>
      </c>
      <c r="C172" s="4">
        <v>45389</v>
      </c>
      <c r="D172" s="3" t="s">
        <v>64</v>
      </c>
      <c r="E172" s="4">
        <v>45434</v>
      </c>
      <c r="F172" s="4">
        <v>45438</v>
      </c>
      <c r="G172" s="3" t="s">
        <v>42</v>
      </c>
      <c r="H172" s="3" t="s">
        <v>38</v>
      </c>
      <c r="I172" s="3" t="s">
        <v>22</v>
      </c>
      <c r="J172" s="3" t="s">
        <v>23</v>
      </c>
      <c r="K172" s="3">
        <v>45</v>
      </c>
      <c r="L172" s="3">
        <v>4</v>
      </c>
      <c r="M172" s="3">
        <v>7730</v>
      </c>
      <c r="N172" s="3">
        <v>30920</v>
      </c>
      <c r="O172" s="3">
        <v>30920</v>
      </c>
      <c r="P172" s="3" t="s">
        <v>24</v>
      </c>
      <c r="Q172" s="3">
        <v>0</v>
      </c>
      <c r="R172" s="3" t="str">
        <f t="shared" si="2"/>
        <v>Not Cancelled</v>
      </c>
      <c r="S172" s="3" t="s">
        <v>31</v>
      </c>
    </row>
    <row r="173" spans="1:19" x14ac:dyDescent="0.35">
      <c r="A173" s="3">
        <v>1172</v>
      </c>
      <c r="B173" s="3" t="s">
        <v>255</v>
      </c>
      <c r="C173" s="4">
        <v>45393</v>
      </c>
      <c r="D173" s="3" t="s">
        <v>86</v>
      </c>
      <c r="E173" s="4">
        <v>45434</v>
      </c>
      <c r="F173" s="4">
        <v>45436</v>
      </c>
      <c r="G173" s="3" t="s">
        <v>28</v>
      </c>
      <c r="H173" s="3" t="s">
        <v>29</v>
      </c>
      <c r="I173" s="3" t="s">
        <v>39</v>
      </c>
      <c r="J173" s="3" t="s">
        <v>23</v>
      </c>
      <c r="K173" s="3">
        <v>41</v>
      </c>
      <c r="L173" s="3">
        <v>2</v>
      </c>
      <c r="M173" s="3">
        <v>6933</v>
      </c>
      <c r="N173" s="3">
        <v>13866</v>
      </c>
      <c r="O173" s="3">
        <v>0</v>
      </c>
      <c r="P173" s="3" t="s">
        <v>51</v>
      </c>
      <c r="Q173" s="3">
        <v>1</v>
      </c>
      <c r="R173" s="3" t="str">
        <f t="shared" si="2"/>
        <v>Cancelled</v>
      </c>
      <c r="S173" s="3" t="s">
        <v>31</v>
      </c>
    </row>
    <row r="174" spans="1:19" x14ac:dyDescent="0.35">
      <c r="A174" s="3">
        <v>1173</v>
      </c>
      <c r="B174" s="3" t="s">
        <v>203</v>
      </c>
      <c r="C174" s="4">
        <v>45423</v>
      </c>
      <c r="D174" s="3" t="s">
        <v>57</v>
      </c>
      <c r="E174" s="4">
        <v>45452</v>
      </c>
      <c r="F174" s="4">
        <v>45454</v>
      </c>
      <c r="G174" s="3" t="s">
        <v>28</v>
      </c>
      <c r="H174" s="3" t="s">
        <v>29</v>
      </c>
      <c r="I174" s="3" t="s">
        <v>22</v>
      </c>
      <c r="J174" s="3" t="s">
        <v>30</v>
      </c>
      <c r="K174" s="3">
        <v>29</v>
      </c>
      <c r="L174" s="3">
        <v>2</v>
      </c>
      <c r="M174" s="3">
        <v>4670</v>
      </c>
      <c r="N174" s="3">
        <v>9340</v>
      </c>
      <c r="O174" s="3">
        <v>9340</v>
      </c>
      <c r="P174" s="3" t="s">
        <v>51</v>
      </c>
      <c r="Q174" s="3">
        <v>0</v>
      </c>
      <c r="R174" s="3" t="str">
        <f t="shared" si="2"/>
        <v>Not Cancelled</v>
      </c>
      <c r="S174" s="3" t="s">
        <v>25</v>
      </c>
    </row>
    <row r="175" spans="1:19" x14ac:dyDescent="0.35">
      <c r="A175" s="3">
        <v>1174</v>
      </c>
      <c r="B175" s="3" t="s">
        <v>134</v>
      </c>
      <c r="C175" s="4">
        <v>45393</v>
      </c>
      <c r="D175" s="3" t="s">
        <v>42</v>
      </c>
      <c r="E175" s="4">
        <v>45397</v>
      </c>
      <c r="F175" s="4">
        <v>45402</v>
      </c>
      <c r="G175" s="3" t="s">
        <v>45</v>
      </c>
      <c r="H175" s="3" t="s">
        <v>60</v>
      </c>
      <c r="I175" s="3" t="s">
        <v>39</v>
      </c>
      <c r="J175" s="3" t="s">
        <v>23</v>
      </c>
      <c r="K175" s="3">
        <v>4</v>
      </c>
      <c r="L175" s="3">
        <v>5</v>
      </c>
      <c r="M175" s="3">
        <v>8324</v>
      </c>
      <c r="N175" s="3">
        <v>41620</v>
      </c>
      <c r="O175" s="3">
        <v>0</v>
      </c>
      <c r="P175" s="3" t="s">
        <v>51</v>
      </c>
      <c r="Q175" s="3">
        <v>1</v>
      </c>
      <c r="R175" s="3" t="str">
        <f t="shared" si="2"/>
        <v>Cancelled</v>
      </c>
      <c r="S175" s="3" t="s">
        <v>25</v>
      </c>
    </row>
    <row r="176" spans="1:19" x14ac:dyDescent="0.35">
      <c r="A176" s="3">
        <v>1175</v>
      </c>
      <c r="B176" s="3" t="s">
        <v>256</v>
      </c>
      <c r="C176" s="4">
        <v>45310</v>
      </c>
      <c r="D176" s="3" t="s">
        <v>45</v>
      </c>
      <c r="E176" s="4">
        <v>45315</v>
      </c>
      <c r="F176" s="4">
        <v>45319</v>
      </c>
      <c r="G176" s="3" t="s">
        <v>42</v>
      </c>
      <c r="H176" s="3" t="s">
        <v>35</v>
      </c>
      <c r="I176" s="3" t="s">
        <v>39</v>
      </c>
      <c r="J176" s="3" t="s">
        <v>23</v>
      </c>
      <c r="K176" s="3">
        <v>5</v>
      </c>
      <c r="L176" s="3">
        <v>4</v>
      </c>
      <c r="M176" s="3">
        <v>2946</v>
      </c>
      <c r="N176" s="3">
        <v>11784</v>
      </c>
      <c r="O176" s="3">
        <v>0</v>
      </c>
      <c r="P176" s="3" t="s">
        <v>51</v>
      </c>
      <c r="Q176" s="3">
        <v>1</v>
      </c>
      <c r="R176" s="3" t="str">
        <f t="shared" si="2"/>
        <v>Cancelled</v>
      </c>
      <c r="S176" s="3" t="s">
        <v>25</v>
      </c>
    </row>
    <row r="177" spans="1:19" x14ac:dyDescent="0.35">
      <c r="A177" s="3">
        <v>1176</v>
      </c>
      <c r="B177" s="3" t="s">
        <v>257</v>
      </c>
      <c r="C177" s="4">
        <v>45373</v>
      </c>
      <c r="D177" s="3" t="s">
        <v>75</v>
      </c>
      <c r="E177" s="4">
        <v>45384</v>
      </c>
      <c r="F177" s="4">
        <v>45389</v>
      </c>
      <c r="G177" s="3" t="s">
        <v>45</v>
      </c>
      <c r="H177" s="3" t="s">
        <v>21</v>
      </c>
      <c r="I177" s="3" t="s">
        <v>22</v>
      </c>
      <c r="J177" s="3" t="s">
        <v>46</v>
      </c>
      <c r="K177" s="3">
        <v>11</v>
      </c>
      <c r="L177" s="3">
        <v>5</v>
      </c>
      <c r="M177" s="3">
        <v>5158</v>
      </c>
      <c r="N177" s="3">
        <v>25790</v>
      </c>
      <c r="O177" s="3">
        <v>25790</v>
      </c>
      <c r="P177" s="3" t="s">
        <v>51</v>
      </c>
      <c r="Q177" s="3">
        <v>0</v>
      </c>
      <c r="R177" s="3" t="str">
        <f t="shared" si="2"/>
        <v>Not Cancelled</v>
      </c>
      <c r="S177" s="3" t="s">
        <v>25</v>
      </c>
    </row>
    <row r="178" spans="1:19" x14ac:dyDescent="0.35">
      <c r="A178" s="3">
        <v>1177</v>
      </c>
      <c r="B178" s="3" t="s">
        <v>258</v>
      </c>
      <c r="C178" s="4">
        <v>45570</v>
      </c>
      <c r="D178" s="3" t="s">
        <v>94</v>
      </c>
      <c r="E178" s="4">
        <v>45626</v>
      </c>
      <c r="F178" s="4">
        <v>45629</v>
      </c>
      <c r="G178" s="3" t="s">
        <v>20</v>
      </c>
      <c r="H178" s="3" t="s">
        <v>35</v>
      </c>
      <c r="I178" s="3" t="s">
        <v>22</v>
      </c>
      <c r="J178" s="3" t="s">
        <v>23</v>
      </c>
      <c r="K178" s="3">
        <v>56</v>
      </c>
      <c r="L178" s="3">
        <v>3</v>
      </c>
      <c r="M178" s="3">
        <v>5862</v>
      </c>
      <c r="N178" s="3">
        <v>17586</v>
      </c>
      <c r="O178" s="3">
        <v>0</v>
      </c>
      <c r="P178" s="3" t="s">
        <v>51</v>
      </c>
      <c r="Q178" s="3">
        <v>1</v>
      </c>
      <c r="R178" s="3" t="str">
        <f t="shared" si="2"/>
        <v>Cancelled</v>
      </c>
      <c r="S178" s="3" t="s">
        <v>31</v>
      </c>
    </row>
    <row r="179" spans="1:19" x14ac:dyDescent="0.35">
      <c r="A179" s="3">
        <v>1178</v>
      </c>
      <c r="B179" s="3" t="s">
        <v>259</v>
      </c>
      <c r="C179" s="4">
        <v>45630</v>
      </c>
      <c r="D179" s="3" t="s">
        <v>124</v>
      </c>
      <c r="E179" s="4">
        <v>45681</v>
      </c>
      <c r="F179" s="4">
        <v>45683</v>
      </c>
      <c r="G179" s="3" t="s">
        <v>28</v>
      </c>
      <c r="H179" s="3" t="s">
        <v>38</v>
      </c>
      <c r="I179" s="3" t="s">
        <v>22</v>
      </c>
      <c r="J179" s="3" t="s">
        <v>46</v>
      </c>
      <c r="K179" s="3">
        <v>51</v>
      </c>
      <c r="L179" s="3">
        <v>2</v>
      </c>
      <c r="M179" s="3">
        <v>5218</v>
      </c>
      <c r="N179" s="3">
        <v>10436</v>
      </c>
      <c r="O179" s="3">
        <v>10436</v>
      </c>
      <c r="P179" s="3" t="s">
        <v>51</v>
      </c>
      <c r="Q179" s="3">
        <v>0</v>
      </c>
      <c r="R179" s="3" t="str">
        <f t="shared" si="2"/>
        <v>Not Cancelled</v>
      </c>
      <c r="S179" s="3" t="s">
        <v>25</v>
      </c>
    </row>
    <row r="180" spans="1:19" x14ac:dyDescent="0.35">
      <c r="A180" s="3">
        <v>1179</v>
      </c>
      <c r="B180" s="3" t="s">
        <v>103</v>
      </c>
      <c r="C180" s="4">
        <v>45656</v>
      </c>
      <c r="D180" s="3" t="s">
        <v>175</v>
      </c>
      <c r="E180" s="4">
        <v>45677</v>
      </c>
      <c r="F180" s="4">
        <v>45682</v>
      </c>
      <c r="G180" s="3" t="s">
        <v>45</v>
      </c>
      <c r="H180" s="3" t="s">
        <v>21</v>
      </c>
      <c r="I180" s="3" t="s">
        <v>22</v>
      </c>
      <c r="J180" s="3" t="s">
        <v>23</v>
      </c>
      <c r="K180" s="3">
        <v>21</v>
      </c>
      <c r="L180" s="3">
        <v>5</v>
      </c>
      <c r="M180" s="3">
        <v>5983</v>
      </c>
      <c r="N180" s="3">
        <v>29915</v>
      </c>
      <c r="O180" s="3">
        <v>0</v>
      </c>
      <c r="P180" s="3" t="s">
        <v>24</v>
      </c>
      <c r="Q180" s="3">
        <v>1</v>
      </c>
      <c r="R180" s="3" t="str">
        <f t="shared" si="2"/>
        <v>Cancelled</v>
      </c>
      <c r="S180" s="3" t="s">
        <v>25</v>
      </c>
    </row>
    <row r="181" spans="1:19" x14ac:dyDescent="0.35">
      <c r="A181" s="3">
        <v>1180</v>
      </c>
      <c r="B181" s="3" t="s">
        <v>260</v>
      </c>
      <c r="C181" s="4">
        <v>45622</v>
      </c>
      <c r="D181" s="3" t="s">
        <v>91</v>
      </c>
      <c r="E181" s="4">
        <v>45657</v>
      </c>
      <c r="F181" s="4">
        <v>45660</v>
      </c>
      <c r="G181" s="3" t="s">
        <v>20</v>
      </c>
      <c r="H181" s="3" t="s">
        <v>21</v>
      </c>
      <c r="I181" s="3" t="s">
        <v>39</v>
      </c>
      <c r="J181" s="3" t="s">
        <v>46</v>
      </c>
      <c r="K181" s="3">
        <v>35</v>
      </c>
      <c r="L181" s="3">
        <v>3</v>
      </c>
      <c r="M181" s="3">
        <v>5444</v>
      </c>
      <c r="N181" s="3">
        <v>16332</v>
      </c>
      <c r="O181" s="3">
        <v>16332</v>
      </c>
      <c r="P181" s="3" t="s">
        <v>51</v>
      </c>
      <c r="Q181" s="3">
        <v>0</v>
      </c>
      <c r="R181" s="3" t="str">
        <f t="shared" si="2"/>
        <v>Not Cancelled</v>
      </c>
      <c r="S181" s="3" t="s">
        <v>31</v>
      </c>
    </row>
    <row r="182" spans="1:19" x14ac:dyDescent="0.35">
      <c r="A182" s="3">
        <v>1181</v>
      </c>
      <c r="B182" s="3" t="s">
        <v>261</v>
      </c>
      <c r="C182" s="4">
        <v>45420</v>
      </c>
      <c r="D182" s="3" t="s">
        <v>102</v>
      </c>
      <c r="E182" s="4">
        <v>45432</v>
      </c>
      <c r="F182" s="4">
        <v>45437</v>
      </c>
      <c r="G182" s="3" t="s">
        <v>45</v>
      </c>
      <c r="H182" s="3" t="s">
        <v>29</v>
      </c>
      <c r="I182" s="3" t="s">
        <v>39</v>
      </c>
      <c r="J182" s="3" t="s">
        <v>46</v>
      </c>
      <c r="K182" s="3">
        <v>12</v>
      </c>
      <c r="L182" s="3">
        <v>5</v>
      </c>
      <c r="M182" s="3">
        <v>6876</v>
      </c>
      <c r="N182" s="3">
        <v>34380</v>
      </c>
      <c r="O182" s="3">
        <v>0</v>
      </c>
      <c r="P182" s="3" t="s">
        <v>51</v>
      </c>
      <c r="Q182" s="3">
        <v>1</v>
      </c>
      <c r="R182" s="3" t="str">
        <f t="shared" si="2"/>
        <v>Cancelled</v>
      </c>
      <c r="S182" s="3" t="s">
        <v>25</v>
      </c>
    </row>
    <row r="183" spans="1:19" x14ac:dyDescent="0.35">
      <c r="A183" s="3">
        <v>1182</v>
      </c>
      <c r="B183" s="3" t="s">
        <v>262</v>
      </c>
      <c r="C183" s="4">
        <v>45635</v>
      </c>
      <c r="D183" s="3" t="s">
        <v>98</v>
      </c>
      <c r="E183" s="4">
        <v>45661</v>
      </c>
      <c r="F183" s="4">
        <v>45665</v>
      </c>
      <c r="G183" s="3" t="s">
        <v>42</v>
      </c>
      <c r="H183" s="3" t="s">
        <v>38</v>
      </c>
      <c r="I183" s="3" t="s">
        <v>39</v>
      </c>
      <c r="J183" s="3" t="s">
        <v>46</v>
      </c>
      <c r="K183" s="3">
        <v>26</v>
      </c>
      <c r="L183" s="3">
        <v>4</v>
      </c>
      <c r="M183" s="3">
        <v>3095</v>
      </c>
      <c r="N183" s="3">
        <v>12380</v>
      </c>
      <c r="O183" s="3">
        <v>0</v>
      </c>
      <c r="P183" s="3" t="s">
        <v>24</v>
      </c>
      <c r="Q183" s="3">
        <v>1</v>
      </c>
      <c r="R183" s="3" t="str">
        <f t="shared" si="2"/>
        <v>Cancelled</v>
      </c>
      <c r="S183" s="3" t="s">
        <v>25</v>
      </c>
    </row>
    <row r="184" spans="1:19" x14ac:dyDescent="0.35">
      <c r="A184" s="3">
        <v>1183</v>
      </c>
      <c r="B184" s="3" t="s">
        <v>263</v>
      </c>
      <c r="C184" s="4">
        <v>45601</v>
      </c>
      <c r="D184" s="3" t="s">
        <v>124</v>
      </c>
      <c r="E184" s="4">
        <v>45652</v>
      </c>
      <c r="F184" s="4">
        <v>45656</v>
      </c>
      <c r="G184" s="3" t="s">
        <v>42</v>
      </c>
      <c r="H184" s="3" t="s">
        <v>29</v>
      </c>
      <c r="I184" s="3" t="s">
        <v>22</v>
      </c>
      <c r="J184" s="3" t="s">
        <v>30</v>
      </c>
      <c r="K184" s="3">
        <v>51</v>
      </c>
      <c r="L184" s="3">
        <v>4</v>
      </c>
      <c r="M184" s="3">
        <v>4486</v>
      </c>
      <c r="N184" s="3">
        <v>17944</v>
      </c>
      <c r="O184" s="3">
        <v>0</v>
      </c>
      <c r="P184" s="3" t="s">
        <v>24</v>
      </c>
      <c r="Q184" s="3">
        <v>1</v>
      </c>
      <c r="R184" s="3" t="str">
        <f t="shared" si="2"/>
        <v>Cancelled</v>
      </c>
      <c r="S184" s="3" t="s">
        <v>31</v>
      </c>
    </row>
    <row r="185" spans="1:19" x14ac:dyDescent="0.35">
      <c r="A185" s="3">
        <v>1184</v>
      </c>
      <c r="B185" s="3" t="s">
        <v>264</v>
      </c>
      <c r="C185" s="4">
        <v>45380</v>
      </c>
      <c r="D185" s="3" t="s">
        <v>109</v>
      </c>
      <c r="E185" s="4">
        <v>45399</v>
      </c>
      <c r="F185" s="4">
        <v>45403</v>
      </c>
      <c r="G185" s="3" t="s">
        <v>42</v>
      </c>
      <c r="H185" s="3" t="s">
        <v>29</v>
      </c>
      <c r="I185" s="3" t="s">
        <v>39</v>
      </c>
      <c r="J185" s="3" t="s">
        <v>23</v>
      </c>
      <c r="K185" s="3">
        <v>19</v>
      </c>
      <c r="L185" s="3">
        <v>4</v>
      </c>
      <c r="M185" s="3">
        <v>5250</v>
      </c>
      <c r="N185" s="3">
        <v>21000</v>
      </c>
      <c r="O185" s="3">
        <v>0</v>
      </c>
      <c r="P185" s="3" t="s">
        <v>24</v>
      </c>
      <c r="Q185" s="3">
        <v>1</v>
      </c>
      <c r="R185" s="3" t="str">
        <f t="shared" si="2"/>
        <v>Cancelled</v>
      </c>
      <c r="S185" s="3" t="s">
        <v>25</v>
      </c>
    </row>
    <row r="186" spans="1:19" x14ac:dyDescent="0.35">
      <c r="A186" s="3">
        <v>1185</v>
      </c>
      <c r="B186" s="3" t="s">
        <v>265</v>
      </c>
      <c r="C186" s="4">
        <v>45504</v>
      </c>
      <c r="D186" s="3" t="s">
        <v>64</v>
      </c>
      <c r="E186" s="4">
        <v>45549</v>
      </c>
      <c r="F186" s="4">
        <v>45553</v>
      </c>
      <c r="G186" s="3" t="s">
        <v>42</v>
      </c>
      <c r="H186" s="3" t="s">
        <v>60</v>
      </c>
      <c r="I186" s="3" t="s">
        <v>39</v>
      </c>
      <c r="J186" s="3" t="s">
        <v>23</v>
      </c>
      <c r="K186" s="3">
        <v>45</v>
      </c>
      <c r="L186" s="3">
        <v>4</v>
      </c>
      <c r="M186" s="3">
        <v>3574</v>
      </c>
      <c r="N186" s="3">
        <v>14296</v>
      </c>
      <c r="O186" s="3">
        <v>0</v>
      </c>
      <c r="P186" s="3" t="s">
        <v>51</v>
      </c>
      <c r="Q186" s="3">
        <v>1</v>
      </c>
      <c r="R186" s="3" t="str">
        <f t="shared" si="2"/>
        <v>Cancelled</v>
      </c>
      <c r="S186" s="3" t="s">
        <v>25</v>
      </c>
    </row>
    <row r="187" spans="1:19" x14ac:dyDescent="0.35">
      <c r="A187" s="3">
        <v>1186</v>
      </c>
      <c r="B187" s="3" t="s">
        <v>266</v>
      </c>
      <c r="C187" s="4">
        <v>45434</v>
      </c>
      <c r="D187" s="3" t="s">
        <v>209</v>
      </c>
      <c r="E187" s="4">
        <v>45441</v>
      </c>
      <c r="F187" s="4">
        <v>45442</v>
      </c>
      <c r="G187" s="3" t="s">
        <v>34</v>
      </c>
      <c r="H187" s="3" t="s">
        <v>29</v>
      </c>
      <c r="I187" s="3" t="s">
        <v>39</v>
      </c>
      <c r="J187" s="3" t="s">
        <v>23</v>
      </c>
      <c r="K187" s="3">
        <v>7</v>
      </c>
      <c r="L187" s="3">
        <v>1</v>
      </c>
      <c r="M187" s="3">
        <v>6469</v>
      </c>
      <c r="N187" s="3">
        <v>6469</v>
      </c>
      <c r="O187" s="3">
        <v>6469</v>
      </c>
      <c r="P187" s="3" t="s">
        <v>51</v>
      </c>
      <c r="Q187" s="3">
        <v>0</v>
      </c>
      <c r="R187" s="3" t="str">
        <f t="shared" si="2"/>
        <v>Not Cancelled</v>
      </c>
      <c r="S187" s="3" t="s">
        <v>25</v>
      </c>
    </row>
    <row r="188" spans="1:19" x14ac:dyDescent="0.35">
      <c r="A188" s="3">
        <v>1187</v>
      </c>
      <c r="B188" s="3" t="s">
        <v>267</v>
      </c>
      <c r="C188" s="4">
        <v>45356</v>
      </c>
      <c r="D188" s="3" t="s">
        <v>148</v>
      </c>
      <c r="E188" s="4">
        <v>45403</v>
      </c>
      <c r="F188" s="4">
        <v>45406</v>
      </c>
      <c r="G188" s="3" t="s">
        <v>20</v>
      </c>
      <c r="H188" s="3" t="s">
        <v>35</v>
      </c>
      <c r="I188" s="3" t="s">
        <v>22</v>
      </c>
      <c r="J188" s="3" t="s">
        <v>30</v>
      </c>
      <c r="K188" s="3">
        <v>47</v>
      </c>
      <c r="L188" s="3">
        <v>3</v>
      </c>
      <c r="M188" s="3">
        <v>6805</v>
      </c>
      <c r="N188" s="3">
        <v>20415</v>
      </c>
      <c r="O188" s="3">
        <v>20415</v>
      </c>
      <c r="P188" s="3" t="s">
        <v>24</v>
      </c>
      <c r="Q188" s="3">
        <v>0</v>
      </c>
      <c r="R188" s="3" t="str">
        <f t="shared" si="2"/>
        <v>Not Cancelled</v>
      </c>
      <c r="S188" s="3" t="s">
        <v>25</v>
      </c>
    </row>
    <row r="189" spans="1:19" x14ac:dyDescent="0.35">
      <c r="A189" s="3">
        <v>1188</v>
      </c>
      <c r="B189" s="3" t="s">
        <v>268</v>
      </c>
      <c r="C189" s="4">
        <v>45367</v>
      </c>
      <c r="D189" s="3" t="s">
        <v>113</v>
      </c>
      <c r="E189" s="4">
        <v>45422</v>
      </c>
      <c r="F189" s="4">
        <v>45425</v>
      </c>
      <c r="G189" s="3" t="s">
        <v>20</v>
      </c>
      <c r="H189" s="3" t="s">
        <v>21</v>
      </c>
      <c r="I189" s="3" t="s">
        <v>22</v>
      </c>
      <c r="J189" s="3" t="s">
        <v>46</v>
      </c>
      <c r="K189" s="3">
        <v>55</v>
      </c>
      <c r="L189" s="3">
        <v>3</v>
      </c>
      <c r="M189" s="3">
        <v>6721</v>
      </c>
      <c r="N189" s="3">
        <v>20163</v>
      </c>
      <c r="O189" s="3">
        <v>0</v>
      </c>
      <c r="P189" s="3" t="s">
        <v>24</v>
      </c>
      <c r="Q189" s="3">
        <v>1</v>
      </c>
      <c r="R189" s="3" t="str">
        <f t="shared" si="2"/>
        <v>Cancelled</v>
      </c>
      <c r="S189" s="3" t="s">
        <v>31</v>
      </c>
    </row>
    <row r="190" spans="1:19" x14ac:dyDescent="0.35">
      <c r="A190" s="3">
        <v>1189</v>
      </c>
      <c r="B190" s="3" t="s">
        <v>269</v>
      </c>
      <c r="C190" s="4">
        <v>45490</v>
      </c>
      <c r="D190" s="3" t="s">
        <v>209</v>
      </c>
      <c r="E190" s="4">
        <v>45497</v>
      </c>
      <c r="F190" s="4">
        <v>45501</v>
      </c>
      <c r="G190" s="3" t="s">
        <v>42</v>
      </c>
      <c r="H190" s="3" t="s">
        <v>29</v>
      </c>
      <c r="I190" s="3" t="s">
        <v>39</v>
      </c>
      <c r="J190" s="3" t="s">
        <v>23</v>
      </c>
      <c r="K190" s="3">
        <v>7</v>
      </c>
      <c r="L190" s="3">
        <v>4</v>
      </c>
      <c r="M190" s="3">
        <v>7087</v>
      </c>
      <c r="N190" s="3">
        <v>28348</v>
      </c>
      <c r="O190" s="3">
        <v>28348</v>
      </c>
      <c r="P190" s="3" t="s">
        <v>24</v>
      </c>
      <c r="Q190" s="3">
        <v>0</v>
      </c>
      <c r="R190" s="3" t="str">
        <f t="shared" si="2"/>
        <v>Not Cancelled</v>
      </c>
      <c r="S190" s="3" t="s">
        <v>25</v>
      </c>
    </row>
    <row r="191" spans="1:19" x14ac:dyDescent="0.35">
      <c r="A191" s="3">
        <v>1190</v>
      </c>
      <c r="B191" s="3" t="s">
        <v>270</v>
      </c>
      <c r="C191" s="4">
        <v>45434</v>
      </c>
      <c r="D191" s="3" t="s">
        <v>98</v>
      </c>
      <c r="E191" s="4">
        <v>45460</v>
      </c>
      <c r="F191" s="4">
        <v>45461</v>
      </c>
      <c r="G191" s="3" t="s">
        <v>34</v>
      </c>
      <c r="H191" s="3" t="s">
        <v>35</v>
      </c>
      <c r="I191" s="3" t="s">
        <v>39</v>
      </c>
      <c r="J191" s="3" t="s">
        <v>30</v>
      </c>
      <c r="K191" s="3">
        <v>26</v>
      </c>
      <c r="L191" s="3">
        <v>1</v>
      </c>
      <c r="M191" s="3">
        <v>6080</v>
      </c>
      <c r="N191" s="3">
        <v>6080</v>
      </c>
      <c r="O191" s="3">
        <v>6080</v>
      </c>
      <c r="P191" s="3" t="s">
        <v>51</v>
      </c>
      <c r="Q191" s="3">
        <v>0</v>
      </c>
      <c r="R191" s="3" t="str">
        <f t="shared" si="2"/>
        <v>Not Cancelled</v>
      </c>
      <c r="S191" s="3" t="s">
        <v>31</v>
      </c>
    </row>
    <row r="192" spans="1:19" x14ac:dyDescent="0.35">
      <c r="A192" s="3">
        <v>1191</v>
      </c>
      <c r="B192" s="3" t="s">
        <v>271</v>
      </c>
      <c r="C192" s="4">
        <v>45607</v>
      </c>
      <c r="D192" s="3" t="s">
        <v>179</v>
      </c>
      <c r="E192" s="4">
        <v>45647</v>
      </c>
      <c r="F192" s="4">
        <v>45651</v>
      </c>
      <c r="G192" s="3" t="s">
        <v>42</v>
      </c>
      <c r="H192" s="3" t="s">
        <v>38</v>
      </c>
      <c r="I192" s="3" t="s">
        <v>22</v>
      </c>
      <c r="J192" s="3" t="s">
        <v>30</v>
      </c>
      <c r="K192" s="3">
        <v>40</v>
      </c>
      <c r="L192" s="3">
        <v>4</v>
      </c>
      <c r="M192" s="3">
        <v>5507</v>
      </c>
      <c r="N192" s="3">
        <v>22028</v>
      </c>
      <c r="O192" s="3">
        <v>22028</v>
      </c>
      <c r="P192" s="3" t="s">
        <v>24</v>
      </c>
      <c r="Q192" s="3">
        <v>0</v>
      </c>
      <c r="R192" s="3" t="str">
        <f t="shared" si="2"/>
        <v>Not Cancelled</v>
      </c>
      <c r="S192" s="3" t="s">
        <v>25</v>
      </c>
    </row>
    <row r="193" spans="1:19" x14ac:dyDescent="0.35">
      <c r="A193" s="3">
        <v>1192</v>
      </c>
      <c r="B193" s="3" t="s">
        <v>272</v>
      </c>
      <c r="C193" s="4">
        <v>45384</v>
      </c>
      <c r="D193" s="3" t="s">
        <v>45</v>
      </c>
      <c r="E193" s="4">
        <v>45389</v>
      </c>
      <c r="F193" s="4">
        <v>45390</v>
      </c>
      <c r="G193" s="3" t="s">
        <v>34</v>
      </c>
      <c r="H193" s="3" t="s">
        <v>21</v>
      </c>
      <c r="I193" s="3" t="s">
        <v>22</v>
      </c>
      <c r="J193" s="3" t="s">
        <v>23</v>
      </c>
      <c r="K193" s="3">
        <v>5</v>
      </c>
      <c r="L193" s="3">
        <v>1</v>
      </c>
      <c r="M193" s="3">
        <v>3469</v>
      </c>
      <c r="N193" s="3">
        <v>3469</v>
      </c>
      <c r="O193" s="3">
        <v>3469</v>
      </c>
      <c r="P193" s="3" t="s">
        <v>51</v>
      </c>
      <c r="Q193" s="3">
        <v>0</v>
      </c>
      <c r="R193" s="3" t="str">
        <f t="shared" si="2"/>
        <v>Not Cancelled</v>
      </c>
      <c r="S193" s="3" t="s">
        <v>31</v>
      </c>
    </row>
    <row r="194" spans="1:19" x14ac:dyDescent="0.35">
      <c r="A194" s="3">
        <v>1193</v>
      </c>
      <c r="B194" s="3" t="s">
        <v>273</v>
      </c>
      <c r="C194" s="4">
        <v>45596</v>
      </c>
      <c r="D194" s="3" t="s">
        <v>175</v>
      </c>
      <c r="E194" s="4">
        <v>45617</v>
      </c>
      <c r="F194" s="4">
        <v>45621</v>
      </c>
      <c r="G194" s="3" t="s">
        <v>42</v>
      </c>
      <c r="H194" s="3" t="s">
        <v>38</v>
      </c>
      <c r="I194" s="3" t="s">
        <v>22</v>
      </c>
      <c r="J194" s="3" t="s">
        <v>46</v>
      </c>
      <c r="K194" s="3">
        <v>21</v>
      </c>
      <c r="L194" s="3">
        <v>4</v>
      </c>
      <c r="M194" s="3">
        <v>3080</v>
      </c>
      <c r="N194" s="3">
        <v>12320</v>
      </c>
      <c r="O194" s="3">
        <v>0</v>
      </c>
      <c r="P194" s="3" t="s">
        <v>51</v>
      </c>
      <c r="Q194" s="3">
        <v>1</v>
      </c>
      <c r="R194" s="3" t="str">
        <f t="shared" si="2"/>
        <v>Cancelled</v>
      </c>
      <c r="S194" s="3" t="s">
        <v>31</v>
      </c>
    </row>
    <row r="195" spans="1:19" x14ac:dyDescent="0.35">
      <c r="A195" s="3">
        <v>1194</v>
      </c>
      <c r="B195" s="3" t="s">
        <v>260</v>
      </c>
      <c r="C195" s="4">
        <v>45515</v>
      </c>
      <c r="D195" s="3" t="s">
        <v>33</v>
      </c>
      <c r="E195" s="4">
        <v>45529</v>
      </c>
      <c r="F195" s="4">
        <v>45531</v>
      </c>
      <c r="G195" s="3" t="s">
        <v>28</v>
      </c>
      <c r="H195" s="3" t="s">
        <v>35</v>
      </c>
      <c r="I195" s="3" t="s">
        <v>22</v>
      </c>
      <c r="J195" s="3" t="s">
        <v>30</v>
      </c>
      <c r="K195" s="3">
        <v>14</v>
      </c>
      <c r="L195" s="3">
        <v>2</v>
      </c>
      <c r="M195" s="3">
        <v>5324</v>
      </c>
      <c r="N195" s="3">
        <v>10648</v>
      </c>
      <c r="O195" s="3">
        <v>10648</v>
      </c>
      <c r="P195" s="3" t="s">
        <v>51</v>
      </c>
      <c r="Q195" s="3">
        <v>0</v>
      </c>
      <c r="R195" s="3" t="str">
        <f t="shared" ref="R195:R258" si="3">IF(Q195=0,"Not Cancelled","Cancelled")</f>
        <v>Not Cancelled</v>
      </c>
      <c r="S195" s="3" t="s">
        <v>31</v>
      </c>
    </row>
    <row r="196" spans="1:19" x14ac:dyDescent="0.35">
      <c r="A196" s="3">
        <v>1195</v>
      </c>
      <c r="B196" s="3" t="s">
        <v>274</v>
      </c>
      <c r="C196" s="4">
        <v>45582</v>
      </c>
      <c r="D196" s="3" t="s">
        <v>42</v>
      </c>
      <c r="E196" s="4">
        <v>45586</v>
      </c>
      <c r="F196" s="4">
        <v>45588</v>
      </c>
      <c r="G196" s="3" t="s">
        <v>28</v>
      </c>
      <c r="H196" s="3" t="s">
        <v>38</v>
      </c>
      <c r="I196" s="3" t="s">
        <v>39</v>
      </c>
      <c r="J196" s="3" t="s">
        <v>23</v>
      </c>
      <c r="K196" s="3">
        <v>4</v>
      </c>
      <c r="L196" s="3">
        <v>2</v>
      </c>
      <c r="M196" s="3">
        <v>8901</v>
      </c>
      <c r="N196" s="3">
        <v>17802</v>
      </c>
      <c r="O196" s="3">
        <v>17802</v>
      </c>
      <c r="P196" s="3" t="s">
        <v>51</v>
      </c>
      <c r="Q196" s="3">
        <v>0</v>
      </c>
      <c r="R196" s="3" t="str">
        <f t="shared" si="3"/>
        <v>Not Cancelled</v>
      </c>
      <c r="S196" s="3" t="s">
        <v>25</v>
      </c>
    </row>
    <row r="197" spans="1:19" x14ac:dyDescent="0.35">
      <c r="A197" s="3">
        <v>1196</v>
      </c>
      <c r="B197" s="3" t="s">
        <v>216</v>
      </c>
      <c r="C197" s="4">
        <v>45393</v>
      </c>
      <c r="D197" s="3" t="s">
        <v>111</v>
      </c>
      <c r="E197" s="4">
        <v>45416</v>
      </c>
      <c r="F197" s="4">
        <v>45421</v>
      </c>
      <c r="G197" s="3" t="s">
        <v>45</v>
      </c>
      <c r="H197" s="3" t="s">
        <v>38</v>
      </c>
      <c r="I197" s="3" t="s">
        <v>22</v>
      </c>
      <c r="J197" s="3" t="s">
        <v>46</v>
      </c>
      <c r="K197" s="3">
        <v>23</v>
      </c>
      <c r="L197" s="3">
        <v>5</v>
      </c>
      <c r="M197" s="3">
        <v>6501</v>
      </c>
      <c r="N197" s="3">
        <v>32505</v>
      </c>
      <c r="O197" s="3">
        <v>0</v>
      </c>
      <c r="P197" s="3" t="s">
        <v>24</v>
      </c>
      <c r="Q197" s="3">
        <v>1</v>
      </c>
      <c r="R197" s="3" t="str">
        <f t="shared" si="3"/>
        <v>Cancelled</v>
      </c>
      <c r="S197" s="3" t="s">
        <v>25</v>
      </c>
    </row>
    <row r="198" spans="1:19" x14ac:dyDescent="0.35">
      <c r="A198" s="3">
        <v>1197</v>
      </c>
      <c r="B198" s="3" t="s">
        <v>275</v>
      </c>
      <c r="C198" s="4">
        <v>45558</v>
      </c>
      <c r="D198" s="3" t="s">
        <v>140</v>
      </c>
      <c r="E198" s="4">
        <v>45600</v>
      </c>
      <c r="F198" s="4">
        <v>45604</v>
      </c>
      <c r="G198" s="3" t="s">
        <v>42</v>
      </c>
      <c r="H198" s="3" t="s">
        <v>38</v>
      </c>
      <c r="I198" s="3" t="s">
        <v>39</v>
      </c>
      <c r="J198" s="3" t="s">
        <v>30</v>
      </c>
      <c r="K198" s="3">
        <v>42</v>
      </c>
      <c r="L198" s="3">
        <v>4</v>
      </c>
      <c r="M198" s="3">
        <v>3711</v>
      </c>
      <c r="N198" s="3">
        <v>14844</v>
      </c>
      <c r="O198" s="3">
        <v>0</v>
      </c>
      <c r="P198" s="3" t="s">
        <v>24</v>
      </c>
      <c r="Q198" s="3">
        <v>1</v>
      </c>
      <c r="R198" s="3" t="str">
        <f t="shared" si="3"/>
        <v>Cancelled</v>
      </c>
      <c r="S198" s="3" t="s">
        <v>25</v>
      </c>
    </row>
    <row r="199" spans="1:19" x14ac:dyDescent="0.35">
      <c r="A199" s="3">
        <v>1198</v>
      </c>
      <c r="B199" s="3" t="s">
        <v>276</v>
      </c>
      <c r="C199" s="4">
        <v>45646</v>
      </c>
      <c r="D199" s="3" t="s">
        <v>157</v>
      </c>
      <c r="E199" s="4">
        <v>45666</v>
      </c>
      <c r="F199" s="4">
        <v>45669</v>
      </c>
      <c r="G199" s="3" t="s">
        <v>20</v>
      </c>
      <c r="H199" s="3" t="s">
        <v>29</v>
      </c>
      <c r="I199" s="3" t="s">
        <v>22</v>
      </c>
      <c r="J199" s="3" t="s">
        <v>30</v>
      </c>
      <c r="K199" s="3">
        <v>20</v>
      </c>
      <c r="L199" s="3">
        <v>3</v>
      </c>
      <c r="M199" s="3">
        <v>2729</v>
      </c>
      <c r="N199" s="3">
        <v>8187</v>
      </c>
      <c r="O199" s="3">
        <v>8187</v>
      </c>
      <c r="P199" s="3" t="s">
        <v>24</v>
      </c>
      <c r="Q199" s="3">
        <v>0</v>
      </c>
      <c r="R199" s="3" t="str">
        <f t="shared" si="3"/>
        <v>Not Cancelled</v>
      </c>
      <c r="S199" s="3" t="s">
        <v>31</v>
      </c>
    </row>
    <row r="200" spans="1:19" x14ac:dyDescent="0.35">
      <c r="A200" s="3">
        <v>1199</v>
      </c>
      <c r="B200" s="3" t="s">
        <v>192</v>
      </c>
      <c r="C200" s="4">
        <v>45401</v>
      </c>
      <c r="D200" s="3" t="s">
        <v>277</v>
      </c>
      <c r="E200" s="4">
        <v>45416</v>
      </c>
      <c r="F200" s="4">
        <v>45421</v>
      </c>
      <c r="G200" s="3" t="s">
        <v>45</v>
      </c>
      <c r="H200" s="3" t="s">
        <v>29</v>
      </c>
      <c r="I200" s="3" t="s">
        <v>39</v>
      </c>
      <c r="J200" s="3" t="s">
        <v>23</v>
      </c>
      <c r="K200" s="3">
        <v>15</v>
      </c>
      <c r="L200" s="3">
        <v>5</v>
      </c>
      <c r="M200" s="3">
        <v>6784</v>
      </c>
      <c r="N200" s="3">
        <v>33920</v>
      </c>
      <c r="O200" s="3">
        <v>0</v>
      </c>
      <c r="P200" s="3" t="s">
        <v>51</v>
      </c>
      <c r="Q200" s="3">
        <v>1</v>
      </c>
      <c r="R200" s="3" t="str">
        <f t="shared" si="3"/>
        <v>Cancelled</v>
      </c>
      <c r="S200" s="3" t="s">
        <v>25</v>
      </c>
    </row>
    <row r="201" spans="1:19" x14ac:dyDescent="0.35">
      <c r="A201" s="3">
        <v>1200</v>
      </c>
      <c r="B201" s="3" t="s">
        <v>278</v>
      </c>
      <c r="C201" s="4">
        <v>45621</v>
      </c>
      <c r="D201" s="3" t="s">
        <v>78</v>
      </c>
      <c r="E201" s="4">
        <v>45671</v>
      </c>
      <c r="F201" s="4">
        <v>45673</v>
      </c>
      <c r="G201" s="3" t="s">
        <v>28</v>
      </c>
      <c r="H201" s="3" t="s">
        <v>29</v>
      </c>
      <c r="I201" s="3" t="s">
        <v>39</v>
      </c>
      <c r="J201" s="3" t="s">
        <v>23</v>
      </c>
      <c r="K201" s="3">
        <v>50</v>
      </c>
      <c r="L201" s="3">
        <v>2</v>
      </c>
      <c r="M201" s="3">
        <v>8653</v>
      </c>
      <c r="N201" s="3">
        <v>17306</v>
      </c>
      <c r="O201" s="3">
        <v>17306</v>
      </c>
      <c r="P201" s="3" t="s">
        <v>24</v>
      </c>
      <c r="Q201" s="3">
        <v>0</v>
      </c>
      <c r="R201" s="3" t="str">
        <f t="shared" si="3"/>
        <v>Not Cancelled</v>
      </c>
      <c r="S201" s="3" t="s">
        <v>25</v>
      </c>
    </row>
    <row r="202" spans="1:19" x14ac:dyDescent="0.35">
      <c r="A202" s="3">
        <v>1201</v>
      </c>
      <c r="B202" s="3" t="s">
        <v>279</v>
      </c>
      <c r="C202" s="4">
        <v>45556</v>
      </c>
      <c r="D202" s="3" t="s">
        <v>226</v>
      </c>
      <c r="E202" s="4">
        <v>45608</v>
      </c>
      <c r="F202" s="4">
        <v>45612</v>
      </c>
      <c r="G202" s="3" t="s">
        <v>42</v>
      </c>
      <c r="H202" s="3" t="s">
        <v>21</v>
      </c>
      <c r="I202" s="3" t="s">
        <v>22</v>
      </c>
      <c r="J202" s="3" t="s">
        <v>46</v>
      </c>
      <c r="K202" s="3">
        <v>52</v>
      </c>
      <c r="L202" s="3">
        <v>4</v>
      </c>
      <c r="M202" s="3">
        <v>5685</v>
      </c>
      <c r="N202" s="3">
        <v>22740</v>
      </c>
      <c r="O202" s="3">
        <v>0</v>
      </c>
      <c r="P202" s="3" t="s">
        <v>51</v>
      </c>
      <c r="Q202" s="3">
        <v>1</v>
      </c>
      <c r="R202" s="3" t="str">
        <f t="shared" si="3"/>
        <v>Cancelled</v>
      </c>
      <c r="S202" s="3" t="s">
        <v>25</v>
      </c>
    </row>
    <row r="203" spans="1:19" x14ac:dyDescent="0.35">
      <c r="A203" s="3">
        <v>1202</v>
      </c>
      <c r="B203" s="3" t="s">
        <v>280</v>
      </c>
      <c r="C203" s="4">
        <v>45294</v>
      </c>
      <c r="D203" s="3" t="s">
        <v>64</v>
      </c>
      <c r="E203" s="4">
        <v>45339</v>
      </c>
      <c r="F203" s="4">
        <v>45344</v>
      </c>
      <c r="G203" s="3" t="s">
        <v>45</v>
      </c>
      <c r="H203" s="3" t="s">
        <v>35</v>
      </c>
      <c r="I203" s="3" t="s">
        <v>39</v>
      </c>
      <c r="J203" s="3" t="s">
        <v>23</v>
      </c>
      <c r="K203" s="3">
        <v>45</v>
      </c>
      <c r="L203" s="3">
        <v>5</v>
      </c>
      <c r="M203" s="3">
        <v>3001</v>
      </c>
      <c r="N203" s="3">
        <v>15005</v>
      </c>
      <c r="O203" s="3">
        <v>15005</v>
      </c>
      <c r="P203" s="3" t="s">
        <v>51</v>
      </c>
      <c r="Q203" s="3">
        <v>0</v>
      </c>
      <c r="R203" s="3" t="str">
        <f t="shared" si="3"/>
        <v>Not Cancelled</v>
      </c>
      <c r="S203" s="3" t="s">
        <v>25</v>
      </c>
    </row>
    <row r="204" spans="1:19" x14ac:dyDescent="0.35">
      <c r="A204" s="3">
        <v>1203</v>
      </c>
      <c r="B204" s="3" t="s">
        <v>236</v>
      </c>
      <c r="C204" s="4">
        <v>45376</v>
      </c>
      <c r="D204" s="3" t="s">
        <v>57</v>
      </c>
      <c r="E204" s="4">
        <v>45405</v>
      </c>
      <c r="F204" s="4">
        <v>45409</v>
      </c>
      <c r="G204" s="3" t="s">
        <v>42</v>
      </c>
      <c r="H204" s="3" t="s">
        <v>29</v>
      </c>
      <c r="I204" s="3" t="s">
        <v>39</v>
      </c>
      <c r="J204" s="3" t="s">
        <v>23</v>
      </c>
      <c r="K204" s="3">
        <v>29</v>
      </c>
      <c r="L204" s="3">
        <v>4</v>
      </c>
      <c r="M204" s="3">
        <v>4632</v>
      </c>
      <c r="N204" s="3">
        <v>18528</v>
      </c>
      <c r="O204" s="3">
        <v>0</v>
      </c>
      <c r="P204" s="3" t="s">
        <v>51</v>
      </c>
      <c r="Q204" s="3">
        <v>1</v>
      </c>
      <c r="R204" s="3" t="str">
        <f t="shared" si="3"/>
        <v>Cancelled</v>
      </c>
      <c r="S204" s="3" t="s">
        <v>31</v>
      </c>
    </row>
    <row r="205" spans="1:19" x14ac:dyDescent="0.35">
      <c r="A205" s="3">
        <v>1204</v>
      </c>
      <c r="B205" s="3" t="s">
        <v>281</v>
      </c>
      <c r="C205" s="4">
        <v>45573</v>
      </c>
      <c r="D205" s="3" t="s">
        <v>59</v>
      </c>
      <c r="E205" s="4">
        <v>45581</v>
      </c>
      <c r="F205" s="4">
        <v>45583</v>
      </c>
      <c r="G205" s="3" t="s">
        <v>28</v>
      </c>
      <c r="H205" s="3" t="s">
        <v>38</v>
      </c>
      <c r="I205" s="3" t="s">
        <v>39</v>
      </c>
      <c r="J205" s="3" t="s">
        <v>46</v>
      </c>
      <c r="K205" s="3">
        <v>8</v>
      </c>
      <c r="L205" s="3">
        <v>2</v>
      </c>
      <c r="M205" s="3">
        <v>2548</v>
      </c>
      <c r="N205" s="3">
        <v>5096</v>
      </c>
      <c r="O205" s="3">
        <v>5096</v>
      </c>
      <c r="P205" s="3" t="s">
        <v>24</v>
      </c>
      <c r="Q205" s="3">
        <v>0</v>
      </c>
      <c r="R205" s="3" t="str">
        <f t="shared" si="3"/>
        <v>Not Cancelled</v>
      </c>
      <c r="S205" s="3" t="s">
        <v>31</v>
      </c>
    </row>
    <row r="206" spans="1:19" x14ac:dyDescent="0.35">
      <c r="A206" s="3">
        <v>1205</v>
      </c>
      <c r="B206" s="3" t="s">
        <v>282</v>
      </c>
      <c r="C206" s="4">
        <v>45619</v>
      </c>
      <c r="D206" s="3" t="s">
        <v>86</v>
      </c>
      <c r="E206" s="4">
        <v>45660</v>
      </c>
      <c r="F206" s="4">
        <v>45665</v>
      </c>
      <c r="G206" s="3" t="s">
        <v>45</v>
      </c>
      <c r="H206" s="3" t="s">
        <v>38</v>
      </c>
      <c r="I206" s="3" t="s">
        <v>22</v>
      </c>
      <c r="J206" s="3" t="s">
        <v>23</v>
      </c>
      <c r="K206" s="3">
        <v>41</v>
      </c>
      <c r="L206" s="3">
        <v>5</v>
      </c>
      <c r="M206" s="3">
        <v>6066</v>
      </c>
      <c r="N206" s="3">
        <v>30330</v>
      </c>
      <c r="O206" s="3">
        <v>30330</v>
      </c>
      <c r="P206" s="3" t="s">
        <v>51</v>
      </c>
      <c r="Q206" s="3">
        <v>0</v>
      </c>
      <c r="R206" s="3" t="str">
        <f t="shared" si="3"/>
        <v>Not Cancelled</v>
      </c>
      <c r="S206" s="3" t="s">
        <v>25</v>
      </c>
    </row>
    <row r="207" spans="1:19" x14ac:dyDescent="0.35">
      <c r="A207" s="3">
        <v>1206</v>
      </c>
      <c r="B207" s="3" t="s">
        <v>283</v>
      </c>
      <c r="C207" s="4">
        <v>45595</v>
      </c>
      <c r="D207" s="3" t="s">
        <v>73</v>
      </c>
      <c r="E207" s="4">
        <v>45643</v>
      </c>
      <c r="F207" s="4">
        <v>45645</v>
      </c>
      <c r="G207" s="3" t="s">
        <v>28</v>
      </c>
      <c r="H207" s="3" t="s">
        <v>38</v>
      </c>
      <c r="I207" s="3" t="s">
        <v>22</v>
      </c>
      <c r="J207" s="3" t="s">
        <v>46</v>
      </c>
      <c r="K207" s="3">
        <v>48</v>
      </c>
      <c r="L207" s="3">
        <v>2</v>
      </c>
      <c r="M207" s="3">
        <v>5555</v>
      </c>
      <c r="N207" s="3">
        <v>11110</v>
      </c>
      <c r="O207" s="3">
        <v>0</v>
      </c>
      <c r="P207" s="3" t="s">
        <v>51</v>
      </c>
      <c r="Q207" s="3">
        <v>1</v>
      </c>
      <c r="R207" s="3" t="str">
        <f t="shared" si="3"/>
        <v>Cancelled</v>
      </c>
      <c r="S207" s="3" t="s">
        <v>25</v>
      </c>
    </row>
    <row r="208" spans="1:19" x14ac:dyDescent="0.35">
      <c r="A208" s="3">
        <v>1207</v>
      </c>
      <c r="B208" s="3" t="s">
        <v>279</v>
      </c>
      <c r="C208" s="4">
        <v>45408</v>
      </c>
      <c r="D208" s="3" t="s">
        <v>109</v>
      </c>
      <c r="E208" s="4">
        <v>45427</v>
      </c>
      <c r="F208" s="4">
        <v>45428</v>
      </c>
      <c r="G208" s="3" t="s">
        <v>34</v>
      </c>
      <c r="H208" s="3" t="s">
        <v>38</v>
      </c>
      <c r="I208" s="3" t="s">
        <v>22</v>
      </c>
      <c r="J208" s="3" t="s">
        <v>46</v>
      </c>
      <c r="K208" s="3">
        <v>19</v>
      </c>
      <c r="L208" s="3">
        <v>1</v>
      </c>
      <c r="M208" s="3">
        <v>3188</v>
      </c>
      <c r="N208" s="3">
        <v>3188</v>
      </c>
      <c r="O208" s="3">
        <v>3188</v>
      </c>
      <c r="P208" s="3" t="s">
        <v>24</v>
      </c>
      <c r="Q208" s="3">
        <v>0</v>
      </c>
      <c r="R208" s="3" t="str">
        <f t="shared" si="3"/>
        <v>Not Cancelled</v>
      </c>
      <c r="S208" s="3" t="s">
        <v>25</v>
      </c>
    </row>
    <row r="209" spans="1:19" x14ac:dyDescent="0.35">
      <c r="A209" s="3">
        <v>1208</v>
      </c>
      <c r="B209" s="3" t="s">
        <v>284</v>
      </c>
      <c r="C209" s="4">
        <v>45512</v>
      </c>
      <c r="D209" s="3" t="s">
        <v>73</v>
      </c>
      <c r="E209" s="4">
        <v>45560</v>
      </c>
      <c r="F209" s="4">
        <v>45562</v>
      </c>
      <c r="G209" s="3" t="s">
        <v>28</v>
      </c>
      <c r="H209" s="3" t="s">
        <v>60</v>
      </c>
      <c r="I209" s="3" t="s">
        <v>39</v>
      </c>
      <c r="J209" s="3" t="s">
        <v>46</v>
      </c>
      <c r="K209" s="3">
        <v>48</v>
      </c>
      <c r="L209" s="3">
        <v>2</v>
      </c>
      <c r="M209" s="3">
        <v>2886</v>
      </c>
      <c r="N209" s="3">
        <v>5772</v>
      </c>
      <c r="O209" s="3">
        <v>0</v>
      </c>
      <c r="P209" s="3" t="s">
        <v>24</v>
      </c>
      <c r="Q209" s="3">
        <v>1</v>
      </c>
      <c r="R209" s="3" t="str">
        <f t="shared" si="3"/>
        <v>Cancelled</v>
      </c>
      <c r="S209" s="3" t="s">
        <v>31</v>
      </c>
    </row>
    <row r="210" spans="1:19" x14ac:dyDescent="0.35">
      <c r="A210" s="3">
        <v>1209</v>
      </c>
      <c r="B210" s="3" t="s">
        <v>145</v>
      </c>
      <c r="C210" s="4">
        <v>45445</v>
      </c>
      <c r="D210" s="3" t="s">
        <v>153</v>
      </c>
      <c r="E210" s="4">
        <v>45484</v>
      </c>
      <c r="F210" s="4">
        <v>45488</v>
      </c>
      <c r="G210" s="3" t="s">
        <v>42</v>
      </c>
      <c r="H210" s="3" t="s">
        <v>21</v>
      </c>
      <c r="I210" s="3" t="s">
        <v>39</v>
      </c>
      <c r="J210" s="3" t="s">
        <v>23</v>
      </c>
      <c r="K210" s="3">
        <v>39</v>
      </c>
      <c r="L210" s="3">
        <v>4</v>
      </c>
      <c r="M210" s="3">
        <v>3469</v>
      </c>
      <c r="N210" s="3">
        <v>13876</v>
      </c>
      <c r="O210" s="3">
        <v>0</v>
      </c>
      <c r="P210" s="3" t="s">
        <v>24</v>
      </c>
      <c r="Q210" s="3">
        <v>1</v>
      </c>
      <c r="R210" s="3" t="str">
        <f t="shared" si="3"/>
        <v>Cancelled</v>
      </c>
      <c r="S210" s="3" t="s">
        <v>25</v>
      </c>
    </row>
    <row r="211" spans="1:19" x14ac:dyDescent="0.35">
      <c r="A211" s="3">
        <v>1210</v>
      </c>
      <c r="B211" s="3" t="s">
        <v>285</v>
      </c>
      <c r="C211" s="4">
        <v>45444</v>
      </c>
      <c r="D211" s="3" t="s">
        <v>41</v>
      </c>
      <c r="E211" s="4">
        <v>45490</v>
      </c>
      <c r="F211" s="4">
        <v>45493</v>
      </c>
      <c r="G211" s="3" t="s">
        <v>20</v>
      </c>
      <c r="H211" s="3" t="s">
        <v>35</v>
      </c>
      <c r="I211" s="3" t="s">
        <v>39</v>
      </c>
      <c r="J211" s="3" t="s">
        <v>46</v>
      </c>
      <c r="K211" s="3">
        <v>46</v>
      </c>
      <c r="L211" s="3">
        <v>3</v>
      </c>
      <c r="M211" s="3">
        <v>5960</v>
      </c>
      <c r="N211" s="3">
        <v>17880</v>
      </c>
      <c r="O211" s="3">
        <v>0</v>
      </c>
      <c r="P211" s="3" t="s">
        <v>51</v>
      </c>
      <c r="Q211" s="3">
        <v>1</v>
      </c>
      <c r="R211" s="3" t="str">
        <f t="shared" si="3"/>
        <v>Cancelled</v>
      </c>
      <c r="S211" s="3" t="s">
        <v>31</v>
      </c>
    </row>
    <row r="212" spans="1:19" x14ac:dyDescent="0.35">
      <c r="A212" s="3">
        <v>1211</v>
      </c>
      <c r="B212" s="3" t="s">
        <v>286</v>
      </c>
      <c r="C212" s="4">
        <v>45303</v>
      </c>
      <c r="D212" s="3" t="s">
        <v>82</v>
      </c>
      <c r="E212" s="4">
        <v>45331</v>
      </c>
      <c r="F212" s="4">
        <v>45333</v>
      </c>
      <c r="G212" s="3" t="s">
        <v>28</v>
      </c>
      <c r="H212" s="3" t="s">
        <v>35</v>
      </c>
      <c r="I212" s="3" t="s">
        <v>39</v>
      </c>
      <c r="J212" s="3" t="s">
        <v>23</v>
      </c>
      <c r="K212" s="3">
        <v>28</v>
      </c>
      <c r="L212" s="3">
        <v>2</v>
      </c>
      <c r="M212" s="3">
        <v>3505</v>
      </c>
      <c r="N212" s="3">
        <v>7010</v>
      </c>
      <c r="O212" s="3">
        <v>7010</v>
      </c>
      <c r="P212" s="3" t="s">
        <v>51</v>
      </c>
      <c r="Q212" s="3">
        <v>0</v>
      </c>
      <c r="R212" s="3" t="str">
        <f t="shared" si="3"/>
        <v>Not Cancelled</v>
      </c>
      <c r="S212" s="3" t="s">
        <v>31</v>
      </c>
    </row>
    <row r="213" spans="1:19" x14ac:dyDescent="0.35">
      <c r="A213" s="3">
        <v>1212</v>
      </c>
      <c r="B213" s="3" t="s">
        <v>287</v>
      </c>
      <c r="C213" s="4">
        <v>45424</v>
      </c>
      <c r="D213" s="3" t="s">
        <v>41</v>
      </c>
      <c r="E213" s="4">
        <v>45470</v>
      </c>
      <c r="F213" s="4">
        <v>45473</v>
      </c>
      <c r="G213" s="3" t="s">
        <v>20</v>
      </c>
      <c r="H213" s="3" t="s">
        <v>29</v>
      </c>
      <c r="I213" s="3" t="s">
        <v>22</v>
      </c>
      <c r="J213" s="3" t="s">
        <v>46</v>
      </c>
      <c r="K213" s="3">
        <v>46</v>
      </c>
      <c r="L213" s="3">
        <v>3</v>
      </c>
      <c r="M213" s="3">
        <v>8861</v>
      </c>
      <c r="N213" s="3">
        <v>26583</v>
      </c>
      <c r="O213" s="3">
        <v>0</v>
      </c>
      <c r="P213" s="3" t="s">
        <v>24</v>
      </c>
      <c r="Q213" s="3">
        <v>1</v>
      </c>
      <c r="R213" s="3" t="str">
        <f t="shared" si="3"/>
        <v>Cancelled</v>
      </c>
      <c r="S213" s="3" t="s">
        <v>25</v>
      </c>
    </row>
    <row r="214" spans="1:19" x14ac:dyDescent="0.35">
      <c r="A214" s="3">
        <v>1213</v>
      </c>
      <c r="B214" s="3" t="s">
        <v>288</v>
      </c>
      <c r="C214" s="4">
        <v>45595</v>
      </c>
      <c r="D214" s="3" t="s">
        <v>100</v>
      </c>
      <c r="E214" s="4">
        <v>45652</v>
      </c>
      <c r="F214" s="4">
        <v>45653</v>
      </c>
      <c r="G214" s="3" t="s">
        <v>34</v>
      </c>
      <c r="H214" s="3" t="s">
        <v>60</v>
      </c>
      <c r="I214" s="3" t="s">
        <v>39</v>
      </c>
      <c r="J214" s="3" t="s">
        <v>23</v>
      </c>
      <c r="K214" s="3">
        <v>57</v>
      </c>
      <c r="L214" s="3">
        <v>1</v>
      </c>
      <c r="M214" s="3">
        <v>8320</v>
      </c>
      <c r="N214" s="3">
        <v>8320</v>
      </c>
      <c r="O214" s="3">
        <v>0</v>
      </c>
      <c r="P214" s="3" t="s">
        <v>51</v>
      </c>
      <c r="Q214" s="3">
        <v>1</v>
      </c>
      <c r="R214" s="3" t="str">
        <f t="shared" si="3"/>
        <v>Cancelled</v>
      </c>
      <c r="S214" s="3" t="s">
        <v>25</v>
      </c>
    </row>
    <row r="215" spans="1:19" x14ac:dyDescent="0.35">
      <c r="A215" s="3">
        <v>1214</v>
      </c>
      <c r="B215" s="3" t="s">
        <v>289</v>
      </c>
      <c r="C215" s="4">
        <v>45584</v>
      </c>
      <c r="D215" s="3" t="s">
        <v>185</v>
      </c>
      <c r="E215" s="4">
        <v>45611</v>
      </c>
      <c r="F215" s="4">
        <v>45616</v>
      </c>
      <c r="G215" s="3" t="s">
        <v>45</v>
      </c>
      <c r="H215" s="3" t="s">
        <v>35</v>
      </c>
      <c r="I215" s="3" t="s">
        <v>39</v>
      </c>
      <c r="J215" s="3" t="s">
        <v>46</v>
      </c>
      <c r="K215" s="3">
        <v>27</v>
      </c>
      <c r="L215" s="3">
        <v>5</v>
      </c>
      <c r="M215" s="3">
        <v>8600</v>
      </c>
      <c r="N215" s="3">
        <v>43000</v>
      </c>
      <c r="O215" s="3">
        <v>0</v>
      </c>
      <c r="P215" s="3" t="s">
        <v>51</v>
      </c>
      <c r="Q215" s="3">
        <v>1</v>
      </c>
      <c r="R215" s="3" t="str">
        <f t="shared" si="3"/>
        <v>Cancelled</v>
      </c>
      <c r="S215" s="3" t="s">
        <v>25</v>
      </c>
    </row>
    <row r="216" spans="1:19" x14ac:dyDescent="0.35">
      <c r="A216" s="3">
        <v>1215</v>
      </c>
      <c r="B216" s="3" t="s">
        <v>290</v>
      </c>
      <c r="C216" s="4">
        <v>45591</v>
      </c>
      <c r="D216" s="3" t="s">
        <v>42</v>
      </c>
      <c r="E216" s="4">
        <v>45595</v>
      </c>
      <c r="F216" s="4">
        <v>45600</v>
      </c>
      <c r="G216" s="3" t="s">
        <v>45</v>
      </c>
      <c r="H216" s="3" t="s">
        <v>21</v>
      </c>
      <c r="I216" s="3" t="s">
        <v>39</v>
      </c>
      <c r="J216" s="3" t="s">
        <v>30</v>
      </c>
      <c r="K216" s="3">
        <v>4</v>
      </c>
      <c r="L216" s="3">
        <v>5</v>
      </c>
      <c r="M216" s="3">
        <v>5552</v>
      </c>
      <c r="N216" s="3">
        <v>27760</v>
      </c>
      <c r="O216" s="3">
        <v>27760</v>
      </c>
      <c r="P216" s="3" t="s">
        <v>24</v>
      </c>
      <c r="Q216" s="3">
        <v>0</v>
      </c>
      <c r="R216" s="3" t="str">
        <f t="shared" si="3"/>
        <v>Not Cancelled</v>
      </c>
      <c r="S216" s="3" t="s">
        <v>31</v>
      </c>
    </row>
    <row r="217" spans="1:19" x14ac:dyDescent="0.35">
      <c r="A217" s="3">
        <v>1216</v>
      </c>
      <c r="B217" s="3" t="s">
        <v>260</v>
      </c>
      <c r="C217" s="4">
        <v>45519</v>
      </c>
      <c r="D217" s="3" t="s">
        <v>237</v>
      </c>
      <c r="E217" s="4">
        <v>45577</v>
      </c>
      <c r="F217" s="4">
        <v>45580</v>
      </c>
      <c r="G217" s="3" t="s">
        <v>20</v>
      </c>
      <c r="H217" s="3" t="s">
        <v>38</v>
      </c>
      <c r="I217" s="3" t="s">
        <v>22</v>
      </c>
      <c r="J217" s="3" t="s">
        <v>30</v>
      </c>
      <c r="K217" s="3">
        <v>58</v>
      </c>
      <c r="L217" s="3">
        <v>3</v>
      </c>
      <c r="M217" s="3">
        <v>5917</v>
      </c>
      <c r="N217" s="3">
        <v>17751</v>
      </c>
      <c r="O217" s="3">
        <v>0</v>
      </c>
      <c r="P217" s="3" t="s">
        <v>24</v>
      </c>
      <c r="Q217" s="3">
        <v>1</v>
      </c>
      <c r="R217" s="3" t="str">
        <f t="shared" si="3"/>
        <v>Cancelled</v>
      </c>
      <c r="S217" s="3" t="s">
        <v>31</v>
      </c>
    </row>
    <row r="218" spans="1:19" x14ac:dyDescent="0.35">
      <c r="A218" s="3">
        <v>1217</v>
      </c>
      <c r="B218" s="3" t="s">
        <v>291</v>
      </c>
      <c r="C218" s="4">
        <v>45562</v>
      </c>
      <c r="D218" s="3" t="s">
        <v>277</v>
      </c>
      <c r="E218" s="4">
        <v>45577</v>
      </c>
      <c r="F218" s="4">
        <v>45582</v>
      </c>
      <c r="G218" s="3" t="s">
        <v>45</v>
      </c>
      <c r="H218" s="3" t="s">
        <v>29</v>
      </c>
      <c r="I218" s="3" t="s">
        <v>39</v>
      </c>
      <c r="J218" s="3" t="s">
        <v>30</v>
      </c>
      <c r="K218" s="3">
        <v>15</v>
      </c>
      <c r="L218" s="3">
        <v>5</v>
      </c>
      <c r="M218" s="3">
        <v>4802</v>
      </c>
      <c r="N218" s="3">
        <v>24010</v>
      </c>
      <c r="O218" s="3">
        <v>0</v>
      </c>
      <c r="P218" s="3" t="s">
        <v>24</v>
      </c>
      <c r="Q218" s="3">
        <v>1</v>
      </c>
      <c r="R218" s="3" t="str">
        <f t="shared" si="3"/>
        <v>Cancelled</v>
      </c>
      <c r="S218" s="3" t="s">
        <v>25</v>
      </c>
    </row>
    <row r="219" spans="1:19" x14ac:dyDescent="0.35">
      <c r="A219" s="3">
        <v>1218</v>
      </c>
      <c r="B219" s="3" t="s">
        <v>292</v>
      </c>
      <c r="C219" s="4">
        <v>45334</v>
      </c>
      <c r="D219" s="3" t="s">
        <v>91</v>
      </c>
      <c r="E219" s="4">
        <v>45369</v>
      </c>
      <c r="F219" s="4">
        <v>45371</v>
      </c>
      <c r="G219" s="3" t="s">
        <v>28</v>
      </c>
      <c r="H219" s="3" t="s">
        <v>21</v>
      </c>
      <c r="I219" s="3" t="s">
        <v>22</v>
      </c>
      <c r="J219" s="3" t="s">
        <v>46</v>
      </c>
      <c r="K219" s="3">
        <v>35</v>
      </c>
      <c r="L219" s="3">
        <v>2</v>
      </c>
      <c r="M219" s="3">
        <v>4783</v>
      </c>
      <c r="N219" s="3">
        <v>9566</v>
      </c>
      <c r="O219" s="3">
        <v>0</v>
      </c>
      <c r="P219" s="3" t="s">
        <v>24</v>
      </c>
      <c r="Q219" s="3">
        <v>1</v>
      </c>
      <c r="R219" s="3" t="str">
        <f t="shared" si="3"/>
        <v>Cancelled</v>
      </c>
      <c r="S219" s="3" t="s">
        <v>31</v>
      </c>
    </row>
    <row r="220" spans="1:19" x14ac:dyDescent="0.35">
      <c r="A220" s="3">
        <v>1219</v>
      </c>
      <c r="B220" s="3" t="s">
        <v>293</v>
      </c>
      <c r="C220" s="4">
        <v>45634</v>
      </c>
      <c r="D220" s="3" t="s">
        <v>105</v>
      </c>
      <c r="E220" s="4">
        <v>45671</v>
      </c>
      <c r="F220" s="4">
        <v>45674</v>
      </c>
      <c r="G220" s="3" t="s">
        <v>20</v>
      </c>
      <c r="H220" s="3" t="s">
        <v>35</v>
      </c>
      <c r="I220" s="3" t="s">
        <v>22</v>
      </c>
      <c r="J220" s="3" t="s">
        <v>23</v>
      </c>
      <c r="K220" s="3">
        <v>37</v>
      </c>
      <c r="L220" s="3">
        <v>3</v>
      </c>
      <c r="M220" s="3">
        <v>4107</v>
      </c>
      <c r="N220" s="3">
        <v>12321</v>
      </c>
      <c r="O220" s="3">
        <v>12321</v>
      </c>
      <c r="P220" s="3" t="s">
        <v>24</v>
      </c>
      <c r="Q220" s="3">
        <v>0</v>
      </c>
      <c r="R220" s="3" t="str">
        <f t="shared" si="3"/>
        <v>Not Cancelled</v>
      </c>
      <c r="S220" s="3" t="s">
        <v>25</v>
      </c>
    </row>
    <row r="221" spans="1:19" x14ac:dyDescent="0.35">
      <c r="A221" s="3">
        <v>1220</v>
      </c>
      <c r="B221" s="3" t="s">
        <v>174</v>
      </c>
      <c r="C221" s="4">
        <v>45617</v>
      </c>
      <c r="D221" s="3" t="s">
        <v>34</v>
      </c>
      <c r="E221" s="4">
        <v>45618</v>
      </c>
      <c r="F221" s="4">
        <v>45622</v>
      </c>
      <c r="G221" s="3" t="s">
        <v>42</v>
      </c>
      <c r="H221" s="3" t="s">
        <v>60</v>
      </c>
      <c r="I221" s="3" t="s">
        <v>39</v>
      </c>
      <c r="J221" s="3" t="s">
        <v>46</v>
      </c>
      <c r="K221" s="3">
        <v>1</v>
      </c>
      <c r="L221" s="3">
        <v>4</v>
      </c>
      <c r="M221" s="3">
        <v>8385</v>
      </c>
      <c r="N221" s="3">
        <v>33540</v>
      </c>
      <c r="O221" s="3">
        <v>33540</v>
      </c>
      <c r="P221" s="3" t="s">
        <v>24</v>
      </c>
      <c r="Q221" s="3">
        <v>0</v>
      </c>
      <c r="R221" s="3" t="str">
        <f t="shared" si="3"/>
        <v>Not Cancelled</v>
      </c>
      <c r="S221" s="3" t="s">
        <v>25</v>
      </c>
    </row>
    <row r="222" spans="1:19" x14ac:dyDescent="0.35">
      <c r="A222" s="3">
        <v>1221</v>
      </c>
      <c r="B222" s="3" t="s">
        <v>158</v>
      </c>
      <c r="C222" s="4">
        <v>45593</v>
      </c>
      <c r="D222" s="3" t="s">
        <v>20</v>
      </c>
      <c r="E222" s="4">
        <v>45596</v>
      </c>
      <c r="F222" s="4">
        <v>45598</v>
      </c>
      <c r="G222" s="3" t="s">
        <v>28</v>
      </c>
      <c r="H222" s="3" t="s">
        <v>29</v>
      </c>
      <c r="I222" s="3" t="s">
        <v>39</v>
      </c>
      <c r="J222" s="3" t="s">
        <v>46</v>
      </c>
      <c r="K222" s="3">
        <v>3</v>
      </c>
      <c r="L222" s="3">
        <v>2</v>
      </c>
      <c r="M222" s="3">
        <v>6866</v>
      </c>
      <c r="N222" s="3">
        <v>13732</v>
      </c>
      <c r="O222" s="3">
        <v>13732</v>
      </c>
      <c r="P222" s="3" t="s">
        <v>24</v>
      </c>
      <c r="Q222" s="3">
        <v>0</v>
      </c>
      <c r="R222" s="3" t="str">
        <f t="shared" si="3"/>
        <v>Not Cancelled</v>
      </c>
      <c r="S222" s="3" t="s">
        <v>31</v>
      </c>
    </row>
    <row r="223" spans="1:19" x14ac:dyDescent="0.35">
      <c r="A223" s="3">
        <v>1222</v>
      </c>
      <c r="B223" s="3" t="s">
        <v>294</v>
      </c>
      <c r="C223" s="4">
        <v>45655</v>
      </c>
      <c r="D223" s="3" t="s">
        <v>148</v>
      </c>
      <c r="E223" s="4">
        <v>45702</v>
      </c>
      <c r="F223" s="4">
        <v>45704</v>
      </c>
      <c r="G223" s="3" t="s">
        <v>28</v>
      </c>
      <c r="H223" s="3" t="s">
        <v>35</v>
      </c>
      <c r="I223" s="3" t="s">
        <v>39</v>
      </c>
      <c r="J223" s="3" t="s">
        <v>46</v>
      </c>
      <c r="K223" s="3">
        <v>47</v>
      </c>
      <c r="L223" s="3">
        <v>2</v>
      </c>
      <c r="M223" s="3">
        <v>2622</v>
      </c>
      <c r="N223" s="3">
        <v>5244</v>
      </c>
      <c r="O223" s="3">
        <v>5244</v>
      </c>
      <c r="P223" s="3" t="s">
        <v>24</v>
      </c>
      <c r="Q223" s="3">
        <v>0</v>
      </c>
      <c r="R223" s="3" t="str">
        <f t="shared" si="3"/>
        <v>Not Cancelled</v>
      </c>
      <c r="S223" s="3" t="s">
        <v>31</v>
      </c>
    </row>
    <row r="224" spans="1:19" x14ac:dyDescent="0.35">
      <c r="A224" s="3">
        <v>1223</v>
      </c>
      <c r="B224" s="3" t="s">
        <v>295</v>
      </c>
      <c r="C224" s="4">
        <v>45312</v>
      </c>
      <c r="D224" s="3" t="s">
        <v>159</v>
      </c>
      <c r="E224" s="4">
        <v>45336</v>
      </c>
      <c r="F224" s="4">
        <v>45338</v>
      </c>
      <c r="G224" s="3" t="s">
        <v>28</v>
      </c>
      <c r="H224" s="3" t="s">
        <v>29</v>
      </c>
      <c r="I224" s="3" t="s">
        <v>39</v>
      </c>
      <c r="J224" s="3" t="s">
        <v>46</v>
      </c>
      <c r="K224" s="3">
        <v>24</v>
      </c>
      <c r="L224" s="3">
        <v>2</v>
      </c>
      <c r="M224" s="3">
        <v>3780</v>
      </c>
      <c r="N224" s="3">
        <v>7560</v>
      </c>
      <c r="O224" s="3">
        <v>7560</v>
      </c>
      <c r="P224" s="3" t="s">
        <v>51</v>
      </c>
      <c r="Q224" s="3">
        <v>0</v>
      </c>
      <c r="R224" s="3" t="str">
        <f t="shared" si="3"/>
        <v>Not Cancelled</v>
      </c>
      <c r="S224" s="3" t="s">
        <v>31</v>
      </c>
    </row>
    <row r="225" spans="1:19" x14ac:dyDescent="0.35">
      <c r="A225" s="3">
        <v>1224</v>
      </c>
      <c r="B225" s="3" t="s">
        <v>296</v>
      </c>
      <c r="C225" s="4">
        <v>45398</v>
      </c>
      <c r="D225" s="3" t="s">
        <v>185</v>
      </c>
      <c r="E225" s="4">
        <v>45425</v>
      </c>
      <c r="F225" s="4">
        <v>45429</v>
      </c>
      <c r="G225" s="3" t="s">
        <v>42</v>
      </c>
      <c r="H225" s="3" t="s">
        <v>35</v>
      </c>
      <c r="I225" s="3" t="s">
        <v>22</v>
      </c>
      <c r="J225" s="3" t="s">
        <v>23</v>
      </c>
      <c r="K225" s="3">
        <v>27</v>
      </c>
      <c r="L225" s="3">
        <v>4</v>
      </c>
      <c r="M225" s="3">
        <v>6227</v>
      </c>
      <c r="N225" s="3">
        <v>24908</v>
      </c>
      <c r="O225" s="3">
        <v>0</v>
      </c>
      <c r="P225" s="3" t="s">
        <v>51</v>
      </c>
      <c r="Q225" s="3">
        <v>1</v>
      </c>
      <c r="R225" s="3" t="str">
        <f t="shared" si="3"/>
        <v>Cancelled</v>
      </c>
      <c r="S225" s="3" t="s">
        <v>31</v>
      </c>
    </row>
    <row r="226" spans="1:19" x14ac:dyDescent="0.35">
      <c r="A226" s="3">
        <v>1225</v>
      </c>
      <c r="B226" s="3" t="s">
        <v>297</v>
      </c>
      <c r="C226" s="4">
        <v>45627</v>
      </c>
      <c r="D226" s="3" t="s">
        <v>179</v>
      </c>
      <c r="E226" s="4">
        <v>45667</v>
      </c>
      <c r="F226" s="4">
        <v>45668</v>
      </c>
      <c r="G226" s="3" t="s">
        <v>34</v>
      </c>
      <c r="H226" s="3" t="s">
        <v>38</v>
      </c>
      <c r="I226" s="3" t="s">
        <v>22</v>
      </c>
      <c r="J226" s="3" t="s">
        <v>46</v>
      </c>
      <c r="K226" s="3">
        <v>40</v>
      </c>
      <c r="L226" s="3">
        <v>1</v>
      </c>
      <c r="M226" s="3">
        <v>8040</v>
      </c>
      <c r="N226" s="3">
        <v>8040</v>
      </c>
      <c r="O226" s="3">
        <v>8040</v>
      </c>
      <c r="P226" s="3" t="s">
        <v>51</v>
      </c>
      <c r="Q226" s="3">
        <v>0</v>
      </c>
      <c r="R226" s="3" t="str">
        <f t="shared" si="3"/>
        <v>Not Cancelled</v>
      </c>
      <c r="S226" s="3" t="s">
        <v>25</v>
      </c>
    </row>
    <row r="227" spans="1:19" x14ac:dyDescent="0.35">
      <c r="A227" s="3">
        <v>1226</v>
      </c>
      <c r="B227" s="3" t="s">
        <v>298</v>
      </c>
      <c r="C227" s="4">
        <v>45594</v>
      </c>
      <c r="D227" s="3" t="s">
        <v>146</v>
      </c>
      <c r="E227" s="4">
        <v>45630</v>
      </c>
      <c r="F227" s="4">
        <v>45635</v>
      </c>
      <c r="G227" s="3" t="s">
        <v>45</v>
      </c>
      <c r="H227" s="3" t="s">
        <v>60</v>
      </c>
      <c r="I227" s="3" t="s">
        <v>22</v>
      </c>
      <c r="J227" s="3" t="s">
        <v>30</v>
      </c>
      <c r="K227" s="3">
        <v>36</v>
      </c>
      <c r="L227" s="3">
        <v>5</v>
      </c>
      <c r="M227" s="3">
        <v>2758</v>
      </c>
      <c r="N227" s="3">
        <v>13790</v>
      </c>
      <c r="O227" s="3">
        <v>13790</v>
      </c>
      <c r="P227" s="3" t="s">
        <v>51</v>
      </c>
      <c r="Q227" s="3">
        <v>0</v>
      </c>
      <c r="R227" s="3" t="str">
        <f t="shared" si="3"/>
        <v>Not Cancelled</v>
      </c>
      <c r="S227" s="3" t="s">
        <v>25</v>
      </c>
    </row>
    <row r="228" spans="1:19" x14ac:dyDescent="0.35">
      <c r="A228" s="3">
        <v>1227</v>
      </c>
      <c r="B228" s="3" t="s">
        <v>299</v>
      </c>
      <c r="C228" s="4">
        <v>45408</v>
      </c>
      <c r="D228" s="3" t="s">
        <v>128</v>
      </c>
      <c r="E228" s="4">
        <v>45442</v>
      </c>
      <c r="F228" s="4">
        <v>45445</v>
      </c>
      <c r="G228" s="3" t="s">
        <v>20</v>
      </c>
      <c r="H228" s="3" t="s">
        <v>38</v>
      </c>
      <c r="I228" s="3" t="s">
        <v>22</v>
      </c>
      <c r="J228" s="3" t="s">
        <v>30</v>
      </c>
      <c r="K228" s="3">
        <v>34</v>
      </c>
      <c r="L228" s="3">
        <v>3</v>
      </c>
      <c r="M228" s="3">
        <v>3447</v>
      </c>
      <c r="N228" s="3">
        <v>10341</v>
      </c>
      <c r="O228" s="3">
        <v>10341</v>
      </c>
      <c r="P228" s="3" t="s">
        <v>51</v>
      </c>
      <c r="Q228" s="3">
        <v>0</v>
      </c>
      <c r="R228" s="3" t="str">
        <f t="shared" si="3"/>
        <v>Not Cancelled</v>
      </c>
      <c r="S228" s="3" t="s">
        <v>25</v>
      </c>
    </row>
    <row r="229" spans="1:19" x14ac:dyDescent="0.35">
      <c r="A229" s="3">
        <v>1228</v>
      </c>
      <c r="B229" s="3" t="s">
        <v>300</v>
      </c>
      <c r="C229" s="4">
        <v>45415</v>
      </c>
      <c r="D229" s="3" t="s">
        <v>57</v>
      </c>
      <c r="E229" s="4">
        <v>45444</v>
      </c>
      <c r="F229" s="4">
        <v>45445</v>
      </c>
      <c r="G229" s="3" t="s">
        <v>34</v>
      </c>
      <c r="H229" s="3" t="s">
        <v>35</v>
      </c>
      <c r="I229" s="3" t="s">
        <v>22</v>
      </c>
      <c r="J229" s="3" t="s">
        <v>30</v>
      </c>
      <c r="K229" s="3">
        <v>29</v>
      </c>
      <c r="L229" s="3">
        <v>1</v>
      </c>
      <c r="M229" s="3">
        <v>8690</v>
      </c>
      <c r="N229" s="3">
        <v>8690</v>
      </c>
      <c r="O229" s="3">
        <v>0</v>
      </c>
      <c r="P229" s="3" t="s">
        <v>51</v>
      </c>
      <c r="Q229" s="3">
        <v>1</v>
      </c>
      <c r="R229" s="3" t="str">
        <f t="shared" si="3"/>
        <v>Cancelled</v>
      </c>
      <c r="S229" s="3" t="s">
        <v>31</v>
      </c>
    </row>
    <row r="230" spans="1:19" x14ac:dyDescent="0.35">
      <c r="A230" s="3">
        <v>1229</v>
      </c>
      <c r="B230" s="3" t="s">
        <v>301</v>
      </c>
      <c r="C230" s="4">
        <v>45572</v>
      </c>
      <c r="D230" s="3" t="s">
        <v>159</v>
      </c>
      <c r="E230" s="4">
        <v>45596</v>
      </c>
      <c r="F230" s="4">
        <v>45599</v>
      </c>
      <c r="G230" s="3" t="s">
        <v>20</v>
      </c>
      <c r="H230" s="3" t="s">
        <v>21</v>
      </c>
      <c r="I230" s="3" t="s">
        <v>22</v>
      </c>
      <c r="J230" s="3" t="s">
        <v>46</v>
      </c>
      <c r="K230" s="3">
        <v>24</v>
      </c>
      <c r="L230" s="3">
        <v>3</v>
      </c>
      <c r="M230" s="3">
        <v>7458</v>
      </c>
      <c r="N230" s="3">
        <v>22374</v>
      </c>
      <c r="O230" s="3">
        <v>0</v>
      </c>
      <c r="P230" s="3" t="s">
        <v>51</v>
      </c>
      <c r="Q230" s="3">
        <v>1</v>
      </c>
      <c r="R230" s="3" t="str">
        <f t="shared" si="3"/>
        <v>Cancelled</v>
      </c>
      <c r="S230" s="3" t="s">
        <v>25</v>
      </c>
    </row>
    <row r="231" spans="1:19" x14ac:dyDescent="0.35">
      <c r="A231" s="3">
        <v>1230</v>
      </c>
      <c r="B231" s="3" t="s">
        <v>223</v>
      </c>
      <c r="C231" s="4">
        <v>45583</v>
      </c>
      <c r="D231" s="3" t="s">
        <v>159</v>
      </c>
      <c r="E231" s="4">
        <v>45607</v>
      </c>
      <c r="F231" s="4">
        <v>45612</v>
      </c>
      <c r="G231" s="3" t="s">
        <v>45</v>
      </c>
      <c r="H231" s="3" t="s">
        <v>38</v>
      </c>
      <c r="I231" s="3" t="s">
        <v>22</v>
      </c>
      <c r="J231" s="3" t="s">
        <v>23</v>
      </c>
      <c r="K231" s="3">
        <v>24</v>
      </c>
      <c r="L231" s="3">
        <v>5</v>
      </c>
      <c r="M231" s="3">
        <v>3024</v>
      </c>
      <c r="N231" s="3">
        <v>15120</v>
      </c>
      <c r="O231" s="3">
        <v>0</v>
      </c>
      <c r="P231" s="3" t="s">
        <v>51</v>
      </c>
      <c r="Q231" s="3">
        <v>1</v>
      </c>
      <c r="R231" s="3" t="str">
        <f t="shared" si="3"/>
        <v>Cancelled</v>
      </c>
      <c r="S231" s="3" t="s">
        <v>31</v>
      </c>
    </row>
    <row r="232" spans="1:19" x14ac:dyDescent="0.35">
      <c r="A232" s="3">
        <v>1231</v>
      </c>
      <c r="B232" s="3" t="s">
        <v>302</v>
      </c>
      <c r="C232" s="4">
        <v>45494</v>
      </c>
      <c r="D232" s="3" t="s">
        <v>140</v>
      </c>
      <c r="E232" s="4">
        <v>45536</v>
      </c>
      <c r="F232" s="4">
        <v>45540</v>
      </c>
      <c r="G232" s="3" t="s">
        <v>42</v>
      </c>
      <c r="H232" s="3" t="s">
        <v>21</v>
      </c>
      <c r="I232" s="3" t="s">
        <v>22</v>
      </c>
      <c r="J232" s="3" t="s">
        <v>23</v>
      </c>
      <c r="K232" s="3">
        <v>42</v>
      </c>
      <c r="L232" s="3">
        <v>4</v>
      </c>
      <c r="M232" s="3">
        <v>3387</v>
      </c>
      <c r="N232" s="3">
        <v>13548</v>
      </c>
      <c r="O232" s="3">
        <v>0</v>
      </c>
      <c r="P232" s="3" t="s">
        <v>51</v>
      </c>
      <c r="Q232" s="3">
        <v>1</v>
      </c>
      <c r="R232" s="3" t="str">
        <f t="shared" si="3"/>
        <v>Cancelled</v>
      </c>
      <c r="S232" s="3" t="s">
        <v>31</v>
      </c>
    </row>
    <row r="233" spans="1:19" x14ac:dyDescent="0.35">
      <c r="A233" s="3">
        <v>1232</v>
      </c>
      <c r="B233" s="3" t="s">
        <v>303</v>
      </c>
      <c r="C233" s="4">
        <v>45342</v>
      </c>
      <c r="D233" s="3" t="s">
        <v>42</v>
      </c>
      <c r="E233" s="4">
        <v>45346</v>
      </c>
      <c r="F233" s="4">
        <v>45348</v>
      </c>
      <c r="G233" s="3" t="s">
        <v>28</v>
      </c>
      <c r="H233" s="3" t="s">
        <v>35</v>
      </c>
      <c r="I233" s="3" t="s">
        <v>22</v>
      </c>
      <c r="J233" s="3" t="s">
        <v>23</v>
      </c>
      <c r="K233" s="3">
        <v>4</v>
      </c>
      <c r="L233" s="3">
        <v>2</v>
      </c>
      <c r="M233" s="3">
        <v>2707</v>
      </c>
      <c r="N233" s="3">
        <v>5414</v>
      </c>
      <c r="O233" s="3">
        <v>5414</v>
      </c>
      <c r="P233" s="3" t="s">
        <v>51</v>
      </c>
      <c r="Q233" s="3">
        <v>0</v>
      </c>
      <c r="R233" s="3" t="str">
        <f t="shared" si="3"/>
        <v>Not Cancelled</v>
      </c>
      <c r="S233" s="3" t="s">
        <v>31</v>
      </c>
    </row>
    <row r="234" spans="1:19" x14ac:dyDescent="0.35">
      <c r="A234" s="3">
        <v>1233</v>
      </c>
      <c r="B234" s="3" t="s">
        <v>304</v>
      </c>
      <c r="C234" s="4">
        <v>45562</v>
      </c>
      <c r="D234" s="3" t="s">
        <v>20</v>
      </c>
      <c r="E234" s="4">
        <v>45565</v>
      </c>
      <c r="F234" s="4">
        <v>45567</v>
      </c>
      <c r="G234" s="3" t="s">
        <v>28</v>
      </c>
      <c r="H234" s="3" t="s">
        <v>60</v>
      </c>
      <c r="I234" s="3" t="s">
        <v>22</v>
      </c>
      <c r="J234" s="3" t="s">
        <v>46</v>
      </c>
      <c r="K234" s="3">
        <v>3</v>
      </c>
      <c r="L234" s="3">
        <v>2</v>
      </c>
      <c r="M234" s="3">
        <v>5882</v>
      </c>
      <c r="N234" s="3">
        <v>11764</v>
      </c>
      <c r="O234" s="3">
        <v>11764</v>
      </c>
      <c r="P234" s="3" t="s">
        <v>51</v>
      </c>
      <c r="Q234" s="3">
        <v>0</v>
      </c>
      <c r="R234" s="3" t="str">
        <f t="shared" si="3"/>
        <v>Not Cancelled</v>
      </c>
      <c r="S234" s="3" t="s">
        <v>25</v>
      </c>
    </row>
    <row r="235" spans="1:19" x14ac:dyDescent="0.35">
      <c r="A235" s="3">
        <v>1234</v>
      </c>
      <c r="B235" s="3" t="s">
        <v>305</v>
      </c>
      <c r="C235" s="4">
        <v>45615</v>
      </c>
      <c r="D235" s="3" t="s">
        <v>128</v>
      </c>
      <c r="E235" s="4">
        <v>45649</v>
      </c>
      <c r="F235" s="4">
        <v>45653</v>
      </c>
      <c r="G235" s="3" t="s">
        <v>42</v>
      </c>
      <c r="H235" s="3" t="s">
        <v>21</v>
      </c>
      <c r="I235" s="3" t="s">
        <v>39</v>
      </c>
      <c r="J235" s="3" t="s">
        <v>23</v>
      </c>
      <c r="K235" s="3">
        <v>34</v>
      </c>
      <c r="L235" s="3">
        <v>4</v>
      </c>
      <c r="M235" s="3">
        <v>5294</v>
      </c>
      <c r="N235" s="3">
        <v>21176</v>
      </c>
      <c r="O235" s="3">
        <v>0</v>
      </c>
      <c r="P235" s="3" t="s">
        <v>24</v>
      </c>
      <c r="Q235" s="3">
        <v>1</v>
      </c>
      <c r="R235" s="3" t="str">
        <f t="shared" si="3"/>
        <v>Cancelled</v>
      </c>
      <c r="S235" s="3" t="s">
        <v>31</v>
      </c>
    </row>
    <row r="236" spans="1:19" x14ac:dyDescent="0.35">
      <c r="A236" s="3">
        <v>1235</v>
      </c>
      <c r="B236" s="3" t="s">
        <v>306</v>
      </c>
      <c r="C236" s="4">
        <v>45568</v>
      </c>
      <c r="D236" s="3" t="s">
        <v>100</v>
      </c>
      <c r="E236" s="4">
        <v>45625</v>
      </c>
      <c r="F236" s="4">
        <v>45626</v>
      </c>
      <c r="G236" s="3" t="s">
        <v>34</v>
      </c>
      <c r="H236" s="3" t="s">
        <v>35</v>
      </c>
      <c r="I236" s="3" t="s">
        <v>39</v>
      </c>
      <c r="J236" s="3" t="s">
        <v>30</v>
      </c>
      <c r="K236" s="3">
        <v>57</v>
      </c>
      <c r="L236" s="3">
        <v>1</v>
      </c>
      <c r="M236" s="3">
        <v>2648</v>
      </c>
      <c r="N236" s="3">
        <v>2648</v>
      </c>
      <c r="O236" s="3">
        <v>0</v>
      </c>
      <c r="P236" s="3" t="s">
        <v>51</v>
      </c>
      <c r="Q236" s="3">
        <v>1</v>
      </c>
      <c r="R236" s="3" t="str">
        <f t="shared" si="3"/>
        <v>Cancelled</v>
      </c>
      <c r="S236" s="3" t="s">
        <v>31</v>
      </c>
    </row>
    <row r="237" spans="1:19" x14ac:dyDescent="0.35">
      <c r="A237" s="3">
        <v>1236</v>
      </c>
      <c r="B237" s="3" t="s">
        <v>307</v>
      </c>
      <c r="C237" s="4">
        <v>45432</v>
      </c>
      <c r="D237" s="3" t="s">
        <v>211</v>
      </c>
      <c r="E237" s="4">
        <v>45481</v>
      </c>
      <c r="F237" s="4">
        <v>45482</v>
      </c>
      <c r="G237" s="3" t="s">
        <v>34</v>
      </c>
      <c r="H237" s="3" t="s">
        <v>21</v>
      </c>
      <c r="I237" s="3" t="s">
        <v>39</v>
      </c>
      <c r="J237" s="3" t="s">
        <v>23</v>
      </c>
      <c r="K237" s="3">
        <v>49</v>
      </c>
      <c r="L237" s="3">
        <v>1</v>
      </c>
      <c r="M237" s="3">
        <v>2937</v>
      </c>
      <c r="N237" s="3">
        <v>2937</v>
      </c>
      <c r="O237" s="3">
        <v>0</v>
      </c>
      <c r="P237" s="3" t="s">
        <v>24</v>
      </c>
      <c r="Q237" s="3">
        <v>1</v>
      </c>
      <c r="R237" s="3" t="str">
        <f t="shared" si="3"/>
        <v>Cancelled</v>
      </c>
      <c r="S237" s="3" t="s">
        <v>31</v>
      </c>
    </row>
    <row r="238" spans="1:19" x14ac:dyDescent="0.35">
      <c r="A238" s="3">
        <v>1237</v>
      </c>
      <c r="B238" s="3" t="s">
        <v>308</v>
      </c>
      <c r="C238" s="4">
        <v>45566</v>
      </c>
      <c r="D238" s="3" t="s">
        <v>111</v>
      </c>
      <c r="E238" s="4">
        <v>45589</v>
      </c>
      <c r="F238" s="4">
        <v>45592</v>
      </c>
      <c r="G238" s="3" t="s">
        <v>20</v>
      </c>
      <c r="H238" s="3" t="s">
        <v>38</v>
      </c>
      <c r="I238" s="3" t="s">
        <v>22</v>
      </c>
      <c r="J238" s="3" t="s">
        <v>46</v>
      </c>
      <c r="K238" s="3">
        <v>23</v>
      </c>
      <c r="L238" s="3">
        <v>3</v>
      </c>
      <c r="M238" s="3">
        <v>4702</v>
      </c>
      <c r="N238" s="3">
        <v>14106</v>
      </c>
      <c r="O238" s="3">
        <v>14106</v>
      </c>
      <c r="P238" s="3" t="s">
        <v>51</v>
      </c>
      <c r="Q238" s="3">
        <v>0</v>
      </c>
      <c r="R238" s="3" t="str">
        <f t="shared" si="3"/>
        <v>Not Cancelled</v>
      </c>
      <c r="S238" s="3" t="s">
        <v>31</v>
      </c>
    </row>
    <row r="239" spans="1:19" x14ac:dyDescent="0.35">
      <c r="A239" s="3">
        <v>1238</v>
      </c>
      <c r="B239" s="3" t="s">
        <v>309</v>
      </c>
      <c r="C239" s="4">
        <v>45581</v>
      </c>
      <c r="D239" s="3" t="s">
        <v>133</v>
      </c>
      <c r="E239" s="4">
        <v>45634</v>
      </c>
      <c r="F239" s="4">
        <v>45638</v>
      </c>
      <c r="G239" s="3" t="s">
        <v>42</v>
      </c>
      <c r="H239" s="3" t="s">
        <v>35</v>
      </c>
      <c r="I239" s="3" t="s">
        <v>39</v>
      </c>
      <c r="J239" s="3" t="s">
        <v>46</v>
      </c>
      <c r="K239" s="3">
        <v>53</v>
      </c>
      <c r="L239" s="3">
        <v>4</v>
      </c>
      <c r="M239" s="3">
        <v>6249</v>
      </c>
      <c r="N239" s="3">
        <v>24996</v>
      </c>
      <c r="O239" s="3">
        <v>0</v>
      </c>
      <c r="P239" s="3" t="s">
        <v>24</v>
      </c>
      <c r="Q239" s="3">
        <v>1</v>
      </c>
      <c r="R239" s="3" t="str">
        <f t="shared" si="3"/>
        <v>Cancelled</v>
      </c>
      <c r="S239" s="3" t="s">
        <v>31</v>
      </c>
    </row>
    <row r="240" spans="1:19" x14ac:dyDescent="0.35">
      <c r="A240" s="3">
        <v>1239</v>
      </c>
      <c r="B240" s="3" t="s">
        <v>310</v>
      </c>
      <c r="C240" s="4">
        <v>45625</v>
      </c>
      <c r="D240" s="3" t="s">
        <v>94</v>
      </c>
      <c r="E240" s="4">
        <v>45681</v>
      </c>
      <c r="F240" s="4">
        <v>45682</v>
      </c>
      <c r="G240" s="3" t="s">
        <v>34</v>
      </c>
      <c r="H240" s="3" t="s">
        <v>38</v>
      </c>
      <c r="I240" s="3" t="s">
        <v>22</v>
      </c>
      <c r="J240" s="3" t="s">
        <v>23</v>
      </c>
      <c r="K240" s="3">
        <v>56</v>
      </c>
      <c r="L240" s="3">
        <v>1</v>
      </c>
      <c r="M240" s="3">
        <v>5661</v>
      </c>
      <c r="N240" s="3">
        <v>5661</v>
      </c>
      <c r="O240" s="3">
        <v>0</v>
      </c>
      <c r="P240" s="3" t="s">
        <v>51</v>
      </c>
      <c r="Q240" s="3">
        <v>1</v>
      </c>
      <c r="R240" s="3" t="str">
        <f t="shared" si="3"/>
        <v>Cancelled</v>
      </c>
      <c r="S240" s="3" t="s">
        <v>31</v>
      </c>
    </row>
    <row r="241" spans="1:19" x14ac:dyDescent="0.35">
      <c r="A241" s="3">
        <v>1240</v>
      </c>
      <c r="B241" s="3" t="s">
        <v>311</v>
      </c>
      <c r="C241" s="4">
        <v>45343</v>
      </c>
      <c r="D241" s="3" t="s">
        <v>226</v>
      </c>
      <c r="E241" s="4">
        <v>45395</v>
      </c>
      <c r="F241" s="4">
        <v>45399</v>
      </c>
      <c r="G241" s="3" t="s">
        <v>42</v>
      </c>
      <c r="H241" s="3" t="s">
        <v>29</v>
      </c>
      <c r="I241" s="3" t="s">
        <v>22</v>
      </c>
      <c r="J241" s="3" t="s">
        <v>46</v>
      </c>
      <c r="K241" s="3">
        <v>52</v>
      </c>
      <c r="L241" s="3">
        <v>4</v>
      </c>
      <c r="M241" s="3">
        <v>8317</v>
      </c>
      <c r="N241" s="3">
        <v>33268</v>
      </c>
      <c r="O241" s="3">
        <v>0</v>
      </c>
      <c r="P241" s="3" t="s">
        <v>24</v>
      </c>
      <c r="Q241" s="3">
        <v>1</v>
      </c>
      <c r="R241" s="3" t="str">
        <f t="shared" si="3"/>
        <v>Cancelled</v>
      </c>
      <c r="S241" s="3" t="s">
        <v>31</v>
      </c>
    </row>
    <row r="242" spans="1:19" x14ac:dyDescent="0.35">
      <c r="A242" s="3">
        <v>1241</v>
      </c>
      <c r="B242" s="3" t="s">
        <v>312</v>
      </c>
      <c r="C242" s="4">
        <v>45318</v>
      </c>
      <c r="D242" s="3" t="s">
        <v>111</v>
      </c>
      <c r="E242" s="4">
        <v>45341</v>
      </c>
      <c r="F242" s="4">
        <v>45346</v>
      </c>
      <c r="G242" s="3" t="s">
        <v>45</v>
      </c>
      <c r="H242" s="3" t="s">
        <v>35</v>
      </c>
      <c r="I242" s="3" t="s">
        <v>39</v>
      </c>
      <c r="J242" s="3" t="s">
        <v>23</v>
      </c>
      <c r="K242" s="3">
        <v>23</v>
      </c>
      <c r="L242" s="3">
        <v>5</v>
      </c>
      <c r="M242" s="3">
        <v>6401</v>
      </c>
      <c r="N242" s="3">
        <v>32005</v>
      </c>
      <c r="O242" s="3">
        <v>32005</v>
      </c>
      <c r="P242" s="3" t="s">
        <v>51</v>
      </c>
      <c r="Q242" s="3">
        <v>0</v>
      </c>
      <c r="R242" s="3" t="str">
        <f t="shared" si="3"/>
        <v>Not Cancelled</v>
      </c>
      <c r="S242" s="3" t="s">
        <v>31</v>
      </c>
    </row>
    <row r="243" spans="1:19" x14ac:dyDescent="0.35">
      <c r="A243" s="3">
        <v>1242</v>
      </c>
      <c r="B243" s="3" t="s">
        <v>313</v>
      </c>
      <c r="C243" s="4">
        <v>45448</v>
      </c>
      <c r="D243" s="3" t="s">
        <v>64</v>
      </c>
      <c r="E243" s="4">
        <v>45493</v>
      </c>
      <c r="F243" s="4">
        <v>45495</v>
      </c>
      <c r="G243" s="3" t="s">
        <v>28</v>
      </c>
      <c r="H243" s="3" t="s">
        <v>21</v>
      </c>
      <c r="I243" s="3" t="s">
        <v>22</v>
      </c>
      <c r="J243" s="3" t="s">
        <v>23</v>
      </c>
      <c r="K243" s="3">
        <v>45</v>
      </c>
      <c r="L243" s="3">
        <v>2</v>
      </c>
      <c r="M243" s="3">
        <v>6953</v>
      </c>
      <c r="N243" s="3">
        <v>13906</v>
      </c>
      <c r="O243" s="3">
        <v>13906</v>
      </c>
      <c r="P243" s="3" t="s">
        <v>24</v>
      </c>
      <c r="Q243" s="3">
        <v>0</v>
      </c>
      <c r="R243" s="3" t="str">
        <f t="shared" si="3"/>
        <v>Not Cancelled</v>
      </c>
      <c r="S243" s="3" t="s">
        <v>31</v>
      </c>
    </row>
    <row r="244" spans="1:19" x14ac:dyDescent="0.35">
      <c r="A244" s="3">
        <v>1243</v>
      </c>
      <c r="B244" s="3" t="s">
        <v>314</v>
      </c>
      <c r="C244" s="4">
        <v>45530</v>
      </c>
      <c r="D244" s="3" t="s">
        <v>45</v>
      </c>
      <c r="E244" s="4">
        <v>45535</v>
      </c>
      <c r="F244" s="4">
        <v>45537</v>
      </c>
      <c r="G244" s="3" t="s">
        <v>28</v>
      </c>
      <c r="H244" s="3" t="s">
        <v>29</v>
      </c>
      <c r="I244" s="3" t="s">
        <v>39</v>
      </c>
      <c r="J244" s="3" t="s">
        <v>30</v>
      </c>
      <c r="K244" s="3">
        <v>5</v>
      </c>
      <c r="L244" s="3">
        <v>2</v>
      </c>
      <c r="M244" s="3">
        <v>5745</v>
      </c>
      <c r="N244" s="3">
        <v>11490</v>
      </c>
      <c r="O244" s="3">
        <v>11490</v>
      </c>
      <c r="P244" s="3" t="s">
        <v>51</v>
      </c>
      <c r="Q244" s="3">
        <v>0</v>
      </c>
      <c r="R244" s="3" t="str">
        <f t="shared" si="3"/>
        <v>Not Cancelled</v>
      </c>
      <c r="S244" s="3" t="s">
        <v>31</v>
      </c>
    </row>
    <row r="245" spans="1:19" x14ac:dyDescent="0.35">
      <c r="A245" s="3">
        <v>1244</v>
      </c>
      <c r="B245" s="3" t="s">
        <v>315</v>
      </c>
      <c r="C245" s="4">
        <v>45447</v>
      </c>
      <c r="D245" s="3" t="s">
        <v>48</v>
      </c>
      <c r="E245" s="4">
        <v>45478</v>
      </c>
      <c r="F245" s="4">
        <v>45480</v>
      </c>
      <c r="G245" s="3" t="s">
        <v>28</v>
      </c>
      <c r="H245" s="3" t="s">
        <v>38</v>
      </c>
      <c r="I245" s="3" t="s">
        <v>22</v>
      </c>
      <c r="J245" s="3" t="s">
        <v>46</v>
      </c>
      <c r="K245" s="3">
        <v>31</v>
      </c>
      <c r="L245" s="3">
        <v>2</v>
      </c>
      <c r="M245" s="3">
        <v>7836</v>
      </c>
      <c r="N245" s="3">
        <v>15672</v>
      </c>
      <c r="O245" s="3">
        <v>0</v>
      </c>
      <c r="P245" s="3" t="s">
        <v>24</v>
      </c>
      <c r="Q245" s="3">
        <v>1</v>
      </c>
      <c r="R245" s="3" t="str">
        <f t="shared" si="3"/>
        <v>Cancelled</v>
      </c>
      <c r="S245" s="3" t="s">
        <v>31</v>
      </c>
    </row>
    <row r="246" spans="1:19" x14ac:dyDescent="0.35">
      <c r="A246" s="3">
        <v>1245</v>
      </c>
      <c r="B246" s="3" t="s">
        <v>316</v>
      </c>
      <c r="C246" s="4">
        <v>45582</v>
      </c>
      <c r="D246" s="3" t="s">
        <v>133</v>
      </c>
      <c r="E246" s="4">
        <v>45635</v>
      </c>
      <c r="F246" s="4">
        <v>45639</v>
      </c>
      <c r="G246" s="3" t="s">
        <v>42</v>
      </c>
      <c r="H246" s="3" t="s">
        <v>38</v>
      </c>
      <c r="I246" s="3" t="s">
        <v>22</v>
      </c>
      <c r="J246" s="3" t="s">
        <v>30</v>
      </c>
      <c r="K246" s="3">
        <v>53</v>
      </c>
      <c r="L246" s="3">
        <v>4</v>
      </c>
      <c r="M246" s="3">
        <v>8526</v>
      </c>
      <c r="N246" s="3">
        <v>34104</v>
      </c>
      <c r="O246" s="3">
        <v>34104</v>
      </c>
      <c r="P246" s="3" t="s">
        <v>51</v>
      </c>
      <c r="Q246" s="3">
        <v>0</v>
      </c>
      <c r="R246" s="3" t="str">
        <f t="shared" si="3"/>
        <v>Not Cancelled</v>
      </c>
      <c r="S246" s="3" t="s">
        <v>31</v>
      </c>
    </row>
    <row r="247" spans="1:19" x14ac:dyDescent="0.35">
      <c r="A247" s="3">
        <v>1246</v>
      </c>
      <c r="B247" s="3" t="s">
        <v>178</v>
      </c>
      <c r="C247" s="4">
        <v>45427</v>
      </c>
      <c r="D247" s="3" t="s">
        <v>86</v>
      </c>
      <c r="E247" s="4">
        <v>45468</v>
      </c>
      <c r="F247" s="4">
        <v>45472</v>
      </c>
      <c r="G247" s="3" t="s">
        <v>42</v>
      </c>
      <c r="H247" s="3" t="s">
        <v>21</v>
      </c>
      <c r="I247" s="3" t="s">
        <v>39</v>
      </c>
      <c r="J247" s="3" t="s">
        <v>46</v>
      </c>
      <c r="K247" s="3">
        <v>41</v>
      </c>
      <c r="L247" s="3">
        <v>4</v>
      </c>
      <c r="M247" s="3">
        <v>7051</v>
      </c>
      <c r="N247" s="3">
        <v>28204</v>
      </c>
      <c r="O247" s="3">
        <v>0</v>
      </c>
      <c r="P247" s="3" t="s">
        <v>24</v>
      </c>
      <c r="Q247" s="3">
        <v>1</v>
      </c>
      <c r="R247" s="3" t="str">
        <f t="shared" si="3"/>
        <v>Cancelled</v>
      </c>
      <c r="S247" s="3" t="s">
        <v>25</v>
      </c>
    </row>
    <row r="248" spans="1:19" x14ac:dyDescent="0.35">
      <c r="A248" s="3">
        <v>1247</v>
      </c>
      <c r="B248" s="3" t="s">
        <v>317</v>
      </c>
      <c r="C248" s="4">
        <v>45435</v>
      </c>
      <c r="D248" s="3" t="s">
        <v>100</v>
      </c>
      <c r="E248" s="4">
        <v>45492</v>
      </c>
      <c r="F248" s="4">
        <v>45495</v>
      </c>
      <c r="G248" s="3" t="s">
        <v>20</v>
      </c>
      <c r="H248" s="3" t="s">
        <v>29</v>
      </c>
      <c r="I248" s="3" t="s">
        <v>39</v>
      </c>
      <c r="J248" s="3" t="s">
        <v>23</v>
      </c>
      <c r="K248" s="3">
        <v>57</v>
      </c>
      <c r="L248" s="3">
        <v>3</v>
      </c>
      <c r="M248" s="3">
        <v>5323</v>
      </c>
      <c r="N248" s="3">
        <v>15969</v>
      </c>
      <c r="O248" s="3">
        <v>0</v>
      </c>
      <c r="P248" s="3" t="s">
        <v>24</v>
      </c>
      <c r="Q248" s="3">
        <v>1</v>
      </c>
      <c r="R248" s="3" t="str">
        <f t="shared" si="3"/>
        <v>Cancelled</v>
      </c>
      <c r="S248" s="3" t="s">
        <v>25</v>
      </c>
    </row>
    <row r="249" spans="1:19" x14ac:dyDescent="0.35">
      <c r="A249" s="3">
        <v>1248</v>
      </c>
      <c r="B249" s="3" t="s">
        <v>318</v>
      </c>
      <c r="C249" s="4">
        <v>45397</v>
      </c>
      <c r="D249" s="3" t="s">
        <v>100</v>
      </c>
      <c r="E249" s="4">
        <v>45454</v>
      </c>
      <c r="F249" s="4">
        <v>45456</v>
      </c>
      <c r="G249" s="3" t="s">
        <v>28</v>
      </c>
      <c r="H249" s="3" t="s">
        <v>60</v>
      </c>
      <c r="I249" s="3" t="s">
        <v>39</v>
      </c>
      <c r="J249" s="3" t="s">
        <v>46</v>
      </c>
      <c r="K249" s="3">
        <v>57</v>
      </c>
      <c r="L249" s="3">
        <v>2</v>
      </c>
      <c r="M249" s="3">
        <v>8228</v>
      </c>
      <c r="N249" s="3">
        <v>16456</v>
      </c>
      <c r="O249" s="3">
        <v>0</v>
      </c>
      <c r="P249" s="3" t="s">
        <v>24</v>
      </c>
      <c r="Q249" s="3">
        <v>1</v>
      </c>
      <c r="R249" s="3" t="str">
        <f t="shared" si="3"/>
        <v>Cancelled</v>
      </c>
      <c r="S249" s="3" t="s">
        <v>31</v>
      </c>
    </row>
    <row r="250" spans="1:19" x14ac:dyDescent="0.35">
      <c r="A250" s="3">
        <v>1249</v>
      </c>
      <c r="B250" s="3" t="s">
        <v>130</v>
      </c>
      <c r="C250" s="4">
        <v>45449</v>
      </c>
      <c r="D250" s="3" t="s">
        <v>117</v>
      </c>
      <c r="E250" s="4">
        <v>45503</v>
      </c>
      <c r="F250" s="4">
        <v>45506</v>
      </c>
      <c r="G250" s="3" t="s">
        <v>20</v>
      </c>
      <c r="H250" s="3" t="s">
        <v>21</v>
      </c>
      <c r="I250" s="3" t="s">
        <v>39</v>
      </c>
      <c r="J250" s="3" t="s">
        <v>23</v>
      </c>
      <c r="K250" s="3">
        <v>54</v>
      </c>
      <c r="L250" s="3">
        <v>3</v>
      </c>
      <c r="M250" s="3">
        <v>7224</v>
      </c>
      <c r="N250" s="3">
        <v>21672</v>
      </c>
      <c r="O250" s="3">
        <v>21672</v>
      </c>
      <c r="P250" s="3" t="s">
        <v>24</v>
      </c>
      <c r="Q250" s="3">
        <v>0</v>
      </c>
      <c r="R250" s="3" t="str">
        <f t="shared" si="3"/>
        <v>Not Cancelled</v>
      </c>
      <c r="S250" s="3" t="s">
        <v>31</v>
      </c>
    </row>
    <row r="251" spans="1:19" x14ac:dyDescent="0.35">
      <c r="A251" s="3">
        <v>1250</v>
      </c>
      <c r="B251" s="3" t="s">
        <v>319</v>
      </c>
      <c r="C251" s="4">
        <v>45437</v>
      </c>
      <c r="D251" s="3" t="s">
        <v>55</v>
      </c>
      <c r="E251" s="4">
        <v>45443</v>
      </c>
      <c r="F251" s="4">
        <v>45445</v>
      </c>
      <c r="G251" s="3" t="s">
        <v>28</v>
      </c>
      <c r="H251" s="3" t="s">
        <v>38</v>
      </c>
      <c r="I251" s="3" t="s">
        <v>39</v>
      </c>
      <c r="J251" s="3" t="s">
        <v>46</v>
      </c>
      <c r="K251" s="3">
        <v>6</v>
      </c>
      <c r="L251" s="3">
        <v>2</v>
      </c>
      <c r="M251" s="3">
        <v>5770</v>
      </c>
      <c r="N251" s="3">
        <v>11540</v>
      </c>
      <c r="O251" s="3">
        <v>11540</v>
      </c>
      <c r="P251" s="3" t="s">
        <v>24</v>
      </c>
      <c r="Q251" s="3">
        <v>0</v>
      </c>
      <c r="R251" s="3" t="str">
        <f t="shared" si="3"/>
        <v>Not Cancelled</v>
      </c>
      <c r="S251" s="3" t="s">
        <v>31</v>
      </c>
    </row>
    <row r="252" spans="1:19" x14ac:dyDescent="0.35">
      <c r="A252" s="3">
        <v>1251</v>
      </c>
      <c r="B252" s="3" t="s">
        <v>320</v>
      </c>
      <c r="C252" s="4">
        <v>45293</v>
      </c>
      <c r="D252" s="3" t="s">
        <v>105</v>
      </c>
      <c r="E252" s="4">
        <v>45330</v>
      </c>
      <c r="F252" s="4">
        <v>45333</v>
      </c>
      <c r="G252" s="3" t="s">
        <v>20</v>
      </c>
      <c r="H252" s="3" t="s">
        <v>35</v>
      </c>
      <c r="I252" s="3" t="s">
        <v>39</v>
      </c>
      <c r="J252" s="3" t="s">
        <v>30</v>
      </c>
      <c r="K252" s="3">
        <v>37</v>
      </c>
      <c r="L252" s="3">
        <v>3</v>
      </c>
      <c r="M252" s="3">
        <v>2985</v>
      </c>
      <c r="N252" s="3">
        <v>8955</v>
      </c>
      <c r="O252" s="3">
        <v>8955</v>
      </c>
      <c r="P252" s="3" t="s">
        <v>24</v>
      </c>
      <c r="Q252" s="3">
        <v>0</v>
      </c>
      <c r="R252" s="3" t="str">
        <f t="shared" si="3"/>
        <v>Not Cancelled</v>
      </c>
      <c r="S252" s="3" t="s">
        <v>25</v>
      </c>
    </row>
    <row r="253" spans="1:19" x14ac:dyDescent="0.35">
      <c r="A253" s="3">
        <v>1252</v>
      </c>
      <c r="B253" s="3" t="s">
        <v>233</v>
      </c>
      <c r="C253" s="4">
        <v>45368</v>
      </c>
      <c r="D253" s="3" t="s">
        <v>100</v>
      </c>
      <c r="E253" s="4">
        <v>45425</v>
      </c>
      <c r="F253" s="4">
        <v>45428</v>
      </c>
      <c r="G253" s="3" t="s">
        <v>20</v>
      </c>
      <c r="H253" s="3" t="s">
        <v>29</v>
      </c>
      <c r="I253" s="3" t="s">
        <v>22</v>
      </c>
      <c r="J253" s="3" t="s">
        <v>30</v>
      </c>
      <c r="K253" s="3">
        <v>57</v>
      </c>
      <c r="L253" s="3">
        <v>3</v>
      </c>
      <c r="M253" s="3">
        <v>2699</v>
      </c>
      <c r="N253" s="3">
        <v>8097</v>
      </c>
      <c r="O253" s="3">
        <v>8097</v>
      </c>
      <c r="P253" s="3" t="s">
        <v>24</v>
      </c>
      <c r="Q253" s="3">
        <v>0</v>
      </c>
      <c r="R253" s="3" t="str">
        <f t="shared" si="3"/>
        <v>Not Cancelled</v>
      </c>
      <c r="S253" s="3" t="s">
        <v>25</v>
      </c>
    </row>
    <row r="254" spans="1:19" x14ac:dyDescent="0.35">
      <c r="A254" s="3">
        <v>1253</v>
      </c>
      <c r="B254" s="3" t="s">
        <v>321</v>
      </c>
      <c r="C254" s="4">
        <v>45423</v>
      </c>
      <c r="D254" s="3" t="s">
        <v>37</v>
      </c>
      <c r="E254" s="4">
        <v>45433</v>
      </c>
      <c r="F254" s="4">
        <v>45438</v>
      </c>
      <c r="G254" s="3" t="s">
        <v>45</v>
      </c>
      <c r="H254" s="3" t="s">
        <v>60</v>
      </c>
      <c r="I254" s="3" t="s">
        <v>22</v>
      </c>
      <c r="J254" s="3" t="s">
        <v>23</v>
      </c>
      <c r="K254" s="3">
        <v>10</v>
      </c>
      <c r="L254" s="3">
        <v>5</v>
      </c>
      <c r="M254" s="3">
        <v>6966</v>
      </c>
      <c r="N254" s="3">
        <v>34830</v>
      </c>
      <c r="O254" s="3">
        <v>0</v>
      </c>
      <c r="P254" s="3" t="s">
        <v>24</v>
      </c>
      <c r="Q254" s="3">
        <v>1</v>
      </c>
      <c r="R254" s="3" t="str">
        <f t="shared" si="3"/>
        <v>Cancelled</v>
      </c>
      <c r="S254" s="3" t="s">
        <v>25</v>
      </c>
    </row>
    <row r="255" spans="1:19" x14ac:dyDescent="0.35">
      <c r="A255" s="3">
        <v>1254</v>
      </c>
      <c r="B255" s="3" t="s">
        <v>322</v>
      </c>
      <c r="C255" s="4">
        <v>45381</v>
      </c>
      <c r="D255" s="3" t="s">
        <v>179</v>
      </c>
      <c r="E255" s="4">
        <v>45421</v>
      </c>
      <c r="F255" s="4">
        <v>45424</v>
      </c>
      <c r="G255" s="3" t="s">
        <v>20</v>
      </c>
      <c r="H255" s="3" t="s">
        <v>35</v>
      </c>
      <c r="I255" s="3" t="s">
        <v>22</v>
      </c>
      <c r="J255" s="3" t="s">
        <v>30</v>
      </c>
      <c r="K255" s="3">
        <v>40</v>
      </c>
      <c r="L255" s="3">
        <v>3</v>
      </c>
      <c r="M255" s="3">
        <v>7609</v>
      </c>
      <c r="N255" s="3">
        <v>22827</v>
      </c>
      <c r="O255" s="3">
        <v>0</v>
      </c>
      <c r="P255" s="3" t="s">
        <v>51</v>
      </c>
      <c r="Q255" s="3">
        <v>1</v>
      </c>
      <c r="R255" s="3" t="str">
        <f t="shared" si="3"/>
        <v>Cancelled</v>
      </c>
      <c r="S255" s="3" t="s">
        <v>31</v>
      </c>
    </row>
    <row r="256" spans="1:19" x14ac:dyDescent="0.35">
      <c r="A256" s="3">
        <v>1255</v>
      </c>
      <c r="B256" s="3" t="s">
        <v>323</v>
      </c>
      <c r="C256" s="4">
        <v>45636</v>
      </c>
      <c r="D256" s="3" t="s">
        <v>209</v>
      </c>
      <c r="E256" s="4">
        <v>45643</v>
      </c>
      <c r="F256" s="4">
        <v>45647</v>
      </c>
      <c r="G256" s="3" t="s">
        <v>42</v>
      </c>
      <c r="H256" s="3" t="s">
        <v>29</v>
      </c>
      <c r="I256" s="3" t="s">
        <v>22</v>
      </c>
      <c r="J256" s="3" t="s">
        <v>23</v>
      </c>
      <c r="K256" s="3">
        <v>7</v>
      </c>
      <c r="L256" s="3">
        <v>4</v>
      </c>
      <c r="M256" s="3">
        <v>4482</v>
      </c>
      <c r="N256" s="3">
        <v>17928</v>
      </c>
      <c r="O256" s="3">
        <v>17928</v>
      </c>
      <c r="P256" s="3" t="s">
        <v>51</v>
      </c>
      <c r="Q256" s="3">
        <v>0</v>
      </c>
      <c r="R256" s="3" t="str">
        <f t="shared" si="3"/>
        <v>Not Cancelled</v>
      </c>
      <c r="S256" s="3" t="s">
        <v>31</v>
      </c>
    </row>
    <row r="257" spans="1:19" x14ac:dyDescent="0.35">
      <c r="A257" s="3">
        <v>1256</v>
      </c>
      <c r="B257" s="3" t="s">
        <v>172</v>
      </c>
      <c r="C257" s="4">
        <v>45641</v>
      </c>
      <c r="D257" s="3" t="s">
        <v>153</v>
      </c>
      <c r="E257" s="4">
        <v>45680</v>
      </c>
      <c r="F257" s="4">
        <v>45683</v>
      </c>
      <c r="G257" s="3" t="s">
        <v>20</v>
      </c>
      <c r="H257" s="3" t="s">
        <v>21</v>
      </c>
      <c r="I257" s="3" t="s">
        <v>39</v>
      </c>
      <c r="J257" s="3" t="s">
        <v>23</v>
      </c>
      <c r="K257" s="3">
        <v>39</v>
      </c>
      <c r="L257" s="3">
        <v>3</v>
      </c>
      <c r="M257" s="3">
        <v>3971</v>
      </c>
      <c r="N257" s="3">
        <v>11913</v>
      </c>
      <c r="O257" s="3">
        <v>0</v>
      </c>
      <c r="P257" s="3" t="s">
        <v>51</v>
      </c>
      <c r="Q257" s="3">
        <v>1</v>
      </c>
      <c r="R257" s="3" t="str">
        <f t="shared" si="3"/>
        <v>Cancelled</v>
      </c>
      <c r="S257" s="3" t="s">
        <v>31</v>
      </c>
    </row>
    <row r="258" spans="1:19" x14ac:dyDescent="0.35">
      <c r="A258" s="3">
        <v>1257</v>
      </c>
      <c r="B258" s="3" t="s">
        <v>65</v>
      </c>
      <c r="C258" s="4">
        <v>45554</v>
      </c>
      <c r="D258" s="3" t="s">
        <v>115</v>
      </c>
      <c r="E258" s="4">
        <v>45592</v>
      </c>
      <c r="F258" s="4">
        <v>45594</v>
      </c>
      <c r="G258" s="3" t="s">
        <v>28</v>
      </c>
      <c r="H258" s="3" t="s">
        <v>21</v>
      </c>
      <c r="I258" s="3" t="s">
        <v>22</v>
      </c>
      <c r="J258" s="3" t="s">
        <v>23</v>
      </c>
      <c r="K258" s="3">
        <v>38</v>
      </c>
      <c r="L258" s="3">
        <v>2</v>
      </c>
      <c r="M258" s="3">
        <v>6843</v>
      </c>
      <c r="N258" s="3">
        <v>13686</v>
      </c>
      <c r="O258" s="3">
        <v>0</v>
      </c>
      <c r="P258" s="3" t="s">
        <v>24</v>
      </c>
      <c r="Q258" s="3">
        <v>1</v>
      </c>
      <c r="R258" s="3" t="str">
        <f t="shared" si="3"/>
        <v>Cancelled</v>
      </c>
      <c r="S258" s="3" t="s">
        <v>31</v>
      </c>
    </row>
    <row r="259" spans="1:19" x14ac:dyDescent="0.35">
      <c r="A259" s="3">
        <v>1258</v>
      </c>
      <c r="B259" s="3" t="s">
        <v>324</v>
      </c>
      <c r="C259" s="4">
        <v>45642</v>
      </c>
      <c r="D259" s="3" t="s">
        <v>175</v>
      </c>
      <c r="E259" s="4">
        <v>45663</v>
      </c>
      <c r="F259" s="4">
        <v>45666</v>
      </c>
      <c r="G259" s="3" t="s">
        <v>20</v>
      </c>
      <c r="H259" s="3" t="s">
        <v>29</v>
      </c>
      <c r="I259" s="3" t="s">
        <v>22</v>
      </c>
      <c r="J259" s="3" t="s">
        <v>46</v>
      </c>
      <c r="K259" s="3">
        <v>21</v>
      </c>
      <c r="L259" s="3">
        <v>3</v>
      </c>
      <c r="M259" s="3">
        <v>7383</v>
      </c>
      <c r="N259" s="3">
        <v>22149</v>
      </c>
      <c r="O259" s="3">
        <v>22149</v>
      </c>
      <c r="P259" s="3" t="s">
        <v>24</v>
      </c>
      <c r="Q259" s="3">
        <v>0</v>
      </c>
      <c r="R259" s="3" t="str">
        <f t="shared" ref="R259:R322" si="4">IF(Q259=0,"Not Cancelled","Cancelled")</f>
        <v>Not Cancelled</v>
      </c>
      <c r="S259" s="3" t="s">
        <v>25</v>
      </c>
    </row>
    <row r="260" spans="1:19" x14ac:dyDescent="0.35">
      <c r="A260" s="3">
        <v>1259</v>
      </c>
      <c r="B260" s="3" t="s">
        <v>325</v>
      </c>
      <c r="C260" s="4">
        <v>45399</v>
      </c>
      <c r="D260" s="3" t="s">
        <v>157</v>
      </c>
      <c r="E260" s="4">
        <v>45419</v>
      </c>
      <c r="F260" s="4">
        <v>45420</v>
      </c>
      <c r="G260" s="3" t="s">
        <v>34</v>
      </c>
      <c r="H260" s="3" t="s">
        <v>60</v>
      </c>
      <c r="I260" s="3" t="s">
        <v>39</v>
      </c>
      <c r="J260" s="3" t="s">
        <v>23</v>
      </c>
      <c r="K260" s="3">
        <v>20</v>
      </c>
      <c r="L260" s="3">
        <v>1</v>
      </c>
      <c r="M260" s="3">
        <v>4811</v>
      </c>
      <c r="N260" s="3">
        <v>4811</v>
      </c>
      <c r="O260" s="3">
        <v>4811</v>
      </c>
      <c r="P260" s="3" t="s">
        <v>51</v>
      </c>
      <c r="Q260" s="3">
        <v>0</v>
      </c>
      <c r="R260" s="3" t="str">
        <f t="shared" si="4"/>
        <v>Not Cancelled</v>
      </c>
      <c r="S260" s="3" t="s">
        <v>31</v>
      </c>
    </row>
    <row r="261" spans="1:19" x14ac:dyDescent="0.35">
      <c r="A261" s="3">
        <v>1260</v>
      </c>
      <c r="B261" s="3" t="s">
        <v>326</v>
      </c>
      <c r="C261" s="4">
        <v>45365</v>
      </c>
      <c r="D261" s="3" t="s">
        <v>20</v>
      </c>
      <c r="E261" s="4">
        <v>45368</v>
      </c>
      <c r="F261" s="4">
        <v>45370</v>
      </c>
      <c r="G261" s="3" t="s">
        <v>28</v>
      </c>
      <c r="H261" s="3" t="s">
        <v>29</v>
      </c>
      <c r="I261" s="3" t="s">
        <v>22</v>
      </c>
      <c r="J261" s="3" t="s">
        <v>30</v>
      </c>
      <c r="K261" s="3">
        <v>3</v>
      </c>
      <c r="L261" s="3">
        <v>2</v>
      </c>
      <c r="M261" s="3">
        <v>5873</v>
      </c>
      <c r="N261" s="3">
        <v>11746</v>
      </c>
      <c r="O261" s="3">
        <v>0</v>
      </c>
      <c r="P261" s="3" t="s">
        <v>51</v>
      </c>
      <c r="Q261" s="3">
        <v>1</v>
      </c>
      <c r="R261" s="3" t="str">
        <f t="shared" si="4"/>
        <v>Cancelled</v>
      </c>
      <c r="S261" s="3" t="s">
        <v>25</v>
      </c>
    </row>
    <row r="262" spans="1:19" x14ac:dyDescent="0.35">
      <c r="A262" s="3">
        <v>1261</v>
      </c>
      <c r="B262" s="3" t="s">
        <v>327</v>
      </c>
      <c r="C262" s="4">
        <v>45330</v>
      </c>
      <c r="D262" s="3" t="s">
        <v>124</v>
      </c>
      <c r="E262" s="4">
        <v>45381</v>
      </c>
      <c r="F262" s="4">
        <v>45382</v>
      </c>
      <c r="G262" s="3" t="s">
        <v>34</v>
      </c>
      <c r="H262" s="3" t="s">
        <v>35</v>
      </c>
      <c r="I262" s="3" t="s">
        <v>39</v>
      </c>
      <c r="J262" s="3" t="s">
        <v>46</v>
      </c>
      <c r="K262" s="3">
        <v>51</v>
      </c>
      <c r="L262" s="3">
        <v>1</v>
      </c>
      <c r="M262" s="3">
        <v>4578</v>
      </c>
      <c r="N262" s="3">
        <v>4578</v>
      </c>
      <c r="O262" s="3">
        <v>0</v>
      </c>
      <c r="P262" s="3" t="s">
        <v>24</v>
      </c>
      <c r="Q262" s="3">
        <v>1</v>
      </c>
      <c r="R262" s="3" t="str">
        <f t="shared" si="4"/>
        <v>Cancelled</v>
      </c>
      <c r="S262" s="3" t="s">
        <v>25</v>
      </c>
    </row>
    <row r="263" spans="1:19" x14ac:dyDescent="0.35">
      <c r="A263" s="3">
        <v>1262</v>
      </c>
      <c r="B263" s="3" t="s">
        <v>328</v>
      </c>
      <c r="C263" s="4">
        <v>45450</v>
      </c>
      <c r="D263" s="3" t="s">
        <v>19</v>
      </c>
      <c r="E263" s="4">
        <v>45472</v>
      </c>
      <c r="F263" s="4">
        <v>45474</v>
      </c>
      <c r="G263" s="3" t="s">
        <v>28</v>
      </c>
      <c r="H263" s="3" t="s">
        <v>35</v>
      </c>
      <c r="I263" s="3" t="s">
        <v>39</v>
      </c>
      <c r="J263" s="3" t="s">
        <v>30</v>
      </c>
      <c r="K263" s="3">
        <v>22</v>
      </c>
      <c r="L263" s="3">
        <v>2</v>
      </c>
      <c r="M263" s="3">
        <v>4021</v>
      </c>
      <c r="N263" s="3">
        <v>8042</v>
      </c>
      <c r="O263" s="3">
        <v>0</v>
      </c>
      <c r="P263" s="3" t="s">
        <v>24</v>
      </c>
      <c r="Q263" s="3">
        <v>1</v>
      </c>
      <c r="R263" s="3" t="str">
        <f t="shared" si="4"/>
        <v>Cancelled</v>
      </c>
      <c r="S263" s="3" t="s">
        <v>31</v>
      </c>
    </row>
    <row r="264" spans="1:19" x14ac:dyDescent="0.35">
      <c r="A264" s="3">
        <v>1263</v>
      </c>
      <c r="B264" s="3" t="s">
        <v>329</v>
      </c>
      <c r="C264" s="4">
        <v>45362</v>
      </c>
      <c r="D264" s="3" t="s">
        <v>148</v>
      </c>
      <c r="E264" s="4">
        <v>45409</v>
      </c>
      <c r="F264" s="4">
        <v>45413</v>
      </c>
      <c r="G264" s="3" t="s">
        <v>42</v>
      </c>
      <c r="H264" s="3" t="s">
        <v>21</v>
      </c>
      <c r="I264" s="3" t="s">
        <v>39</v>
      </c>
      <c r="J264" s="3" t="s">
        <v>23</v>
      </c>
      <c r="K264" s="3">
        <v>47</v>
      </c>
      <c r="L264" s="3">
        <v>4</v>
      </c>
      <c r="M264" s="3">
        <v>7868</v>
      </c>
      <c r="N264" s="3">
        <v>31472</v>
      </c>
      <c r="O264" s="3">
        <v>0</v>
      </c>
      <c r="P264" s="3" t="s">
        <v>51</v>
      </c>
      <c r="Q264" s="3">
        <v>1</v>
      </c>
      <c r="R264" s="3" t="str">
        <f t="shared" si="4"/>
        <v>Cancelled</v>
      </c>
      <c r="S264" s="3" t="s">
        <v>25</v>
      </c>
    </row>
    <row r="265" spans="1:19" x14ac:dyDescent="0.35">
      <c r="A265" s="3">
        <v>1264</v>
      </c>
      <c r="B265" s="3" t="s">
        <v>308</v>
      </c>
      <c r="C265" s="4">
        <v>45603</v>
      </c>
      <c r="D265" s="3" t="s">
        <v>42</v>
      </c>
      <c r="E265" s="4">
        <v>45607</v>
      </c>
      <c r="F265" s="4">
        <v>45611</v>
      </c>
      <c r="G265" s="3" t="s">
        <v>42</v>
      </c>
      <c r="H265" s="3" t="s">
        <v>29</v>
      </c>
      <c r="I265" s="3" t="s">
        <v>22</v>
      </c>
      <c r="J265" s="3" t="s">
        <v>23</v>
      </c>
      <c r="K265" s="3">
        <v>4</v>
      </c>
      <c r="L265" s="3">
        <v>4</v>
      </c>
      <c r="M265" s="3">
        <v>3104</v>
      </c>
      <c r="N265" s="3">
        <v>12416</v>
      </c>
      <c r="O265" s="3">
        <v>12416</v>
      </c>
      <c r="P265" s="3" t="s">
        <v>24</v>
      </c>
      <c r="Q265" s="3">
        <v>0</v>
      </c>
      <c r="R265" s="3" t="str">
        <f t="shared" si="4"/>
        <v>Not Cancelled</v>
      </c>
      <c r="S265" s="3" t="s">
        <v>25</v>
      </c>
    </row>
    <row r="266" spans="1:19" x14ac:dyDescent="0.35">
      <c r="A266" s="3">
        <v>1265</v>
      </c>
      <c r="B266" s="3" t="s">
        <v>330</v>
      </c>
      <c r="C266" s="4">
        <v>45532</v>
      </c>
      <c r="D266" s="3" t="s">
        <v>82</v>
      </c>
      <c r="E266" s="4">
        <v>45560</v>
      </c>
      <c r="F266" s="4">
        <v>45564</v>
      </c>
      <c r="G266" s="3" t="s">
        <v>42</v>
      </c>
      <c r="H266" s="3" t="s">
        <v>21</v>
      </c>
      <c r="I266" s="3" t="s">
        <v>39</v>
      </c>
      <c r="J266" s="3" t="s">
        <v>30</v>
      </c>
      <c r="K266" s="3">
        <v>28</v>
      </c>
      <c r="L266" s="3">
        <v>4</v>
      </c>
      <c r="M266" s="3">
        <v>6348</v>
      </c>
      <c r="N266" s="3">
        <v>25392</v>
      </c>
      <c r="O266" s="3">
        <v>25392</v>
      </c>
      <c r="P266" s="3" t="s">
        <v>51</v>
      </c>
      <c r="Q266" s="3">
        <v>0</v>
      </c>
      <c r="R266" s="3" t="str">
        <f t="shared" si="4"/>
        <v>Not Cancelled</v>
      </c>
      <c r="S266" s="3" t="s">
        <v>25</v>
      </c>
    </row>
    <row r="267" spans="1:19" x14ac:dyDescent="0.35">
      <c r="A267" s="3">
        <v>1266</v>
      </c>
      <c r="B267" s="3" t="s">
        <v>331</v>
      </c>
      <c r="C267" s="4">
        <v>45589</v>
      </c>
      <c r="D267" s="3" t="s">
        <v>102</v>
      </c>
      <c r="E267" s="4">
        <v>45601</v>
      </c>
      <c r="F267" s="4">
        <v>45602</v>
      </c>
      <c r="G267" s="3" t="s">
        <v>34</v>
      </c>
      <c r="H267" s="3" t="s">
        <v>60</v>
      </c>
      <c r="I267" s="3" t="s">
        <v>22</v>
      </c>
      <c r="J267" s="3" t="s">
        <v>46</v>
      </c>
      <c r="K267" s="3">
        <v>12</v>
      </c>
      <c r="L267" s="3">
        <v>1</v>
      </c>
      <c r="M267" s="3">
        <v>5842</v>
      </c>
      <c r="N267" s="3">
        <v>5842</v>
      </c>
      <c r="O267" s="3">
        <v>5842</v>
      </c>
      <c r="P267" s="3" t="s">
        <v>24</v>
      </c>
      <c r="Q267" s="3">
        <v>0</v>
      </c>
      <c r="R267" s="3" t="str">
        <f t="shared" si="4"/>
        <v>Not Cancelled</v>
      </c>
      <c r="S267" s="3" t="s">
        <v>25</v>
      </c>
    </row>
    <row r="268" spans="1:19" x14ac:dyDescent="0.35">
      <c r="A268" s="3">
        <v>1267</v>
      </c>
      <c r="B268" s="3" t="s">
        <v>169</v>
      </c>
      <c r="C268" s="4">
        <v>45327</v>
      </c>
      <c r="D268" s="3" t="s">
        <v>115</v>
      </c>
      <c r="E268" s="4">
        <v>45365</v>
      </c>
      <c r="F268" s="4">
        <v>45370</v>
      </c>
      <c r="G268" s="3" t="s">
        <v>45</v>
      </c>
      <c r="H268" s="3" t="s">
        <v>35</v>
      </c>
      <c r="I268" s="3" t="s">
        <v>22</v>
      </c>
      <c r="J268" s="3" t="s">
        <v>30</v>
      </c>
      <c r="K268" s="3">
        <v>38</v>
      </c>
      <c r="L268" s="3">
        <v>5</v>
      </c>
      <c r="M268" s="3">
        <v>8285</v>
      </c>
      <c r="N268" s="3">
        <v>41425</v>
      </c>
      <c r="O268" s="3">
        <v>0</v>
      </c>
      <c r="P268" s="3" t="s">
        <v>51</v>
      </c>
      <c r="Q268" s="3">
        <v>1</v>
      </c>
      <c r="R268" s="3" t="str">
        <f t="shared" si="4"/>
        <v>Cancelled</v>
      </c>
      <c r="S268" s="3" t="s">
        <v>31</v>
      </c>
    </row>
    <row r="269" spans="1:19" x14ac:dyDescent="0.35">
      <c r="A269" s="3">
        <v>1268</v>
      </c>
      <c r="B269" s="3" t="s">
        <v>332</v>
      </c>
      <c r="C269" s="4">
        <v>45375</v>
      </c>
      <c r="D269" s="3" t="s">
        <v>124</v>
      </c>
      <c r="E269" s="4">
        <v>45426</v>
      </c>
      <c r="F269" s="4">
        <v>45428</v>
      </c>
      <c r="G269" s="3" t="s">
        <v>28</v>
      </c>
      <c r="H269" s="3" t="s">
        <v>38</v>
      </c>
      <c r="I269" s="3" t="s">
        <v>22</v>
      </c>
      <c r="J269" s="3" t="s">
        <v>23</v>
      </c>
      <c r="K269" s="3">
        <v>51</v>
      </c>
      <c r="L269" s="3">
        <v>2</v>
      </c>
      <c r="M269" s="3">
        <v>3917</v>
      </c>
      <c r="N269" s="3">
        <v>7834</v>
      </c>
      <c r="O269" s="3">
        <v>7834</v>
      </c>
      <c r="P269" s="3" t="s">
        <v>51</v>
      </c>
      <c r="Q269" s="3">
        <v>0</v>
      </c>
      <c r="R269" s="3" t="str">
        <f t="shared" si="4"/>
        <v>Not Cancelled</v>
      </c>
      <c r="S269" s="3" t="s">
        <v>31</v>
      </c>
    </row>
    <row r="270" spans="1:19" x14ac:dyDescent="0.35">
      <c r="A270" s="3">
        <v>1269</v>
      </c>
      <c r="B270" s="3" t="s">
        <v>287</v>
      </c>
      <c r="C270" s="4">
        <v>45554</v>
      </c>
      <c r="D270" s="3" t="s">
        <v>146</v>
      </c>
      <c r="E270" s="4">
        <v>45590</v>
      </c>
      <c r="F270" s="4">
        <v>45594</v>
      </c>
      <c r="G270" s="3" t="s">
        <v>42</v>
      </c>
      <c r="H270" s="3" t="s">
        <v>38</v>
      </c>
      <c r="I270" s="3" t="s">
        <v>39</v>
      </c>
      <c r="J270" s="3" t="s">
        <v>46</v>
      </c>
      <c r="K270" s="3">
        <v>36</v>
      </c>
      <c r="L270" s="3">
        <v>4</v>
      </c>
      <c r="M270" s="3">
        <v>8416</v>
      </c>
      <c r="N270" s="3">
        <v>33664</v>
      </c>
      <c r="O270" s="3">
        <v>0</v>
      </c>
      <c r="P270" s="3" t="s">
        <v>24</v>
      </c>
      <c r="Q270" s="3">
        <v>1</v>
      </c>
      <c r="R270" s="3" t="str">
        <f t="shared" si="4"/>
        <v>Cancelled</v>
      </c>
      <c r="S270" s="3" t="s">
        <v>25</v>
      </c>
    </row>
    <row r="271" spans="1:19" x14ac:dyDescent="0.35">
      <c r="A271" s="3">
        <v>1270</v>
      </c>
      <c r="B271" s="3" t="s">
        <v>333</v>
      </c>
      <c r="C271" s="4">
        <v>45601</v>
      </c>
      <c r="D271" s="3" t="s">
        <v>148</v>
      </c>
      <c r="E271" s="4">
        <v>45648</v>
      </c>
      <c r="F271" s="4">
        <v>45650</v>
      </c>
      <c r="G271" s="3" t="s">
        <v>28</v>
      </c>
      <c r="H271" s="3" t="s">
        <v>29</v>
      </c>
      <c r="I271" s="3" t="s">
        <v>39</v>
      </c>
      <c r="J271" s="3" t="s">
        <v>23</v>
      </c>
      <c r="K271" s="3">
        <v>47</v>
      </c>
      <c r="L271" s="3">
        <v>2</v>
      </c>
      <c r="M271" s="3">
        <v>7097</v>
      </c>
      <c r="N271" s="3">
        <v>14194</v>
      </c>
      <c r="O271" s="3">
        <v>0</v>
      </c>
      <c r="P271" s="3" t="s">
        <v>51</v>
      </c>
      <c r="Q271" s="3">
        <v>1</v>
      </c>
      <c r="R271" s="3" t="str">
        <f t="shared" si="4"/>
        <v>Cancelled</v>
      </c>
      <c r="S271" s="3" t="s">
        <v>31</v>
      </c>
    </row>
    <row r="272" spans="1:19" x14ac:dyDescent="0.35">
      <c r="A272" s="3">
        <v>1271</v>
      </c>
      <c r="B272" s="3" t="s">
        <v>334</v>
      </c>
      <c r="C272" s="4">
        <v>45463</v>
      </c>
      <c r="D272" s="3" t="s">
        <v>86</v>
      </c>
      <c r="E272" s="4">
        <v>45504</v>
      </c>
      <c r="F272" s="4">
        <v>45505</v>
      </c>
      <c r="G272" s="3" t="s">
        <v>34</v>
      </c>
      <c r="H272" s="3" t="s">
        <v>29</v>
      </c>
      <c r="I272" s="3" t="s">
        <v>39</v>
      </c>
      <c r="J272" s="3" t="s">
        <v>23</v>
      </c>
      <c r="K272" s="3">
        <v>41</v>
      </c>
      <c r="L272" s="3">
        <v>1</v>
      </c>
      <c r="M272" s="3">
        <v>6375</v>
      </c>
      <c r="N272" s="3">
        <v>6375</v>
      </c>
      <c r="O272" s="3">
        <v>6375</v>
      </c>
      <c r="P272" s="3" t="s">
        <v>24</v>
      </c>
      <c r="Q272" s="3">
        <v>0</v>
      </c>
      <c r="R272" s="3" t="str">
        <f t="shared" si="4"/>
        <v>Not Cancelled</v>
      </c>
      <c r="S272" s="3" t="s">
        <v>25</v>
      </c>
    </row>
    <row r="273" spans="1:19" x14ac:dyDescent="0.35">
      <c r="A273" s="3">
        <v>1272</v>
      </c>
      <c r="B273" s="3" t="s">
        <v>335</v>
      </c>
      <c r="C273" s="4">
        <v>45464</v>
      </c>
      <c r="D273" s="3" t="s">
        <v>45</v>
      </c>
      <c r="E273" s="4">
        <v>45469</v>
      </c>
      <c r="F273" s="4">
        <v>45474</v>
      </c>
      <c r="G273" s="3" t="s">
        <v>45</v>
      </c>
      <c r="H273" s="3" t="s">
        <v>38</v>
      </c>
      <c r="I273" s="3" t="s">
        <v>22</v>
      </c>
      <c r="J273" s="3" t="s">
        <v>30</v>
      </c>
      <c r="K273" s="3">
        <v>5</v>
      </c>
      <c r="L273" s="3">
        <v>5</v>
      </c>
      <c r="M273" s="3">
        <v>5433</v>
      </c>
      <c r="N273" s="3">
        <v>27165</v>
      </c>
      <c r="O273" s="3">
        <v>27165</v>
      </c>
      <c r="P273" s="3" t="s">
        <v>24</v>
      </c>
      <c r="Q273" s="3">
        <v>0</v>
      </c>
      <c r="R273" s="3" t="str">
        <f t="shared" si="4"/>
        <v>Not Cancelled</v>
      </c>
      <c r="S273" s="3" t="s">
        <v>31</v>
      </c>
    </row>
    <row r="274" spans="1:19" x14ac:dyDescent="0.35">
      <c r="A274" s="3">
        <v>1273</v>
      </c>
      <c r="B274" s="3" t="s">
        <v>336</v>
      </c>
      <c r="C274" s="4">
        <v>45653</v>
      </c>
      <c r="D274" s="3" t="s">
        <v>44</v>
      </c>
      <c r="E274" s="4">
        <v>45666</v>
      </c>
      <c r="F274" s="4">
        <v>45667</v>
      </c>
      <c r="G274" s="3" t="s">
        <v>34</v>
      </c>
      <c r="H274" s="3" t="s">
        <v>29</v>
      </c>
      <c r="I274" s="3" t="s">
        <v>22</v>
      </c>
      <c r="J274" s="3" t="s">
        <v>23</v>
      </c>
      <c r="K274" s="3">
        <v>13</v>
      </c>
      <c r="L274" s="3">
        <v>1</v>
      </c>
      <c r="M274" s="3">
        <v>3048</v>
      </c>
      <c r="N274" s="3">
        <v>3048</v>
      </c>
      <c r="O274" s="3">
        <v>3048</v>
      </c>
      <c r="P274" s="3" t="s">
        <v>24</v>
      </c>
      <c r="Q274" s="3">
        <v>0</v>
      </c>
      <c r="R274" s="3" t="str">
        <f t="shared" si="4"/>
        <v>Not Cancelled</v>
      </c>
      <c r="S274" s="3" t="s">
        <v>31</v>
      </c>
    </row>
    <row r="275" spans="1:19" x14ac:dyDescent="0.35">
      <c r="A275" s="3">
        <v>1274</v>
      </c>
      <c r="B275" s="3" t="s">
        <v>337</v>
      </c>
      <c r="C275" s="4">
        <v>45338</v>
      </c>
      <c r="D275" s="3" t="s">
        <v>111</v>
      </c>
      <c r="E275" s="4">
        <v>45361</v>
      </c>
      <c r="F275" s="4">
        <v>45363</v>
      </c>
      <c r="G275" s="3" t="s">
        <v>28</v>
      </c>
      <c r="H275" s="3" t="s">
        <v>35</v>
      </c>
      <c r="I275" s="3" t="s">
        <v>39</v>
      </c>
      <c r="J275" s="3" t="s">
        <v>30</v>
      </c>
      <c r="K275" s="3">
        <v>23</v>
      </c>
      <c r="L275" s="3">
        <v>2</v>
      </c>
      <c r="M275" s="3">
        <v>7961</v>
      </c>
      <c r="N275" s="3">
        <v>15922</v>
      </c>
      <c r="O275" s="3">
        <v>15922</v>
      </c>
      <c r="P275" s="3" t="s">
        <v>24</v>
      </c>
      <c r="Q275" s="3">
        <v>0</v>
      </c>
      <c r="R275" s="3" t="str">
        <f t="shared" si="4"/>
        <v>Not Cancelled</v>
      </c>
      <c r="S275" s="3" t="s">
        <v>31</v>
      </c>
    </row>
    <row r="276" spans="1:19" x14ac:dyDescent="0.35">
      <c r="A276" s="3">
        <v>1275</v>
      </c>
      <c r="B276" s="3" t="s">
        <v>247</v>
      </c>
      <c r="C276" s="4">
        <v>45432</v>
      </c>
      <c r="D276" s="3" t="s">
        <v>237</v>
      </c>
      <c r="E276" s="4">
        <v>45490</v>
      </c>
      <c r="F276" s="4">
        <v>45495</v>
      </c>
      <c r="G276" s="3" t="s">
        <v>45</v>
      </c>
      <c r="H276" s="3" t="s">
        <v>60</v>
      </c>
      <c r="I276" s="3" t="s">
        <v>22</v>
      </c>
      <c r="J276" s="3" t="s">
        <v>46</v>
      </c>
      <c r="K276" s="3">
        <v>58</v>
      </c>
      <c r="L276" s="3">
        <v>5</v>
      </c>
      <c r="M276" s="3">
        <v>3338</v>
      </c>
      <c r="N276" s="3">
        <v>16690</v>
      </c>
      <c r="O276" s="3">
        <v>0</v>
      </c>
      <c r="P276" s="3" t="s">
        <v>24</v>
      </c>
      <c r="Q276" s="3">
        <v>1</v>
      </c>
      <c r="R276" s="3" t="str">
        <f t="shared" si="4"/>
        <v>Cancelled</v>
      </c>
      <c r="S276" s="3" t="s">
        <v>31</v>
      </c>
    </row>
    <row r="277" spans="1:19" x14ac:dyDescent="0.35">
      <c r="A277" s="3">
        <v>1276</v>
      </c>
      <c r="B277" s="3" t="s">
        <v>338</v>
      </c>
      <c r="C277" s="4">
        <v>45409</v>
      </c>
      <c r="D277" s="3" t="s">
        <v>78</v>
      </c>
      <c r="E277" s="4">
        <v>45459</v>
      </c>
      <c r="F277" s="4">
        <v>45464</v>
      </c>
      <c r="G277" s="3" t="s">
        <v>45</v>
      </c>
      <c r="H277" s="3" t="s">
        <v>60</v>
      </c>
      <c r="I277" s="3" t="s">
        <v>39</v>
      </c>
      <c r="J277" s="3" t="s">
        <v>23</v>
      </c>
      <c r="K277" s="3">
        <v>50</v>
      </c>
      <c r="L277" s="3">
        <v>5</v>
      </c>
      <c r="M277" s="3">
        <v>8026</v>
      </c>
      <c r="N277" s="3">
        <v>40130</v>
      </c>
      <c r="O277" s="3">
        <v>0</v>
      </c>
      <c r="P277" s="3" t="s">
        <v>51</v>
      </c>
      <c r="Q277" s="3">
        <v>1</v>
      </c>
      <c r="R277" s="3" t="str">
        <f t="shared" si="4"/>
        <v>Cancelled</v>
      </c>
      <c r="S277" s="3" t="s">
        <v>31</v>
      </c>
    </row>
    <row r="278" spans="1:19" x14ac:dyDescent="0.35">
      <c r="A278" s="3">
        <v>1277</v>
      </c>
      <c r="B278" s="3" t="s">
        <v>339</v>
      </c>
      <c r="C278" s="4">
        <v>45568</v>
      </c>
      <c r="D278" s="3" t="s">
        <v>50</v>
      </c>
      <c r="E278" s="4">
        <v>45598</v>
      </c>
      <c r="F278" s="4">
        <v>45599</v>
      </c>
      <c r="G278" s="3" t="s">
        <v>34</v>
      </c>
      <c r="H278" s="3" t="s">
        <v>21</v>
      </c>
      <c r="I278" s="3" t="s">
        <v>39</v>
      </c>
      <c r="J278" s="3" t="s">
        <v>23</v>
      </c>
      <c r="K278" s="3">
        <v>30</v>
      </c>
      <c r="L278" s="3">
        <v>1</v>
      </c>
      <c r="M278" s="3">
        <v>8044</v>
      </c>
      <c r="N278" s="3">
        <v>8044</v>
      </c>
      <c r="O278" s="3">
        <v>8044</v>
      </c>
      <c r="P278" s="3" t="s">
        <v>24</v>
      </c>
      <c r="Q278" s="3">
        <v>0</v>
      </c>
      <c r="R278" s="3" t="str">
        <f t="shared" si="4"/>
        <v>Not Cancelled</v>
      </c>
      <c r="S278" s="3" t="s">
        <v>25</v>
      </c>
    </row>
    <row r="279" spans="1:19" x14ac:dyDescent="0.35">
      <c r="A279" s="3">
        <v>1278</v>
      </c>
      <c r="B279" s="3" t="s">
        <v>278</v>
      </c>
      <c r="C279" s="4">
        <v>45505</v>
      </c>
      <c r="D279" s="3" t="s">
        <v>105</v>
      </c>
      <c r="E279" s="4">
        <v>45542</v>
      </c>
      <c r="F279" s="4">
        <v>45546</v>
      </c>
      <c r="G279" s="3" t="s">
        <v>42</v>
      </c>
      <c r="H279" s="3" t="s">
        <v>35</v>
      </c>
      <c r="I279" s="3" t="s">
        <v>22</v>
      </c>
      <c r="J279" s="3" t="s">
        <v>46</v>
      </c>
      <c r="K279" s="3">
        <v>37</v>
      </c>
      <c r="L279" s="3">
        <v>4</v>
      </c>
      <c r="M279" s="3">
        <v>6315</v>
      </c>
      <c r="N279" s="3">
        <v>25260</v>
      </c>
      <c r="O279" s="3">
        <v>0</v>
      </c>
      <c r="P279" s="3" t="s">
        <v>24</v>
      </c>
      <c r="Q279" s="3">
        <v>1</v>
      </c>
      <c r="R279" s="3" t="str">
        <f t="shared" si="4"/>
        <v>Cancelled</v>
      </c>
      <c r="S279" s="3" t="s">
        <v>31</v>
      </c>
    </row>
    <row r="280" spans="1:19" x14ac:dyDescent="0.35">
      <c r="A280" s="3">
        <v>1279</v>
      </c>
      <c r="B280" s="3" t="s">
        <v>340</v>
      </c>
      <c r="C280" s="4">
        <v>45511</v>
      </c>
      <c r="D280" s="3" t="s">
        <v>107</v>
      </c>
      <c r="E280" s="4">
        <v>45536</v>
      </c>
      <c r="F280" s="4">
        <v>45538</v>
      </c>
      <c r="G280" s="3" t="s">
        <v>28</v>
      </c>
      <c r="H280" s="3" t="s">
        <v>29</v>
      </c>
      <c r="I280" s="3" t="s">
        <v>22</v>
      </c>
      <c r="J280" s="3" t="s">
        <v>30</v>
      </c>
      <c r="K280" s="3">
        <v>25</v>
      </c>
      <c r="L280" s="3">
        <v>2</v>
      </c>
      <c r="M280" s="3">
        <v>3347</v>
      </c>
      <c r="N280" s="3">
        <v>6694</v>
      </c>
      <c r="O280" s="3">
        <v>0</v>
      </c>
      <c r="P280" s="3" t="s">
        <v>51</v>
      </c>
      <c r="Q280" s="3">
        <v>1</v>
      </c>
      <c r="R280" s="3" t="str">
        <f t="shared" si="4"/>
        <v>Cancelled</v>
      </c>
      <c r="S280" s="3" t="s">
        <v>25</v>
      </c>
    </row>
    <row r="281" spans="1:19" x14ac:dyDescent="0.35">
      <c r="A281" s="3">
        <v>1280</v>
      </c>
      <c r="B281" s="3" t="s">
        <v>164</v>
      </c>
      <c r="C281" s="4">
        <v>45317</v>
      </c>
      <c r="D281" s="3" t="s">
        <v>73</v>
      </c>
      <c r="E281" s="4">
        <v>45365</v>
      </c>
      <c r="F281" s="4">
        <v>45368</v>
      </c>
      <c r="G281" s="3" t="s">
        <v>20</v>
      </c>
      <c r="H281" s="3" t="s">
        <v>29</v>
      </c>
      <c r="I281" s="3" t="s">
        <v>39</v>
      </c>
      <c r="J281" s="3" t="s">
        <v>23</v>
      </c>
      <c r="K281" s="3">
        <v>48</v>
      </c>
      <c r="L281" s="3">
        <v>3</v>
      </c>
      <c r="M281" s="3">
        <v>7209</v>
      </c>
      <c r="N281" s="3">
        <v>21627</v>
      </c>
      <c r="O281" s="3">
        <v>21627</v>
      </c>
      <c r="P281" s="3" t="s">
        <v>24</v>
      </c>
      <c r="Q281" s="3">
        <v>0</v>
      </c>
      <c r="R281" s="3" t="str">
        <f t="shared" si="4"/>
        <v>Not Cancelled</v>
      </c>
      <c r="S281" s="3" t="s">
        <v>25</v>
      </c>
    </row>
    <row r="282" spans="1:19" x14ac:dyDescent="0.35">
      <c r="A282" s="3">
        <v>1281</v>
      </c>
      <c r="B282" s="3" t="s">
        <v>341</v>
      </c>
      <c r="C282" s="4">
        <v>45300</v>
      </c>
      <c r="D282" s="3" t="s">
        <v>185</v>
      </c>
      <c r="E282" s="4">
        <v>45327</v>
      </c>
      <c r="F282" s="4">
        <v>45330</v>
      </c>
      <c r="G282" s="3" t="s">
        <v>20</v>
      </c>
      <c r="H282" s="3" t="s">
        <v>21</v>
      </c>
      <c r="I282" s="3" t="s">
        <v>22</v>
      </c>
      <c r="J282" s="3" t="s">
        <v>46</v>
      </c>
      <c r="K282" s="3">
        <v>27</v>
      </c>
      <c r="L282" s="3">
        <v>3</v>
      </c>
      <c r="M282" s="3">
        <v>7007</v>
      </c>
      <c r="N282" s="3">
        <v>21021</v>
      </c>
      <c r="O282" s="3">
        <v>21021</v>
      </c>
      <c r="P282" s="3" t="s">
        <v>51</v>
      </c>
      <c r="Q282" s="3">
        <v>0</v>
      </c>
      <c r="R282" s="3" t="str">
        <f t="shared" si="4"/>
        <v>Not Cancelled</v>
      </c>
      <c r="S282" s="3" t="s">
        <v>31</v>
      </c>
    </row>
    <row r="283" spans="1:19" x14ac:dyDescent="0.35">
      <c r="A283" s="3">
        <v>1282</v>
      </c>
      <c r="B283" s="3" t="s">
        <v>114</v>
      </c>
      <c r="C283" s="4">
        <v>45562</v>
      </c>
      <c r="D283" s="3" t="s">
        <v>124</v>
      </c>
      <c r="E283" s="4">
        <v>45613</v>
      </c>
      <c r="F283" s="4">
        <v>45614</v>
      </c>
      <c r="G283" s="3" t="s">
        <v>34</v>
      </c>
      <c r="H283" s="3" t="s">
        <v>21</v>
      </c>
      <c r="I283" s="3" t="s">
        <v>39</v>
      </c>
      <c r="J283" s="3" t="s">
        <v>23</v>
      </c>
      <c r="K283" s="3">
        <v>51</v>
      </c>
      <c r="L283" s="3">
        <v>1</v>
      </c>
      <c r="M283" s="3">
        <v>7273</v>
      </c>
      <c r="N283" s="3">
        <v>7273</v>
      </c>
      <c r="O283" s="3">
        <v>0</v>
      </c>
      <c r="P283" s="3" t="s">
        <v>24</v>
      </c>
      <c r="Q283" s="3">
        <v>1</v>
      </c>
      <c r="R283" s="3" t="str">
        <f t="shared" si="4"/>
        <v>Cancelled</v>
      </c>
      <c r="S283" s="3" t="s">
        <v>25</v>
      </c>
    </row>
    <row r="284" spans="1:19" x14ac:dyDescent="0.35">
      <c r="A284" s="3">
        <v>1283</v>
      </c>
      <c r="B284" s="3" t="s">
        <v>342</v>
      </c>
      <c r="C284" s="4">
        <v>45301</v>
      </c>
      <c r="D284" s="3" t="s">
        <v>33</v>
      </c>
      <c r="E284" s="4">
        <v>45315</v>
      </c>
      <c r="F284" s="4">
        <v>45317</v>
      </c>
      <c r="G284" s="3" t="s">
        <v>28</v>
      </c>
      <c r="H284" s="3" t="s">
        <v>29</v>
      </c>
      <c r="I284" s="3" t="s">
        <v>39</v>
      </c>
      <c r="J284" s="3" t="s">
        <v>30</v>
      </c>
      <c r="K284" s="3">
        <v>14</v>
      </c>
      <c r="L284" s="3">
        <v>2</v>
      </c>
      <c r="M284" s="3">
        <v>6754</v>
      </c>
      <c r="N284" s="3">
        <v>13508</v>
      </c>
      <c r="O284" s="3">
        <v>13508</v>
      </c>
      <c r="P284" s="3" t="s">
        <v>51</v>
      </c>
      <c r="Q284" s="3">
        <v>0</v>
      </c>
      <c r="R284" s="3" t="str">
        <f t="shared" si="4"/>
        <v>Not Cancelled</v>
      </c>
      <c r="S284" s="3" t="s">
        <v>31</v>
      </c>
    </row>
    <row r="285" spans="1:19" x14ac:dyDescent="0.35">
      <c r="A285" s="3">
        <v>1284</v>
      </c>
      <c r="B285" s="3" t="s">
        <v>343</v>
      </c>
      <c r="C285" s="4">
        <v>45412</v>
      </c>
      <c r="D285" s="3" t="s">
        <v>100</v>
      </c>
      <c r="E285" s="4">
        <v>45469</v>
      </c>
      <c r="F285" s="4">
        <v>45471</v>
      </c>
      <c r="G285" s="3" t="s">
        <v>28</v>
      </c>
      <c r="H285" s="3" t="s">
        <v>29</v>
      </c>
      <c r="I285" s="3" t="s">
        <v>22</v>
      </c>
      <c r="J285" s="3" t="s">
        <v>30</v>
      </c>
      <c r="K285" s="3">
        <v>57</v>
      </c>
      <c r="L285" s="3">
        <v>2</v>
      </c>
      <c r="M285" s="3">
        <v>8657</v>
      </c>
      <c r="N285" s="3">
        <v>17314</v>
      </c>
      <c r="O285" s="3">
        <v>17314</v>
      </c>
      <c r="P285" s="3" t="s">
        <v>24</v>
      </c>
      <c r="Q285" s="3">
        <v>0</v>
      </c>
      <c r="R285" s="3" t="str">
        <f t="shared" si="4"/>
        <v>Not Cancelled</v>
      </c>
      <c r="S285" s="3" t="s">
        <v>25</v>
      </c>
    </row>
    <row r="286" spans="1:19" x14ac:dyDescent="0.35">
      <c r="A286" s="3">
        <v>1285</v>
      </c>
      <c r="B286" s="3" t="s">
        <v>344</v>
      </c>
      <c r="C286" s="4">
        <v>45416</v>
      </c>
      <c r="D286" s="3" t="s">
        <v>73</v>
      </c>
      <c r="E286" s="4">
        <v>45464</v>
      </c>
      <c r="F286" s="4">
        <v>45465</v>
      </c>
      <c r="G286" s="3" t="s">
        <v>34</v>
      </c>
      <c r="H286" s="3" t="s">
        <v>35</v>
      </c>
      <c r="I286" s="3" t="s">
        <v>39</v>
      </c>
      <c r="J286" s="3" t="s">
        <v>30</v>
      </c>
      <c r="K286" s="3">
        <v>48</v>
      </c>
      <c r="L286" s="3">
        <v>1</v>
      </c>
      <c r="M286" s="3">
        <v>6968</v>
      </c>
      <c r="N286" s="3">
        <v>6968</v>
      </c>
      <c r="O286" s="3">
        <v>0</v>
      </c>
      <c r="P286" s="3" t="s">
        <v>24</v>
      </c>
      <c r="Q286" s="3">
        <v>1</v>
      </c>
      <c r="R286" s="3" t="str">
        <f t="shared" si="4"/>
        <v>Cancelled</v>
      </c>
      <c r="S286" s="3" t="s">
        <v>25</v>
      </c>
    </row>
    <row r="287" spans="1:19" x14ac:dyDescent="0.35">
      <c r="A287" s="3">
        <v>1286</v>
      </c>
      <c r="B287" s="3" t="s">
        <v>345</v>
      </c>
      <c r="C287" s="4">
        <v>45461</v>
      </c>
      <c r="D287" s="3" t="s">
        <v>96</v>
      </c>
      <c r="E287" s="4">
        <v>45520</v>
      </c>
      <c r="F287" s="4">
        <v>45522</v>
      </c>
      <c r="G287" s="3" t="s">
        <v>28</v>
      </c>
      <c r="H287" s="3" t="s">
        <v>21</v>
      </c>
      <c r="I287" s="3" t="s">
        <v>22</v>
      </c>
      <c r="J287" s="3" t="s">
        <v>30</v>
      </c>
      <c r="K287" s="3">
        <v>59</v>
      </c>
      <c r="L287" s="3">
        <v>2</v>
      </c>
      <c r="M287" s="3">
        <v>4772</v>
      </c>
      <c r="N287" s="3">
        <v>9544</v>
      </c>
      <c r="O287" s="3">
        <v>0</v>
      </c>
      <c r="P287" s="3" t="s">
        <v>24</v>
      </c>
      <c r="Q287" s="3">
        <v>1</v>
      </c>
      <c r="R287" s="3" t="str">
        <f t="shared" si="4"/>
        <v>Cancelled</v>
      </c>
      <c r="S287" s="3" t="s">
        <v>31</v>
      </c>
    </row>
    <row r="288" spans="1:19" x14ac:dyDescent="0.35">
      <c r="A288" s="3">
        <v>1287</v>
      </c>
      <c r="B288" s="3" t="s">
        <v>265</v>
      </c>
      <c r="C288" s="4">
        <v>45363</v>
      </c>
      <c r="D288" s="3" t="s">
        <v>148</v>
      </c>
      <c r="E288" s="4">
        <v>45410</v>
      </c>
      <c r="F288" s="4">
        <v>45414</v>
      </c>
      <c r="G288" s="3" t="s">
        <v>42</v>
      </c>
      <c r="H288" s="3" t="s">
        <v>35</v>
      </c>
      <c r="I288" s="3" t="s">
        <v>39</v>
      </c>
      <c r="J288" s="3" t="s">
        <v>46</v>
      </c>
      <c r="K288" s="3">
        <v>47</v>
      </c>
      <c r="L288" s="3">
        <v>4</v>
      </c>
      <c r="M288" s="3">
        <v>7692</v>
      </c>
      <c r="N288" s="3">
        <v>30768</v>
      </c>
      <c r="O288" s="3">
        <v>0</v>
      </c>
      <c r="P288" s="3" t="s">
        <v>24</v>
      </c>
      <c r="Q288" s="3">
        <v>1</v>
      </c>
      <c r="R288" s="3" t="str">
        <f t="shared" si="4"/>
        <v>Cancelled</v>
      </c>
      <c r="S288" s="3" t="s">
        <v>31</v>
      </c>
    </row>
    <row r="289" spans="1:19" x14ac:dyDescent="0.35">
      <c r="A289" s="3">
        <v>1288</v>
      </c>
      <c r="B289" s="3" t="s">
        <v>346</v>
      </c>
      <c r="C289" s="4">
        <v>45443</v>
      </c>
      <c r="D289" s="3" t="s">
        <v>117</v>
      </c>
      <c r="E289" s="4">
        <v>45497</v>
      </c>
      <c r="F289" s="4">
        <v>45498</v>
      </c>
      <c r="G289" s="3" t="s">
        <v>34</v>
      </c>
      <c r="H289" s="3" t="s">
        <v>29</v>
      </c>
      <c r="I289" s="3" t="s">
        <v>22</v>
      </c>
      <c r="J289" s="3" t="s">
        <v>23</v>
      </c>
      <c r="K289" s="3">
        <v>54</v>
      </c>
      <c r="L289" s="3">
        <v>1</v>
      </c>
      <c r="M289" s="3">
        <v>5820</v>
      </c>
      <c r="N289" s="3">
        <v>5820</v>
      </c>
      <c r="O289" s="3">
        <v>0</v>
      </c>
      <c r="P289" s="3" t="s">
        <v>24</v>
      </c>
      <c r="Q289" s="3">
        <v>1</v>
      </c>
      <c r="R289" s="3" t="str">
        <f t="shared" si="4"/>
        <v>Cancelled</v>
      </c>
      <c r="S289" s="3" t="s">
        <v>31</v>
      </c>
    </row>
    <row r="290" spans="1:19" x14ac:dyDescent="0.35">
      <c r="A290" s="3">
        <v>1289</v>
      </c>
      <c r="B290" s="3" t="s">
        <v>347</v>
      </c>
      <c r="C290" s="4">
        <v>45499</v>
      </c>
      <c r="D290" s="3" t="s">
        <v>146</v>
      </c>
      <c r="E290" s="4">
        <v>45535</v>
      </c>
      <c r="F290" s="4">
        <v>45539</v>
      </c>
      <c r="G290" s="3" t="s">
        <v>42</v>
      </c>
      <c r="H290" s="3" t="s">
        <v>38</v>
      </c>
      <c r="I290" s="3" t="s">
        <v>22</v>
      </c>
      <c r="J290" s="3" t="s">
        <v>46</v>
      </c>
      <c r="K290" s="3">
        <v>36</v>
      </c>
      <c r="L290" s="3">
        <v>4</v>
      </c>
      <c r="M290" s="3">
        <v>5058</v>
      </c>
      <c r="N290" s="3">
        <v>20232</v>
      </c>
      <c r="O290" s="3">
        <v>0</v>
      </c>
      <c r="P290" s="3" t="s">
        <v>51</v>
      </c>
      <c r="Q290" s="3">
        <v>1</v>
      </c>
      <c r="R290" s="3" t="str">
        <f t="shared" si="4"/>
        <v>Cancelled</v>
      </c>
      <c r="S290" s="3" t="s">
        <v>31</v>
      </c>
    </row>
    <row r="291" spans="1:19" x14ac:dyDescent="0.35">
      <c r="A291" s="3">
        <v>1290</v>
      </c>
      <c r="B291" s="3" t="s">
        <v>348</v>
      </c>
      <c r="C291" s="4">
        <v>45340</v>
      </c>
      <c r="D291" s="3" t="s">
        <v>153</v>
      </c>
      <c r="E291" s="4">
        <v>45379</v>
      </c>
      <c r="F291" s="4">
        <v>45381</v>
      </c>
      <c r="G291" s="3" t="s">
        <v>28</v>
      </c>
      <c r="H291" s="3" t="s">
        <v>38</v>
      </c>
      <c r="I291" s="3" t="s">
        <v>39</v>
      </c>
      <c r="J291" s="3" t="s">
        <v>30</v>
      </c>
      <c r="K291" s="3">
        <v>39</v>
      </c>
      <c r="L291" s="3">
        <v>2</v>
      </c>
      <c r="M291" s="3">
        <v>7198</v>
      </c>
      <c r="N291" s="3">
        <v>14396</v>
      </c>
      <c r="O291" s="3">
        <v>0</v>
      </c>
      <c r="P291" s="3" t="s">
        <v>51</v>
      </c>
      <c r="Q291" s="3">
        <v>1</v>
      </c>
      <c r="R291" s="3" t="str">
        <f t="shared" si="4"/>
        <v>Cancelled</v>
      </c>
      <c r="S291" s="3" t="s">
        <v>25</v>
      </c>
    </row>
    <row r="292" spans="1:19" x14ac:dyDescent="0.35">
      <c r="A292" s="3">
        <v>1291</v>
      </c>
      <c r="B292" s="3" t="s">
        <v>349</v>
      </c>
      <c r="C292" s="4">
        <v>45445</v>
      </c>
      <c r="D292" s="3" t="s">
        <v>88</v>
      </c>
      <c r="E292" s="4">
        <v>45461</v>
      </c>
      <c r="F292" s="4">
        <v>45462</v>
      </c>
      <c r="G292" s="3" t="s">
        <v>34</v>
      </c>
      <c r="H292" s="3" t="s">
        <v>29</v>
      </c>
      <c r="I292" s="3" t="s">
        <v>22</v>
      </c>
      <c r="J292" s="3" t="s">
        <v>30</v>
      </c>
      <c r="K292" s="3">
        <v>16</v>
      </c>
      <c r="L292" s="3">
        <v>1</v>
      </c>
      <c r="M292" s="3">
        <v>6811</v>
      </c>
      <c r="N292" s="3">
        <v>6811</v>
      </c>
      <c r="O292" s="3">
        <v>0</v>
      </c>
      <c r="P292" s="3" t="s">
        <v>24</v>
      </c>
      <c r="Q292" s="3">
        <v>1</v>
      </c>
      <c r="R292" s="3" t="str">
        <f t="shared" si="4"/>
        <v>Cancelled</v>
      </c>
      <c r="S292" s="3" t="s">
        <v>31</v>
      </c>
    </row>
    <row r="293" spans="1:19" x14ac:dyDescent="0.35">
      <c r="A293" s="3">
        <v>1292</v>
      </c>
      <c r="B293" s="3" t="s">
        <v>335</v>
      </c>
      <c r="C293" s="4">
        <v>45638</v>
      </c>
      <c r="D293" s="3" t="s">
        <v>94</v>
      </c>
      <c r="E293" s="4">
        <v>45694</v>
      </c>
      <c r="F293" s="4">
        <v>45696</v>
      </c>
      <c r="G293" s="3" t="s">
        <v>28</v>
      </c>
      <c r="H293" s="3" t="s">
        <v>21</v>
      </c>
      <c r="I293" s="3" t="s">
        <v>22</v>
      </c>
      <c r="J293" s="3" t="s">
        <v>30</v>
      </c>
      <c r="K293" s="3">
        <v>56</v>
      </c>
      <c r="L293" s="3">
        <v>2</v>
      </c>
      <c r="M293" s="3">
        <v>4496</v>
      </c>
      <c r="N293" s="3">
        <v>8992</v>
      </c>
      <c r="O293" s="3">
        <v>0</v>
      </c>
      <c r="P293" s="3" t="s">
        <v>51</v>
      </c>
      <c r="Q293" s="3">
        <v>1</v>
      </c>
      <c r="R293" s="3" t="str">
        <f t="shared" si="4"/>
        <v>Cancelled</v>
      </c>
      <c r="S293" s="3" t="s">
        <v>25</v>
      </c>
    </row>
    <row r="294" spans="1:19" x14ac:dyDescent="0.35">
      <c r="A294" s="3">
        <v>1293</v>
      </c>
      <c r="B294" s="3" t="s">
        <v>350</v>
      </c>
      <c r="C294" s="4">
        <v>45584</v>
      </c>
      <c r="D294" s="3" t="s">
        <v>19</v>
      </c>
      <c r="E294" s="4">
        <v>45606</v>
      </c>
      <c r="F294" s="4">
        <v>45607</v>
      </c>
      <c r="G294" s="3" t="s">
        <v>34</v>
      </c>
      <c r="H294" s="3" t="s">
        <v>38</v>
      </c>
      <c r="I294" s="3" t="s">
        <v>39</v>
      </c>
      <c r="J294" s="3" t="s">
        <v>30</v>
      </c>
      <c r="K294" s="3">
        <v>22</v>
      </c>
      <c r="L294" s="3">
        <v>1</v>
      </c>
      <c r="M294" s="3">
        <v>6173</v>
      </c>
      <c r="N294" s="3">
        <v>6173</v>
      </c>
      <c r="O294" s="3">
        <v>6173</v>
      </c>
      <c r="P294" s="3" t="s">
        <v>24</v>
      </c>
      <c r="Q294" s="3">
        <v>0</v>
      </c>
      <c r="R294" s="3" t="str">
        <f t="shared" si="4"/>
        <v>Not Cancelled</v>
      </c>
      <c r="S294" s="3" t="s">
        <v>25</v>
      </c>
    </row>
    <row r="295" spans="1:19" x14ac:dyDescent="0.35">
      <c r="A295" s="3">
        <v>1294</v>
      </c>
      <c r="B295" s="3" t="s">
        <v>351</v>
      </c>
      <c r="C295" s="4">
        <v>45359</v>
      </c>
      <c r="D295" s="3" t="s">
        <v>175</v>
      </c>
      <c r="E295" s="4">
        <v>45380</v>
      </c>
      <c r="F295" s="4">
        <v>45382</v>
      </c>
      <c r="G295" s="3" t="s">
        <v>28</v>
      </c>
      <c r="H295" s="3" t="s">
        <v>21</v>
      </c>
      <c r="I295" s="3" t="s">
        <v>22</v>
      </c>
      <c r="J295" s="3" t="s">
        <v>23</v>
      </c>
      <c r="K295" s="3">
        <v>21</v>
      </c>
      <c r="L295" s="3">
        <v>2</v>
      </c>
      <c r="M295" s="3">
        <v>4064</v>
      </c>
      <c r="N295" s="3">
        <v>8128</v>
      </c>
      <c r="O295" s="3">
        <v>0</v>
      </c>
      <c r="P295" s="3" t="s">
        <v>24</v>
      </c>
      <c r="Q295" s="3">
        <v>1</v>
      </c>
      <c r="R295" s="3" t="str">
        <f t="shared" si="4"/>
        <v>Cancelled</v>
      </c>
      <c r="S295" s="3" t="s">
        <v>25</v>
      </c>
    </row>
    <row r="296" spans="1:19" x14ac:dyDescent="0.35">
      <c r="A296" s="3">
        <v>1295</v>
      </c>
      <c r="B296" s="3" t="s">
        <v>352</v>
      </c>
      <c r="C296" s="4">
        <v>45341</v>
      </c>
      <c r="D296" s="3" t="s">
        <v>117</v>
      </c>
      <c r="E296" s="4">
        <v>45395</v>
      </c>
      <c r="F296" s="4">
        <v>45399</v>
      </c>
      <c r="G296" s="3" t="s">
        <v>42</v>
      </c>
      <c r="H296" s="3" t="s">
        <v>38</v>
      </c>
      <c r="I296" s="3" t="s">
        <v>39</v>
      </c>
      <c r="J296" s="3" t="s">
        <v>30</v>
      </c>
      <c r="K296" s="3">
        <v>54</v>
      </c>
      <c r="L296" s="3">
        <v>4</v>
      </c>
      <c r="M296" s="3">
        <v>6518</v>
      </c>
      <c r="N296" s="3">
        <v>26072</v>
      </c>
      <c r="O296" s="3">
        <v>0</v>
      </c>
      <c r="P296" s="3" t="s">
        <v>24</v>
      </c>
      <c r="Q296" s="3">
        <v>1</v>
      </c>
      <c r="R296" s="3" t="str">
        <f t="shared" si="4"/>
        <v>Cancelled</v>
      </c>
      <c r="S296" s="3" t="s">
        <v>25</v>
      </c>
    </row>
    <row r="297" spans="1:19" x14ac:dyDescent="0.35">
      <c r="A297" s="3">
        <v>1296</v>
      </c>
      <c r="B297" s="3" t="s">
        <v>258</v>
      </c>
      <c r="C297" s="4">
        <v>45443</v>
      </c>
      <c r="D297" s="3" t="s">
        <v>175</v>
      </c>
      <c r="E297" s="4">
        <v>45464</v>
      </c>
      <c r="F297" s="4">
        <v>45468</v>
      </c>
      <c r="G297" s="3" t="s">
        <v>42</v>
      </c>
      <c r="H297" s="3" t="s">
        <v>21</v>
      </c>
      <c r="I297" s="3" t="s">
        <v>22</v>
      </c>
      <c r="J297" s="3" t="s">
        <v>23</v>
      </c>
      <c r="K297" s="3">
        <v>21</v>
      </c>
      <c r="L297" s="3">
        <v>4</v>
      </c>
      <c r="M297" s="3">
        <v>4340</v>
      </c>
      <c r="N297" s="3">
        <v>17360</v>
      </c>
      <c r="O297" s="3">
        <v>17360</v>
      </c>
      <c r="P297" s="3" t="s">
        <v>51</v>
      </c>
      <c r="Q297" s="3">
        <v>0</v>
      </c>
      <c r="R297" s="3" t="str">
        <f t="shared" si="4"/>
        <v>Not Cancelled</v>
      </c>
      <c r="S297" s="3" t="s">
        <v>25</v>
      </c>
    </row>
    <row r="298" spans="1:19" x14ac:dyDescent="0.35">
      <c r="A298" s="3">
        <v>1297</v>
      </c>
      <c r="B298" s="3" t="s">
        <v>215</v>
      </c>
      <c r="C298" s="4">
        <v>45310</v>
      </c>
      <c r="D298" s="3" t="s">
        <v>59</v>
      </c>
      <c r="E298" s="4">
        <v>45318</v>
      </c>
      <c r="F298" s="4">
        <v>45320</v>
      </c>
      <c r="G298" s="3" t="s">
        <v>28</v>
      </c>
      <c r="H298" s="3" t="s">
        <v>38</v>
      </c>
      <c r="I298" s="3" t="s">
        <v>39</v>
      </c>
      <c r="J298" s="3" t="s">
        <v>30</v>
      </c>
      <c r="K298" s="3">
        <v>8</v>
      </c>
      <c r="L298" s="3">
        <v>2</v>
      </c>
      <c r="M298" s="3">
        <v>8558</v>
      </c>
      <c r="N298" s="3">
        <v>17116</v>
      </c>
      <c r="O298" s="3">
        <v>0</v>
      </c>
      <c r="P298" s="3" t="s">
        <v>24</v>
      </c>
      <c r="Q298" s="3">
        <v>1</v>
      </c>
      <c r="R298" s="3" t="str">
        <f t="shared" si="4"/>
        <v>Cancelled</v>
      </c>
      <c r="S298" s="3" t="s">
        <v>25</v>
      </c>
    </row>
    <row r="299" spans="1:19" x14ac:dyDescent="0.35">
      <c r="A299" s="3">
        <v>1298</v>
      </c>
      <c r="B299" s="3" t="s">
        <v>353</v>
      </c>
      <c r="C299" s="4">
        <v>45391</v>
      </c>
      <c r="D299" s="3" t="s">
        <v>211</v>
      </c>
      <c r="E299" s="4">
        <v>45440</v>
      </c>
      <c r="F299" s="4">
        <v>45441</v>
      </c>
      <c r="G299" s="3" t="s">
        <v>34</v>
      </c>
      <c r="H299" s="3" t="s">
        <v>21</v>
      </c>
      <c r="I299" s="3" t="s">
        <v>39</v>
      </c>
      <c r="J299" s="3" t="s">
        <v>23</v>
      </c>
      <c r="K299" s="3">
        <v>49</v>
      </c>
      <c r="L299" s="3">
        <v>1</v>
      </c>
      <c r="M299" s="3">
        <v>5791</v>
      </c>
      <c r="N299" s="3">
        <v>5791</v>
      </c>
      <c r="O299" s="3">
        <v>5791</v>
      </c>
      <c r="P299" s="3" t="s">
        <v>51</v>
      </c>
      <c r="Q299" s="3">
        <v>0</v>
      </c>
      <c r="R299" s="3" t="str">
        <f t="shared" si="4"/>
        <v>Not Cancelled</v>
      </c>
      <c r="S299" s="3" t="s">
        <v>31</v>
      </c>
    </row>
    <row r="300" spans="1:19" x14ac:dyDescent="0.35">
      <c r="A300" s="3">
        <v>1299</v>
      </c>
      <c r="B300" s="3" t="s">
        <v>354</v>
      </c>
      <c r="C300" s="4">
        <v>45351</v>
      </c>
      <c r="D300" s="3" t="s">
        <v>88</v>
      </c>
      <c r="E300" s="4">
        <v>45367</v>
      </c>
      <c r="F300" s="4">
        <v>45370</v>
      </c>
      <c r="G300" s="3" t="s">
        <v>20</v>
      </c>
      <c r="H300" s="3" t="s">
        <v>35</v>
      </c>
      <c r="I300" s="3" t="s">
        <v>39</v>
      </c>
      <c r="J300" s="3" t="s">
        <v>23</v>
      </c>
      <c r="K300" s="3">
        <v>16</v>
      </c>
      <c r="L300" s="3">
        <v>3</v>
      </c>
      <c r="M300" s="3">
        <v>5387</v>
      </c>
      <c r="N300" s="3">
        <v>16161</v>
      </c>
      <c r="O300" s="3">
        <v>16161</v>
      </c>
      <c r="P300" s="3" t="s">
        <v>24</v>
      </c>
      <c r="Q300" s="3">
        <v>0</v>
      </c>
      <c r="R300" s="3" t="str">
        <f t="shared" si="4"/>
        <v>Not Cancelled</v>
      </c>
      <c r="S300" s="3" t="s">
        <v>25</v>
      </c>
    </row>
    <row r="301" spans="1:19" x14ac:dyDescent="0.35">
      <c r="A301" s="3">
        <v>1300</v>
      </c>
      <c r="B301" s="3" t="s">
        <v>355</v>
      </c>
      <c r="C301" s="4">
        <v>45458</v>
      </c>
      <c r="D301" s="3" t="s">
        <v>96</v>
      </c>
      <c r="E301" s="4">
        <v>45517</v>
      </c>
      <c r="F301" s="4">
        <v>45521</v>
      </c>
      <c r="G301" s="3" t="s">
        <v>42</v>
      </c>
      <c r="H301" s="3" t="s">
        <v>21</v>
      </c>
      <c r="I301" s="3" t="s">
        <v>39</v>
      </c>
      <c r="J301" s="3" t="s">
        <v>30</v>
      </c>
      <c r="K301" s="3">
        <v>59</v>
      </c>
      <c r="L301" s="3">
        <v>4</v>
      </c>
      <c r="M301" s="3">
        <v>3226</v>
      </c>
      <c r="N301" s="3">
        <v>12904</v>
      </c>
      <c r="O301" s="3">
        <v>0</v>
      </c>
      <c r="P301" s="3" t="s">
        <v>24</v>
      </c>
      <c r="Q301" s="3">
        <v>1</v>
      </c>
      <c r="R301" s="3" t="str">
        <f t="shared" si="4"/>
        <v>Cancelled</v>
      </c>
      <c r="S301" s="3" t="s">
        <v>25</v>
      </c>
    </row>
    <row r="302" spans="1:19" x14ac:dyDescent="0.35">
      <c r="A302" s="3">
        <v>1301</v>
      </c>
      <c r="B302" s="3" t="s">
        <v>172</v>
      </c>
      <c r="C302" s="4">
        <v>45493</v>
      </c>
      <c r="D302" s="3" t="s">
        <v>113</v>
      </c>
      <c r="E302" s="4">
        <v>45548</v>
      </c>
      <c r="F302" s="4">
        <v>45552</v>
      </c>
      <c r="G302" s="3" t="s">
        <v>42</v>
      </c>
      <c r="H302" s="3" t="s">
        <v>35</v>
      </c>
      <c r="I302" s="3" t="s">
        <v>22</v>
      </c>
      <c r="J302" s="3" t="s">
        <v>46</v>
      </c>
      <c r="K302" s="3">
        <v>55</v>
      </c>
      <c r="L302" s="3">
        <v>4</v>
      </c>
      <c r="M302" s="3">
        <v>3744</v>
      </c>
      <c r="N302" s="3">
        <v>14976</v>
      </c>
      <c r="O302" s="3">
        <v>0</v>
      </c>
      <c r="P302" s="3" t="s">
        <v>51</v>
      </c>
      <c r="Q302" s="3">
        <v>1</v>
      </c>
      <c r="R302" s="3" t="str">
        <f t="shared" si="4"/>
        <v>Cancelled</v>
      </c>
      <c r="S302" s="3" t="s">
        <v>25</v>
      </c>
    </row>
    <row r="303" spans="1:19" x14ac:dyDescent="0.35">
      <c r="A303" s="3">
        <v>1302</v>
      </c>
      <c r="B303" s="3" t="s">
        <v>356</v>
      </c>
      <c r="C303" s="4">
        <v>45636</v>
      </c>
      <c r="D303" s="3" t="s">
        <v>48</v>
      </c>
      <c r="E303" s="4">
        <v>45667</v>
      </c>
      <c r="F303" s="4">
        <v>45670</v>
      </c>
      <c r="G303" s="3" t="s">
        <v>20</v>
      </c>
      <c r="H303" s="3" t="s">
        <v>35</v>
      </c>
      <c r="I303" s="3" t="s">
        <v>39</v>
      </c>
      <c r="J303" s="3" t="s">
        <v>46</v>
      </c>
      <c r="K303" s="3">
        <v>31</v>
      </c>
      <c r="L303" s="3">
        <v>3</v>
      </c>
      <c r="M303" s="3">
        <v>5960</v>
      </c>
      <c r="N303" s="3">
        <v>17880</v>
      </c>
      <c r="O303" s="3">
        <v>0</v>
      </c>
      <c r="P303" s="3" t="s">
        <v>24</v>
      </c>
      <c r="Q303" s="3">
        <v>1</v>
      </c>
      <c r="R303" s="3" t="str">
        <f t="shared" si="4"/>
        <v>Cancelled</v>
      </c>
      <c r="S303" s="3" t="s">
        <v>31</v>
      </c>
    </row>
    <row r="304" spans="1:19" x14ac:dyDescent="0.35">
      <c r="A304" s="3">
        <v>1303</v>
      </c>
      <c r="B304" s="3" t="s">
        <v>357</v>
      </c>
      <c r="C304" s="4">
        <v>45437</v>
      </c>
      <c r="D304" s="3" t="s">
        <v>140</v>
      </c>
      <c r="E304" s="4">
        <v>45479</v>
      </c>
      <c r="F304" s="4">
        <v>45481</v>
      </c>
      <c r="G304" s="3" t="s">
        <v>28</v>
      </c>
      <c r="H304" s="3" t="s">
        <v>29</v>
      </c>
      <c r="I304" s="3" t="s">
        <v>22</v>
      </c>
      <c r="J304" s="3" t="s">
        <v>46</v>
      </c>
      <c r="K304" s="3">
        <v>42</v>
      </c>
      <c r="L304" s="3">
        <v>2</v>
      </c>
      <c r="M304" s="3">
        <v>6218</v>
      </c>
      <c r="N304" s="3">
        <v>12436</v>
      </c>
      <c r="O304" s="3">
        <v>12436</v>
      </c>
      <c r="P304" s="3" t="s">
        <v>51</v>
      </c>
      <c r="Q304" s="3">
        <v>0</v>
      </c>
      <c r="R304" s="3" t="str">
        <f t="shared" si="4"/>
        <v>Not Cancelled</v>
      </c>
      <c r="S304" s="3" t="s">
        <v>31</v>
      </c>
    </row>
    <row r="305" spans="1:19" x14ac:dyDescent="0.35">
      <c r="A305" s="3">
        <v>1304</v>
      </c>
      <c r="B305" s="3" t="s">
        <v>358</v>
      </c>
      <c r="C305" s="4">
        <v>45455</v>
      </c>
      <c r="D305" s="3" t="s">
        <v>37</v>
      </c>
      <c r="E305" s="4">
        <v>45465</v>
      </c>
      <c r="F305" s="4">
        <v>45466</v>
      </c>
      <c r="G305" s="3" t="s">
        <v>34</v>
      </c>
      <c r="H305" s="3" t="s">
        <v>35</v>
      </c>
      <c r="I305" s="3" t="s">
        <v>39</v>
      </c>
      <c r="J305" s="3" t="s">
        <v>46</v>
      </c>
      <c r="K305" s="3">
        <v>10</v>
      </c>
      <c r="L305" s="3">
        <v>1</v>
      </c>
      <c r="M305" s="3">
        <v>3565</v>
      </c>
      <c r="N305" s="3">
        <v>3565</v>
      </c>
      <c r="O305" s="3">
        <v>0</v>
      </c>
      <c r="P305" s="3" t="s">
        <v>24</v>
      </c>
      <c r="Q305" s="3">
        <v>1</v>
      </c>
      <c r="R305" s="3" t="str">
        <f t="shared" si="4"/>
        <v>Cancelled</v>
      </c>
      <c r="S305" s="3" t="s">
        <v>25</v>
      </c>
    </row>
    <row r="306" spans="1:19" x14ac:dyDescent="0.35">
      <c r="A306" s="3">
        <v>1305</v>
      </c>
      <c r="B306" s="3" t="s">
        <v>359</v>
      </c>
      <c r="C306" s="4">
        <v>45533</v>
      </c>
      <c r="D306" s="3" t="s">
        <v>144</v>
      </c>
      <c r="E306" s="4">
        <v>45565</v>
      </c>
      <c r="F306" s="4">
        <v>45567</v>
      </c>
      <c r="G306" s="3" t="s">
        <v>28</v>
      </c>
      <c r="H306" s="3" t="s">
        <v>60</v>
      </c>
      <c r="I306" s="3" t="s">
        <v>22</v>
      </c>
      <c r="J306" s="3" t="s">
        <v>46</v>
      </c>
      <c r="K306" s="3">
        <v>32</v>
      </c>
      <c r="L306" s="3">
        <v>2</v>
      </c>
      <c r="M306" s="3">
        <v>7271</v>
      </c>
      <c r="N306" s="3">
        <v>14542</v>
      </c>
      <c r="O306" s="3">
        <v>14542</v>
      </c>
      <c r="P306" s="3" t="s">
        <v>24</v>
      </c>
      <c r="Q306" s="3">
        <v>0</v>
      </c>
      <c r="R306" s="3" t="str">
        <f t="shared" si="4"/>
        <v>Not Cancelled</v>
      </c>
      <c r="S306" s="3" t="s">
        <v>31</v>
      </c>
    </row>
    <row r="307" spans="1:19" x14ac:dyDescent="0.35">
      <c r="A307" s="3">
        <v>1306</v>
      </c>
      <c r="B307" s="3" t="s">
        <v>360</v>
      </c>
      <c r="C307" s="4">
        <v>45360</v>
      </c>
      <c r="D307" s="3" t="s">
        <v>96</v>
      </c>
      <c r="E307" s="4">
        <v>45419</v>
      </c>
      <c r="F307" s="4">
        <v>45424</v>
      </c>
      <c r="G307" s="3" t="s">
        <v>45</v>
      </c>
      <c r="H307" s="3" t="s">
        <v>35</v>
      </c>
      <c r="I307" s="3" t="s">
        <v>39</v>
      </c>
      <c r="J307" s="3" t="s">
        <v>30</v>
      </c>
      <c r="K307" s="3">
        <v>59</v>
      </c>
      <c r="L307" s="3">
        <v>5</v>
      </c>
      <c r="M307" s="3">
        <v>2782</v>
      </c>
      <c r="N307" s="3">
        <v>13910</v>
      </c>
      <c r="O307" s="3">
        <v>0</v>
      </c>
      <c r="P307" s="3" t="s">
        <v>24</v>
      </c>
      <c r="Q307" s="3">
        <v>1</v>
      </c>
      <c r="R307" s="3" t="str">
        <f t="shared" si="4"/>
        <v>Cancelled</v>
      </c>
      <c r="S307" s="3" t="s">
        <v>25</v>
      </c>
    </row>
    <row r="308" spans="1:19" x14ac:dyDescent="0.35">
      <c r="A308" s="3">
        <v>1307</v>
      </c>
      <c r="B308" s="3" t="s">
        <v>224</v>
      </c>
      <c r="C308" s="4">
        <v>45466</v>
      </c>
      <c r="D308" s="3" t="s">
        <v>128</v>
      </c>
      <c r="E308" s="4">
        <v>45500</v>
      </c>
      <c r="F308" s="4">
        <v>45504</v>
      </c>
      <c r="G308" s="3" t="s">
        <v>42</v>
      </c>
      <c r="H308" s="3" t="s">
        <v>21</v>
      </c>
      <c r="I308" s="3" t="s">
        <v>22</v>
      </c>
      <c r="J308" s="3" t="s">
        <v>30</v>
      </c>
      <c r="K308" s="3">
        <v>34</v>
      </c>
      <c r="L308" s="3">
        <v>4</v>
      </c>
      <c r="M308" s="3">
        <v>3581</v>
      </c>
      <c r="N308" s="3">
        <v>14324</v>
      </c>
      <c r="O308" s="3">
        <v>14324</v>
      </c>
      <c r="P308" s="3" t="s">
        <v>51</v>
      </c>
      <c r="Q308" s="3">
        <v>0</v>
      </c>
      <c r="R308" s="3" t="str">
        <f t="shared" si="4"/>
        <v>Not Cancelled</v>
      </c>
      <c r="S308" s="3" t="s">
        <v>31</v>
      </c>
    </row>
    <row r="309" spans="1:19" x14ac:dyDescent="0.35">
      <c r="A309" s="3">
        <v>1308</v>
      </c>
      <c r="B309" s="3" t="s">
        <v>361</v>
      </c>
      <c r="C309" s="4">
        <v>45340</v>
      </c>
      <c r="D309" s="3" t="s">
        <v>165</v>
      </c>
      <c r="E309" s="4">
        <v>45349</v>
      </c>
      <c r="F309" s="4">
        <v>45354</v>
      </c>
      <c r="G309" s="3" t="s">
        <v>45</v>
      </c>
      <c r="H309" s="3" t="s">
        <v>35</v>
      </c>
      <c r="I309" s="3" t="s">
        <v>22</v>
      </c>
      <c r="J309" s="3" t="s">
        <v>30</v>
      </c>
      <c r="K309" s="3">
        <v>9</v>
      </c>
      <c r="L309" s="3">
        <v>5</v>
      </c>
      <c r="M309" s="3">
        <v>6385</v>
      </c>
      <c r="N309" s="3">
        <v>31925</v>
      </c>
      <c r="O309" s="3">
        <v>0</v>
      </c>
      <c r="P309" s="3" t="s">
        <v>24</v>
      </c>
      <c r="Q309" s="3">
        <v>1</v>
      </c>
      <c r="R309" s="3" t="str">
        <f t="shared" si="4"/>
        <v>Cancelled</v>
      </c>
      <c r="S309" s="3" t="s">
        <v>25</v>
      </c>
    </row>
    <row r="310" spans="1:19" x14ac:dyDescent="0.35">
      <c r="A310" s="3">
        <v>1309</v>
      </c>
      <c r="B310" s="3" t="s">
        <v>164</v>
      </c>
      <c r="C310" s="4">
        <v>45399</v>
      </c>
      <c r="D310" s="3" t="s">
        <v>71</v>
      </c>
      <c r="E310" s="4">
        <v>45416</v>
      </c>
      <c r="F310" s="4">
        <v>45420</v>
      </c>
      <c r="G310" s="3" t="s">
        <v>42</v>
      </c>
      <c r="H310" s="3" t="s">
        <v>21</v>
      </c>
      <c r="I310" s="3" t="s">
        <v>39</v>
      </c>
      <c r="J310" s="3" t="s">
        <v>30</v>
      </c>
      <c r="K310" s="3">
        <v>17</v>
      </c>
      <c r="L310" s="3">
        <v>4</v>
      </c>
      <c r="M310" s="3">
        <v>5381</v>
      </c>
      <c r="N310" s="3">
        <v>21524</v>
      </c>
      <c r="O310" s="3">
        <v>21524</v>
      </c>
      <c r="P310" s="3" t="s">
        <v>51</v>
      </c>
      <c r="Q310" s="3">
        <v>0</v>
      </c>
      <c r="R310" s="3" t="str">
        <f t="shared" si="4"/>
        <v>Not Cancelled</v>
      </c>
      <c r="S310" s="3" t="s">
        <v>31</v>
      </c>
    </row>
    <row r="311" spans="1:19" x14ac:dyDescent="0.35">
      <c r="A311" s="3">
        <v>1310</v>
      </c>
      <c r="B311" s="3" t="s">
        <v>362</v>
      </c>
      <c r="C311" s="4">
        <v>45517</v>
      </c>
      <c r="D311" s="3" t="s">
        <v>75</v>
      </c>
      <c r="E311" s="4">
        <v>45528</v>
      </c>
      <c r="F311" s="4">
        <v>45532</v>
      </c>
      <c r="G311" s="3" t="s">
        <v>42</v>
      </c>
      <c r="H311" s="3" t="s">
        <v>21</v>
      </c>
      <c r="I311" s="3" t="s">
        <v>39</v>
      </c>
      <c r="J311" s="3" t="s">
        <v>30</v>
      </c>
      <c r="K311" s="3">
        <v>11</v>
      </c>
      <c r="L311" s="3">
        <v>4</v>
      </c>
      <c r="M311" s="3">
        <v>5084</v>
      </c>
      <c r="N311" s="3">
        <v>20336</v>
      </c>
      <c r="O311" s="3">
        <v>20336</v>
      </c>
      <c r="P311" s="3" t="s">
        <v>24</v>
      </c>
      <c r="Q311" s="3">
        <v>0</v>
      </c>
      <c r="R311" s="3" t="str">
        <f t="shared" si="4"/>
        <v>Not Cancelled</v>
      </c>
      <c r="S311" s="3" t="s">
        <v>31</v>
      </c>
    </row>
    <row r="312" spans="1:19" x14ac:dyDescent="0.35">
      <c r="A312" s="3">
        <v>1311</v>
      </c>
      <c r="B312" s="3" t="s">
        <v>363</v>
      </c>
      <c r="C312" s="4">
        <v>45452</v>
      </c>
      <c r="D312" s="3" t="s">
        <v>144</v>
      </c>
      <c r="E312" s="4">
        <v>45484</v>
      </c>
      <c r="F312" s="4">
        <v>45489</v>
      </c>
      <c r="G312" s="3" t="s">
        <v>45</v>
      </c>
      <c r="H312" s="3" t="s">
        <v>60</v>
      </c>
      <c r="I312" s="3" t="s">
        <v>39</v>
      </c>
      <c r="J312" s="3" t="s">
        <v>30</v>
      </c>
      <c r="K312" s="3">
        <v>32</v>
      </c>
      <c r="L312" s="3">
        <v>5</v>
      </c>
      <c r="M312" s="3">
        <v>8504</v>
      </c>
      <c r="N312" s="3">
        <v>42520</v>
      </c>
      <c r="O312" s="3">
        <v>0</v>
      </c>
      <c r="P312" s="3" t="s">
        <v>24</v>
      </c>
      <c r="Q312" s="3">
        <v>1</v>
      </c>
      <c r="R312" s="3" t="str">
        <f t="shared" si="4"/>
        <v>Cancelled</v>
      </c>
      <c r="S312" s="3" t="s">
        <v>31</v>
      </c>
    </row>
    <row r="313" spans="1:19" x14ac:dyDescent="0.35">
      <c r="A313" s="3">
        <v>1312</v>
      </c>
      <c r="B313" s="3" t="s">
        <v>364</v>
      </c>
      <c r="C313" s="4">
        <v>45410</v>
      </c>
      <c r="D313" s="3" t="s">
        <v>37</v>
      </c>
      <c r="E313" s="4">
        <v>45420</v>
      </c>
      <c r="F313" s="4">
        <v>45425</v>
      </c>
      <c r="G313" s="3" t="s">
        <v>45</v>
      </c>
      <c r="H313" s="3" t="s">
        <v>35</v>
      </c>
      <c r="I313" s="3" t="s">
        <v>22</v>
      </c>
      <c r="J313" s="3" t="s">
        <v>23</v>
      </c>
      <c r="K313" s="3">
        <v>10</v>
      </c>
      <c r="L313" s="3">
        <v>5</v>
      </c>
      <c r="M313" s="3">
        <v>5470</v>
      </c>
      <c r="N313" s="3">
        <v>27350</v>
      </c>
      <c r="O313" s="3">
        <v>27350</v>
      </c>
      <c r="P313" s="3" t="s">
        <v>51</v>
      </c>
      <c r="Q313" s="3">
        <v>0</v>
      </c>
      <c r="R313" s="3" t="str">
        <f t="shared" si="4"/>
        <v>Not Cancelled</v>
      </c>
      <c r="S313" s="3" t="s">
        <v>25</v>
      </c>
    </row>
    <row r="314" spans="1:19" x14ac:dyDescent="0.35">
      <c r="A314" s="3">
        <v>1313</v>
      </c>
      <c r="B314" s="3" t="s">
        <v>301</v>
      </c>
      <c r="C314" s="4">
        <v>45440</v>
      </c>
      <c r="D314" s="3" t="s">
        <v>19</v>
      </c>
      <c r="E314" s="4">
        <v>45462</v>
      </c>
      <c r="F314" s="4">
        <v>45464</v>
      </c>
      <c r="G314" s="3" t="s">
        <v>28</v>
      </c>
      <c r="H314" s="3" t="s">
        <v>35</v>
      </c>
      <c r="I314" s="3" t="s">
        <v>22</v>
      </c>
      <c r="J314" s="3" t="s">
        <v>23</v>
      </c>
      <c r="K314" s="3">
        <v>22</v>
      </c>
      <c r="L314" s="3">
        <v>2</v>
      </c>
      <c r="M314" s="3">
        <v>3652</v>
      </c>
      <c r="N314" s="3">
        <v>7304</v>
      </c>
      <c r="O314" s="3">
        <v>0</v>
      </c>
      <c r="P314" s="3" t="s">
        <v>24</v>
      </c>
      <c r="Q314" s="3">
        <v>1</v>
      </c>
      <c r="R314" s="3" t="str">
        <f t="shared" si="4"/>
        <v>Cancelled</v>
      </c>
      <c r="S314" s="3" t="s">
        <v>25</v>
      </c>
    </row>
    <row r="315" spans="1:19" x14ac:dyDescent="0.35">
      <c r="A315" s="3">
        <v>1314</v>
      </c>
      <c r="B315" s="3" t="s">
        <v>365</v>
      </c>
      <c r="C315" s="4">
        <v>45441</v>
      </c>
      <c r="D315" s="3" t="s">
        <v>100</v>
      </c>
      <c r="E315" s="4">
        <v>45498</v>
      </c>
      <c r="F315" s="4">
        <v>45503</v>
      </c>
      <c r="G315" s="3" t="s">
        <v>45</v>
      </c>
      <c r="H315" s="3" t="s">
        <v>38</v>
      </c>
      <c r="I315" s="3" t="s">
        <v>22</v>
      </c>
      <c r="J315" s="3" t="s">
        <v>30</v>
      </c>
      <c r="K315" s="3">
        <v>57</v>
      </c>
      <c r="L315" s="3">
        <v>5</v>
      </c>
      <c r="M315" s="3">
        <v>5997</v>
      </c>
      <c r="N315" s="3">
        <v>29985</v>
      </c>
      <c r="O315" s="3">
        <v>29985</v>
      </c>
      <c r="P315" s="3" t="s">
        <v>24</v>
      </c>
      <c r="Q315" s="3">
        <v>0</v>
      </c>
      <c r="R315" s="3" t="str">
        <f t="shared" si="4"/>
        <v>Not Cancelled</v>
      </c>
      <c r="S315" s="3" t="s">
        <v>25</v>
      </c>
    </row>
    <row r="316" spans="1:19" x14ac:dyDescent="0.35">
      <c r="A316" s="3">
        <v>1315</v>
      </c>
      <c r="B316" s="3" t="s">
        <v>208</v>
      </c>
      <c r="C316" s="4">
        <v>45584</v>
      </c>
      <c r="D316" s="3" t="s">
        <v>71</v>
      </c>
      <c r="E316" s="4">
        <v>45601</v>
      </c>
      <c r="F316" s="4">
        <v>45603</v>
      </c>
      <c r="G316" s="3" t="s">
        <v>28</v>
      </c>
      <c r="H316" s="3" t="s">
        <v>38</v>
      </c>
      <c r="I316" s="3" t="s">
        <v>22</v>
      </c>
      <c r="J316" s="3" t="s">
        <v>30</v>
      </c>
      <c r="K316" s="3">
        <v>17</v>
      </c>
      <c r="L316" s="3">
        <v>2</v>
      </c>
      <c r="M316" s="3">
        <v>3447</v>
      </c>
      <c r="N316" s="3">
        <v>6894</v>
      </c>
      <c r="O316" s="3">
        <v>6894</v>
      </c>
      <c r="P316" s="3" t="s">
        <v>51</v>
      </c>
      <c r="Q316" s="3">
        <v>0</v>
      </c>
      <c r="R316" s="3" t="str">
        <f t="shared" si="4"/>
        <v>Not Cancelled</v>
      </c>
      <c r="S316" s="3" t="s">
        <v>31</v>
      </c>
    </row>
    <row r="317" spans="1:19" x14ac:dyDescent="0.35">
      <c r="A317" s="3">
        <v>1316</v>
      </c>
      <c r="B317" s="3" t="s">
        <v>366</v>
      </c>
      <c r="C317" s="4">
        <v>45434</v>
      </c>
      <c r="D317" s="3" t="s">
        <v>42</v>
      </c>
      <c r="E317" s="4">
        <v>45438</v>
      </c>
      <c r="F317" s="4">
        <v>45440</v>
      </c>
      <c r="G317" s="3" t="s">
        <v>28</v>
      </c>
      <c r="H317" s="3" t="s">
        <v>29</v>
      </c>
      <c r="I317" s="3" t="s">
        <v>39</v>
      </c>
      <c r="J317" s="3" t="s">
        <v>23</v>
      </c>
      <c r="K317" s="3">
        <v>4</v>
      </c>
      <c r="L317" s="3">
        <v>2</v>
      </c>
      <c r="M317" s="3">
        <v>7260</v>
      </c>
      <c r="N317" s="3">
        <v>14520</v>
      </c>
      <c r="O317" s="3">
        <v>14520</v>
      </c>
      <c r="P317" s="3" t="s">
        <v>51</v>
      </c>
      <c r="Q317" s="3">
        <v>0</v>
      </c>
      <c r="R317" s="3" t="str">
        <f t="shared" si="4"/>
        <v>Not Cancelled</v>
      </c>
      <c r="S317" s="3" t="s">
        <v>31</v>
      </c>
    </row>
    <row r="318" spans="1:19" x14ac:dyDescent="0.35">
      <c r="A318" s="3">
        <v>1317</v>
      </c>
      <c r="B318" s="3" t="s">
        <v>84</v>
      </c>
      <c r="C318" s="4">
        <v>45451</v>
      </c>
      <c r="D318" s="3" t="s">
        <v>73</v>
      </c>
      <c r="E318" s="4">
        <v>45499</v>
      </c>
      <c r="F318" s="4">
        <v>45501</v>
      </c>
      <c r="G318" s="3" t="s">
        <v>28</v>
      </c>
      <c r="H318" s="3" t="s">
        <v>21</v>
      </c>
      <c r="I318" s="3" t="s">
        <v>39</v>
      </c>
      <c r="J318" s="3" t="s">
        <v>23</v>
      </c>
      <c r="K318" s="3">
        <v>48</v>
      </c>
      <c r="L318" s="3">
        <v>2</v>
      </c>
      <c r="M318" s="3">
        <v>4217</v>
      </c>
      <c r="N318" s="3">
        <v>8434</v>
      </c>
      <c r="O318" s="3">
        <v>8434</v>
      </c>
      <c r="P318" s="3" t="s">
        <v>51</v>
      </c>
      <c r="Q318" s="3">
        <v>0</v>
      </c>
      <c r="R318" s="3" t="str">
        <f t="shared" si="4"/>
        <v>Not Cancelled</v>
      </c>
      <c r="S318" s="3" t="s">
        <v>25</v>
      </c>
    </row>
    <row r="319" spans="1:19" x14ac:dyDescent="0.35">
      <c r="A319" s="3">
        <v>1318</v>
      </c>
      <c r="B319" s="3" t="s">
        <v>317</v>
      </c>
      <c r="C319" s="4">
        <v>45302</v>
      </c>
      <c r="D319" s="3" t="s">
        <v>226</v>
      </c>
      <c r="E319" s="4">
        <v>45354</v>
      </c>
      <c r="F319" s="4">
        <v>45358</v>
      </c>
      <c r="G319" s="3" t="s">
        <v>42</v>
      </c>
      <c r="H319" s="3" t="s">
        <v>60</v>
      </c>
      <c r="I319" s="3" t="s">
        <v>39</v>
      </c>
      <c r="J319" s="3" t="s">
        <v>30</v>
      </c>
      <c r="K319" s="3">
        <v>52</v>
      </c>
      <c r="L319" s="3">
        <v>4</v>
      </c>
      <c r="M319" s="3">
        <v>7744</v>
      </c>
      <c r="N319" s="3">
        <v>30976</v>
      </c>
      <c r="O319" s="3">
        <v>0</v>
      </c>
      <c r="P319" s="3" t="s">
        <v>24</v>
      </c>
      <c r="Q319" s="3">
        <v>1</v>
      </c>
      <c r="R319" s="3" t="str">
        <f t="shared" si="4"/>
        <v>Cancelled</v>
      </c>
      <c r="S319" s="3" t="s">
        <v>31</v>
      </c>
    </row>
    <row r="320" spans="1:19" x14ac:dyDescent="0.35">
      <c r="A320" s="3">
        <v>1319</v>
      </c>
      <c r="B320" s="3" t="s">
        <v>367</v>
      </c>
      <c r="C320" s="4">
        <v>45429</v>
      </c>
      <c r="D320" s="3" t="s">
        <v>148</v>
      </c>
      <c r="E320" s="4">
        <v>45476</v>
      </c>
      <c r="F320" s="4">
        <v>45480</v>
      </c>
      <c r="G320" s="3" t="s">
        <v>42</v>
      </c>
      <c r="H320" s="3" t="s">
        <v>38</v>
      </c>
      <c r="I320" s="3" t="s">
        <v>39</v>
      </c>
      <c r="J320" s="3" t="s">
        <v>23</v>
      </c>
      <c r="K320" s="3">
        <v>47</v>
      </c>
      <c r="L320" s="3">
        <v>4</v>
      </c>
      <c r="M320" s="3">
        <v>2566</v>
      </c>
      <c r="N320" s="3">
        <v>10264</v>
      </c>
      <c r="O320" s="3">
        <v>0</v>
      </c>
      <c r="P320" s="3" t="s">
        <v>51</v>
      </c>
      <c r="Q320" s="3">
        <v>1</v>
      </c>
      <c r="R320" s="3" t="str">
        <f t="shared" si="4"/>
        <v>Cancelled</v>
      </c>
      <c r="S320" s="3" t="s">
        <v>25</v>
      </c>
    </row>
    <row r="321" spans="1:19" x14ac:dyDescent="0.35">
      <c r="A321" s="3">
        <v>1320</v>
      </c>
      <c r="B321" s="3" t="s">
        <v>368</v>
      </c>
      <c r="C321" s="4">
        <v>45369</v>
      </c>
      <c r="D321" s="3" t="s">
        <v>107</v>
      </c>
      <c r="E321" s="4">
        <v>45394</v>
      </c>
      <c r="F321" s="4">
        <v>45399</v>
      </c>
      <c r="G321" s="3" t="s">
        <v>45</v>
      </c>
      <c r="H321" s="3" t="s">
        <v>35</v>
      </c>
      <c r="I321" s="3" t="s">
        <v>22</v>
      </c>
      <c r="J321" s="3" t="s">
        <v>46</v>
      </c>
      <c r="K321" s="3">
        <v>25</v>
      </c>
      <c r="L321" s="3">
        <v>5</v>
      </c>
      <c r="M321" s="3">
        <v>8649</v>
      </c>
      <c r="N321" s="3">
        <v>43245</v>
      </c>
      <c r="O321" s="3">
        <v>0</v>
      </c>
      <c r="P321" s="3" t="s">
        <v>51</v>
      </c>
      <c r="Q321" s="3">
        <v>1</v>
      </c>
      <c r="R321" s="3" t="str">
        <f t="shared" si="4"/>
        <v>Cancelled</v>
      </c>
      <c r="S321" s="3" t="s">
        <v>25</v>
      </c>
    </row>
    <row r="322" spans="1:19" x14ac:dyDescent="0.35">
      <c r="A322" s="3">
        <v>1321</v>
      </c>
      <c r="B322" s="3" t="s">
        <v>369</v>
      </c>
      <c r="C322" s="4">
        <v>45368</v>
      </c>
      <c r="D322" s="3" t="s">
        <v>96</v>
      </c>
      <c r="E322" s="4">
        <v>45427</v>
      </c>
      <c r="F322" s="4">
        <v>45431</v>
      </c>
      <c r="G322" s="3" t="s">
        <v>42</v>
      </c>
      <c r="H322" s="3" t="s">
        <v>29</v>
      </c>
      <c r="I322" s="3" t="s">
        <v>22</v>
      </c>
      <c r="J322" s="3" t="s">
        <v>46</v>
      </c>
      <c r="K322" s="3">
        <v>59</v>
      </c>
      <c r="L322" s="3">
        <v>4</v>
      </c>
      <c r="M322" s="3">
        <v>3136</v>
      </c>
      <c r="N322" s="3">
        <v>12544</v>
      </c>
      <c r="O322" s="3">
        <v>0</v>
      </c>
      <c r="P322" s="3" t="s">
        <v>24</v>
      </c>
      <c r="Q322" s="3">
        <v>1</v>
      </c>
      <c r="R322" s="3" t="str">
        <f t="shared" si="4"/>
        <v>Cancelled</v>
      </c>
      <c r="S322" s="3" t="s">
        <v>25</v>
      </c>
    </row>
    <row r="323" spans="1:19" x14ac:dyDescent="0.35">
      <c r="A323" s="3">
        <v>1322</v>
      </c>
      <c r="B323" s="3" t="s">
        <v>370</v>
      </c>
      <c r="C323" s="4">
        <v>45545</v>
      </c>
      <c r="D323" s="3" t="s">
        <v>175</v>
      </c>
      <c r="E323" s="4">
        <v>45566</v>
      </c>
      <c r="F323" s="4">
        <v>45571</v>
      </c>
      <c r="G323" s="3" t="s">
        <v>45</v>
      </c>
      <c r="H323" s="3" t="s">
        <v>60</v>
      </c>
      <c r="I323" s="3" t="s">
        <v>39</v>
      </c>
      <c r="J323" s="3" t="s">
        <v>46</v>
      </c>
      <c r="K323" s="3">
        <v>21</v>
      </c>
      <c r="L323" s="3">
        <v>5</v>
      </c>
      <c r="M323" s="3">
        <v>2813</v>
      </c>
      <c r="N323" s="3">
        <v>14065</v>
      </c>
      <c r="O323" s="3">
        <v>0</v>
      </c>
      <c r="P323" s="3" t="s">
        <v>51</v>
      </c>
      <c r="Q323" s="3">
        <v>1</v>
      </c>
      <c r="R323" s="3" t="str">
        <f t="shared" ref="R323:R386" si="5">IF(Q323=0,"Not Cancelled","Cancelled")</f>
        <v>Cancelled</v>
      </c>
      <c r="S323" s="3" t="s">
        <v>25</v>
      </c>
    </row>
    <row r="324" spans="1:19" x14ac:dyDescent="0.35">
      <c r="A324" s="3">
        <v>1323</v>
      </c>
      <c r="B324" s="3" t="s">
        <v>371</v>
      </c>
      <c r="C324" s="4">
        <v>45549</v>
      </c>
      <c r="D324" s="3" t="s">
        <v>105</v>
      </c>
      <c r="E324" s="4">
        <v>45586</v>
      </c>
      <c r="F324" s="4">
        <v>45590</v>
      </c>
      <c r="G324" s="3" t="s">
        <v>42</v>
      </c>
      <c r="H324" s="3" t="s">
        <v>35</v>
      </c>
      <c r="I324" s="3" t="s">
        <v>22</v>
      </c>
      <c r="J324" s="3" t="s">
        <v>23</v>
      </c>
      <c r="K324" s="3">
        <v>37</v>
      </c>
      <c r="L324" s="3">
        <v>4</v>
      </c>
      <c r="M324" s="3">
        <v>5897</v>
      </c>
      <c r="N324" s="3">
        <v>23588</v>
      </c>
      <c r="O324" s="3">
        <v>0</v>
      </c>
      <c r="P324" s="3" t="s">
        <v>51</v>
      </c>
      <c r="Q324" s="3">
        <v>1</v>
      </c>
      <c r="R324" s="3" t="str">
        <f t="shared" si="5"/>
        <v>Cancelled</v>
      </c>
      <c r="S324" s="3" t="s">
        <v>31</v>
      </c>
    </row>
    <row r="325" spans="1:19" x14ac:dyDescent="0.35">
      <c r="A325" s="3">
        <v>1324</v>
      </c>
      <c r="B325" s="3" t="s">
        <v>372</v>
      </c>
      <c r="C325" s="4">
        <v>45611</v>
      </c>
      <c r="D325" s="3" t="s">
        <v>115</v>
      </c>
      <c r="E325" s="4">
        <v>45649</v>
      </c>
      <c r="F325" s="4">
        <v>45650</v>
      </c>
      <c r="G325" s="3" t="s">
        <v>34</v>
      </c>
      <c r="H325" s="3" t="s">
        <v>35</v>
      </c>
      <c r="I325" s="3" t="s">
        <v>39</v>
      </c>
      <c r="J325" s="3" t="s">
        <v>30</v>
      </c>
      <c r="K325" s="3">
        <v>38</v>
      </c>
      <c r="L325" s="3">
        <v>1</v>
      </c>
      <c r="M325" s="3">
        <v>3064</v>
      </c>
      <c r="N325" s="3">
        <v>3064</v>
      </c>
      <c r="O325" s="3">
        <v>3064</v>
      </c>
      <c r="P325" s="3" t="s">
        <v>24</v>
      </c>
      <c r="Q325" s="3">
        <v>0</v>
      </c>
      <c r="R325" s="3" t="str">
        <f t="shared" si="5"/>
        <v>Not Cancelled</v>
      </c>
      <c r="S325" s="3" t="s">
        <v>31</v>
      </c>
    </row>
    <row r="326" spans="1:19" x14ac:dyDescent="0.35">
      <c r="A326" s="3">
        <v>1325</v>
      </c>
      <c r="B326" s="3" t="s">
        <v>373</v>
      </c>
      <c r="C326" s="4">
        <v>45582</v>
      </c>
      <c r="D326" s="3" t="s">
        <v>211</v>
      </c>
      <c r="E326" s="4">
        <v>45631</v>
      </c>
      <c r="F326" s="4">
        <v>45632</v>
      </c>
      <c r="G326" s="3" t="s">
        <v>34</v>
      </c>
      <c r="H326" s="3" t="s">
        <v>21</v>
      </c>
      <c r="I326" s="3" t="s">
        <v>22</v>
      </c>
      <c r="J326" s="3" t="s">
        <v>30</v>
      </c>
      <c r="K326" s="3">
        <v>49</v>
      </c>
      <c r="L326" s="3">
        <v>1</v>
      </c>
      <c r="M326" s="3">
        <v>4101</v>
      </c>
      <c r="N326" s="3">
        <v>4101</v>
      </c>
      <c r="O326" s="3">
        <v>0</v>
      </c>
      <c r="P326" s="3" t="s">
        <v>51</v>
      </c>
      <c r="Q326" s="3">
        <v>1</v>
      </c>
      <c r="R326" s="3" t="str">
        <f t="shared" si="5"/>
        <v>Cancelled</v>
      </c>
      <c r="S326" s="3" t="s">
        <v>31</v>
      </c>
    </row>
    <row r="327" spans="1:19" x14ac:dyDescent="0.35">
      <c r="A327" s="3">
        <v>1326</v>
      </c>
      <c r="B327" s="3" t="s">
        <v>108</v>
      </c>
      <c r="C327" s="4">
        <v>45554</v>
      </c>
      <c r="D327" s="3" t="s">
        <v>34</v>
      </c>
      <c r="E327" s="4">
        <v>45555</v>
      </c>
      <c r="F327" s="4">
        <v>45560</v>
      </c>
      <c r="G327" s="3" t="s">
        <v>45</v>
      </c>
      <c r="H327" s="3" t="s">
        <v>21</v>
      </c>
      <c r="I327" s="3" t="s">
        <v>22</v>
      </c>
      <c r="J327" s="3" t="s">
        <v>30</v>
      </c>
      <c r="K327" s="3">
        <v>1</v>
      </c>
      <c r="L327" s="3">
        <v>5</v>
      </c>
      <c r="M327" s="3">
        <v>3325</v>
      </c>
      <c r="N327" s="3">
        <v>16625</v>
      </c>
      <c r="O327" s="3">
        <v>16625</v>
      </c>
      <c r="P327" s="3" t="s">
        <v>24</v>
      </c>
      <c r="Q327" s="3">
        <v>0</v>
      </c>
      <c r="R327" s="3" t="str">
        <f t="shared" si="5"/>
        <v>Not Cancelled</v>
      </c>
      <c r="S327" s="3" t="s">
        <v>25</v>
      </c>
    </row>
    <row r="328" spans="1:19" x14ac:dyDescent="0.35">
      <c r="A328" s="3">
        <v>1327</v>
      </c>
      <c r="B328" s="3" t="s">
        <v>374</v>
      </c>
      <c r="C328" s="4">
        <v>45376</v>
      </c>
      <c r="D328" s="3" t="s">
        <v>107</v>
      </c>
      <c r="E328" s="4">
        <v>45401</v>
      </c>
      <c r="F328" s="4">
        <v>45405</v>
      </c>
      <c r="G328" s="3" t="s">
        <v>42</v>
      </c>
      <c r="H328" s="3" t="s">
        <v>38</v>
      </c>
      <c r="I328" s="3" t="s">
        <v>22</v>
      </c>
      <c r="J328" s="3" t="s">
        <v>23</v>
      </c>
      <c r="K328" s="3">
        <v>25</v>
      </c>
      <c r="L328" s="3">
        <v>4</v>
      </c>
      <c r="M328" s="3">
        <v>7701</v>
      </c>
      <c r="N328" s="3">
        <v>30804</v>
      </c>
      <c r="O328" s="3">
        <v>0</v>
      </c>
      <c r="P328" s="3" t="s">
        <v>51</v>
      </c>
      <c r="Q328" s="3">
        <v>1</v>
      </c>
      <c r="R328" s="3" t="str">
        <f t="shared" si="5"/>
        <v>Cancelled</v>
      </c>
      <c r="S328" s="3" t="s">
        <v>31</v>
      </c>
    </row>
    <row r="329" spans="1:19" x14ac:dyDescent="0.35">
      <c r="A329" s="3">
        <v>1328</v>
      </c>
      <c r="B329" s="3" t="s">
        <v>263</v>
      </c>
      <c r="C329" s="4">
        <v>45437</v>
      </c>
      <c r="D329" s="3" t="s">
        <v>124</v>
      </c>
      <c r="E329" s="4">
        <v>45488</v>
      </c>
      <c r="F329" s="4">
        <v>45492</v>
      </c>
      <c r="G329" s="3" t="s">
        <v>42</v>
      </c>
      <c r="H329" s="3" t="s">
        <v>38</v>
      </c>
      <c r="I329" s="3" t="s">
        <v>22</v>
      </c>
      <c r="J329" s="3" t="s">
        <v>23</v>
      </c>
      <c r="K329" s="3">
        <v>51</v>
      </c>
      <c r="L329" s="3">
        <v>4</v>
      </c>
      <c r="M329" s="3">
        <v>6170</v>
      </c>
      <c r="N329" s="3">
        <v>24680</v>
      </c>
      <c r="O329" s="3">
        <v>0</v>
      </c>
      <c r="P329" s="3" t="s">
        <v>51</v>
      </c>
      <c r="Q329" s="3">
        <v>1</v>
      </c>
      <c r="R329" s="3" t="str">
        <f t="shared" si="5"/>
        <v>Cancelled</v>
      </c>
      <c r="S329" s="3" t="s">
        <v>25</v>
      </c>
    </row>
    <row r="330" spans="1:19" x14ac:dyDescent="0.35">
      <c r="A330" s="3">
        <v>1329</v>
      </c>
      <c r="B330" s="3" t="s">
        <v>375</v>
      </c>
      <c r="C330" s="4">
        <v>45614</v>
      </c>
      <c r="D330" s="3" t="s">
        <v>146</v>
      </c>
      <c r="E330" s="4">
        <v>45650</v>
      </c>
      <c r="F330" s="4">
        <v>45652</v>
      </c>
      <c r="G330" s="3" t="s">
        <v>28</v>
      </c>
      <c r="H330" s="3" t="s">
        <v>35</v>
      </c>
      <c r="I330" s="3" t="s">
        <v>22</v>
      </c>
      <c r="J330" s="3" t="s">
        <v>46</v>
      </c>
      <c r="K330" s="3">
        <v>36</v>
      </c>
      <c r="L330" s="3">
        <v>2</v>
      </c>
      <c r="M330" s="3">
        <v>3525</v>
      </c>
      <c r="N330" s="3">
        <v>7050</v>
      </c>
      <c r="O330" s="3">
        <v>7050</v>
      </c>
      <c r="P330" s="3" t="s">
        <v>24</v>
      </c>
      <c r="Q330" s="3">
        <v>0</v>
      </c>
      <c r="R330" s="3" t="str">
        <f t="shared" si="5"/>
        <v>Not Cancelled</v>
      </c>
      <c r="S330" s="3" t="s">
        <v>25</v>
      </c>
    </row>
    <row r="331" spans="1:19" x14ac:dyDescent="0.35">
      <c r="A331" s="3">
        <v>1330</v>
      </c>
      <c r="B331" s="3" t="s">
        <v>376</v>
      </c>
      <c r="C331" s="4">
        <v>45333</v>
      </c>
      <c r="D331" s="3" t="s">
        <v>71</v>
      </c>
      <c r="E331" s="4">
        <v>45350</v>
      </c>
      <c r="F331" s="4">
        <v>45353</v>
      </c>
      <c r="G331" s="3" t="s">
        <v>20</v>
      </c>
      <c r="H331" s="3" t="s">
        <v>35</v>
      </c>
      <c r="I331" s="3" t="s">
        <v>22</v>
      </c>
      <c r="J331" s="3" t="s">
        <v>23</v>
      </c>
      <c r="K331" s="3">
        <v>17</v>
      </c>
      <c r="L331" s="3">
        <v>3</v>
      </c>
      <c r="M331" s="3">
        <v>4751</v>
      </c>
      <c r="N331" s="3">
        <v>14253</v>
      </c>
      <c r="O331" s="3">
        <v>0</v>
      </c>
      <c r="P331" s="3" t="s">
        <v>51</v>
      </c>
      <c r="Q331" s="3">
        <v>1</v>
      </c>
      <c r="R331" s="3" t="str">
        <f t="shared" si="5"/>
        <v>Cancelled</v>
      </c>
      <c r="S331" s="3" t="s">
        <v>25</v>
      </c>
    </row>
    <row r="332" spans="1:19" x14ac:dyDescent="0.35">
      <c r="A332" s="3">
        <v>1331</v>
      </c>
      <c r="B332" s="3" t="s">
        <v>361</v>
      </c>
      <c r="C332" s="4">
        <v>45416</v>
      </c>
      <c r="D332" s="3" t="s">
        <v>86</v>
      </c>
      <c r="E332" s="4">
        <v>45457</v>
      </c>
      <c r="F332" s="4">
        <v>45462</v>
      </c>
      <c r="G332" s="3" t="s">
        <v>45</v>
      </c>
      <c r="H332" s="3" t="s">
        <v>38</v>
      </c>
      <c r="I332" s="3" t="s">
        <v>39</v>
      </c>
      <c r="J332" s="3" t="s">
        <v>46</v>
      </c>
      <c r="K332" s="3">
        <v>41</v>
      </c>
      <c r="L332" s="3">
        <v>5</v>
      </c>
      <c r="M332" s="3">
        <v>7257</v>
      </c>
      <c r="N332" s="3">
        <v>36285</v>
      </c>
      <c r="O332" s="3">
        <v>0</v>
      </c>
      <c r="P332" s="3" t="s">
        <v>24</v>
      </c>
      <c r="Q332" s="3">
        <v>1</v>
      </c>
      <c r="R332" s="3" t="str">
        <f t="shared" si="5"/>
        <v>Cancelled</v>
      </c>
      <c r="S332" s="3" t="s">
        <v>25</v>
      </c>
    </row>
    <row r="333" spans="1:19" x14ac:dyDescent="0.35">
      <c r="A333" s="3">
        <v>1332</v>
      </c>
      <c r="B333" s="3" t="s">
        <v>377</v>
      </c>
      <c r="C333" s="4">
        <v>45458</v>
      </c>
      <c r="D333" s="3" t="s">
        <v>159</v>
      </c>
      <c r="E333" s="4">
        <v>45482</v>
      </c>
      <c r="F333" s="4">
        <v>45485</v>
      </c>
      <c r="G333" s="3" t="s">
        <v>20</v>
      </c>
      <c r="H333" s="3" t="s">
        <v>38</v>
      </c>
      <c r="I333" s="3" t="s">
        <v>22</v>
      </c>
      <c r="J333" s="3" t="s">
        <v>46</v>
      </c>
      <c r="K333" s="3">
        <v>24</v>
      </c>
      <c r="L333" s="3">
        <v>3</v>
      </c>
      <c r="M333" s="3">
        <v>3304</v>
      </c>
      <c r="N333" s="3">
        <v>9912</v>
      </c>
      <c r="O333" s="3">
        <v>9912</v>
      </c>
      <c r="P333" s="3" t="s">
        <v>51</v>
      </c>
      <c r="Q333" s="3">
        <v>0</v>
      </c>
      <c r="R333" s="3" t="str">
        <f t="shared" si="5"/>
        <v>Not Cancelled</v>
      </c>
      <c r="S333" s="3" t="s">
        <v>25</v>
      </c>
    </row>
    <row r="334" spans="1:19" x14ac:dyDescent="0.35">
      <c r="A334" s="3">
        <v>1333</v>
      </c>
      <c r="B334" s="3" t="s">
        <v>378</v>
      </c>
      <c r="C334" s="4">
        <v>45532</v>
      </c>
      <c r="D334" s="3" t="s">
        <v>28</v>
      </c>
      <c r="E334" s="4">
        <v>45534</v>
      </c>
      <c r="F334" s="4">
        <v>45537</v>
      </c>
      <c r="G334" s="3" t="s">
        <v>20</v>
      </c>
      <c r="H334" s="3" t="s">
        <v>35</v>
      </c>
      <c r="I334" s="3" t="s">
        <v>39</v>
      </c>
      <c r="J334" s="3" t="s">
        <v>30</v>
      </c>
      <c r="K334" s="3">
        <v>2</v>
      </c>
      <c r="L334" s="3">
        <v>3</v>
      </c>
      <c r="M334" s="3">
        <v>4951</v>
      </c>
      <c r="N334" s="3">
        <v>14853</v>
      </c>
      <c r="O334" s="3">
        <v>14853</v>
      </c>
      <c r="P334" s="3" t="s">
        <v>51</v>
      </c>
      <c r="Q334" s="3">
        <v>0</v>
      </c>
      <c r="R334" s="3" t="str">
        <f t="shared" si="5"/>
        <v>Not Cancelled</v>
      </c>
      <c r="S334" s="3" t="s">
        <v>25</v>
      </c>
    </row>
    <row r="335" spans="1:19" x14ac:dyDescent="0.35">
      <c r="A335" s="3">
        <v>1334</v>
      </c>
      <c r="B335" s="3" t="s">
        <v>173</v>
      </c>
      <c r="C335" s="4">
        <v>45571</v>
      </c>
      <c r="D335" s="3" t="s">
        <v>179</v>
      </c>
      <c r="E335" s="4">
        <v>45611</v>
      </c>
      <c r="F335" s="4">
        <v>45616</v>
      </c>
      <c r="G335" s="3" t="s">
        <v>45</v>
      </c>
      <c r="H335" s="3" t="s">
        <v>60</v>
      </c>
      <c r="I335" s="3" t="s">
        <v>39</v>
      </c>
      <c r="J335" s="3" t="s">
        <v>23</v>
      </c>
      <c r="K335" s="3">
        <v>40</v>
      </c>
      <c r="L335" s="3">
        <v>5</v>
      </c>
      <c r="M335" s="3">
        <v>7131</v>
      </c>
      <c r="N335" s="3">
        <v>35655</v>
      </c>
      <c r="O335" s="3">
        <v>35655</v>
      </c>
      <c r="P335" s="3" t="s">
        <v>24</v>
      </c>
      <c r="Q335" s="3">
        <v>0</v>
      </c>
      <c r="R335" s="3" t="str">
        <f t="shared" si="5"/>
        <v>Not Cancelled</v>
      </c>
      <c r="S335" s="3" t="s">
        <v>31</v>
      </c>
    </row>
    <row r="336" spans="1:19" x14ac:dyDescent="0.35">
      <c r="A336" s="3">
        <v>1335</v>
      </c>
      <c r="B336" s="3" t="s">
        <v>379</v>
      </c>
      <c r="C336" s="4">
        <v>45479</v>
      </c>
      <c r="D336" s="3" t="s">
        <v>277</v>
      </c>
      <c r="E336" s="4">
        <v>45494</v>
      </c>
      <c r="F336" s="4">
        <v>45498</v>
      </c>
      <c r="G336" s="3" t="s">
        <v>42</v>
      </c>
      <c r="H336" s="3" t="s">
        <v>35</v>
      </c>
      <c r="I336" s="3" t="s">
        <v>39</v>
      </c>
      <c r="J336" s="3" t="s">
        <v>30</v>
      </c>
      <c r="K336" s="3">
        <v>15</v>
      </c>
      <c r="L336" s="3">
        <v>4</v>
      </c>
      <c r="M336" s="3">
        <v>3891</v>
      </c>
      <c r="N336" s="3">
        <v>15564</v>
      </c>
      <c r="O336" s="3">
        <v>15564</v>
      </c>
      <c r="P336" s="3" t="s">
        <v>24</v>
      </c>
      <c r="Q336" s="3">
        <v>0</v>
      </c>
      <c r="R336" s="3" t="str">
        <f t="shared" si="5"/>
        <v>Not Cancelled</v>
      </c>
      <c r="S336" s="3" t="s">
        <v>31</v>
      </c>
    </row>
    <row r="337" spans="1:19" x14ac:dyDescent="0.35">
      <c r="A337" s="3">
        <v>1336</v>
      </c>
      <c r="B337" s="3" t="s">
        <v>336</v>
      </c>
      <c r="C337" s="4">
        <v>45593</v>
      </c>
      <c r="D337" s="3" t="s">
        <v>144</v>
      </c>
      <c r="E337" s="4">
        <v>45625</v>
      </c>
      <c r="F337" s="4">
        <v>45630</v>
      </c>
      <c r="G337" s="3" t="s">
        <v>45</v>
      </c>
      <c r="H337" s="3" t="s">
        <v>60</v>
      </c>
      <c r="I337" s="3" t="s">
        <v>39</v>
      </c>
      <c r="J337" s="3" t="s">
        <v>30</v>
      </c>
      <c r="K337" s="3">
        <v>32</v>
      </c>
      <c r="L337" s="3">
        <v>5</v>
      </c>
      <c r="M337" s="3">
        <v>3735</v>
      </c>
      <c r="N337" s="3">
        <v>18675</v>
      </c>
      <c r="O337" s="3">
        <v>0</v>
      </c>
      <c r="P337" s="3" t="s">
        <v>51</v>
      </c>
      <c r="Q337" s="3">
        <v>1</v>
      </c>
      <c r="R337" s="3" t="str">
        <f t="shared" si="5"/>
        <v>Cancelled</v>
      </c>
      <c r="S337" s="3" t="s">
        <v>31</v>
      </c>
    </row>
    <row r="338" spans="1:19" x14ac:dyDescent="0.35">
      <c r="A338" s="3">
        <v>1337</v>
      </c>
      <c r="B338" s="3" t="s">
        <v>380</v>
      </c>
      <c r="C338" s="4">
        <v>45310</v>
      </c>
      <c r="D338" s="3" t="s">
        <v>153</v>
      </c>
      <c r="E338" s="4">
        <v>45349</v>
      </c>
      <c r="F338" s="4">
        <v>45352</v>
      </c>
      <c r="G338" s="3" t="s">
        <v>20</v>
      </c>
      <c r="H338" s="3" t="s">
        <v>60</v>
      </c>
      <c r="I338" s="3" t="s">
        <v>39</v>
      </c>
      <c r="J338" s="3" t="s">
        <v>23</v>
      </c>
      <c r="K338" s="3">
        <v>39</v>
      </c>
      <c r="L338" s="3">
        <v>3</v>
      </c>
      <c r="M338" s="3">
        <v>6532</v>
      </c>
      <c r="N338" s="3">
        <v>19596</v>
      </c>
      <c r="O338" s="3">
        <v>0</v>
      </c>
      <c r="P338" s="3" t="s">
        <v>51</v>
      </c>
      <c r="Q338" s="3">
        <v>1</v>
      </c>
      <c r="R338" s="3" t="str">
        <f t="shared" si="5"/>
        <v>Cancelled</v>
      </c>
      <c r="S338" s="3" t="s">
        <v>31</v>
      </c>
    </row>
    <row r="339" spans="1:19" x14ac:dyDescent="0.35">
      <c r="A339" s="3">
        <v>1338</v>
      </c>
      <c r="B339" s="3" t="s">
        <v>164</v>
      </c>
      <c r="C339" s="4">
        <v>45359</v>
      </c>
      <c r="D339" s="3" t="s">
        <v>96</v>
      </c>
      <c r="E339" s="4">
        <v>45418</v>
      </c>
      <c r="F339" s="4">
        <v>45422</v>
      </c>
      <c r="G339" s="3" t="s">
        <v>42</v>
      </c>
      <c r="H339" s="3" t="s">
        <v>35</v>
      </c>
      <c r="I339" s="3" t="s">
        <v>39</v>
      </c>
      <c r="J339" s="3" t="s">
        <v>23</v>
      </c>
      <c r="K339" s="3">
        <v>59</v>
      </c>
      <c r="L339" s="3">
        <v>4</v>
      </c>
      <c r="M339" s="3">
        <v>5780</v>
      </c>
      <c r="N339" s="3">
        <v>23120</v>
      </c>
      <c r="O339" s="3">
        <v>0</v>
      </c>
      <c r="P339" s="3" t="s">
        <v>51</v>
      </c>
      <c r="Q339" s="3">
        <v>1</v>
      </c>
      <c r="R339" s="3" t="str">
        <f t="shared" si="5"/>
        <v>Cancelled</v>
      </c>
      <c r="S339" s="3" t="s">
        <v>25</v>
      </c>
    </row>
    <row r="340" spans="1:19" x14ac:dyDescent="0.35">
      <c r="A340" s="3">
        <v>1339</v>
      </c>
      <c r="B340" s="3" t="s">
        <v>381</v>
      </c>
      <c r="C340" s="4">
        <v>45509</v>
      </c>
      <c r="D340" s="3" t="s">
        <v>55</v>
      </c>
      <c r="E340" s="4">
        <v>45515</v>
      </c>
      <c r="F340" s="4">
        <v>45516</v>
      </c>
      <c r="G340" s="3" t="s">
        <v>34</v>
      </c>
      <c r="H340" s="3" t="s">
        <v>29</v>
      </c>
      <c r="I340" s="3" t="s">
        <v>22</v>
      </c>
      <c r="J340" s="3" t="s">
        <v>46</v>
      </c>
      <c r="K340" s="3">
        <v>6</v>
      </c>
      <c r="L340" s="3">
        <v>1</v>
      </c>
      <c r="M340" s="3">
        <v>8516</v>
      </c>
      <c r="N340" s="3">
        <v>8516</v>
      </c>
      <c r="O340" s="3">
        <v>8516</v>
      </c>
      <c r="P340" s="3" t="s">
        <v>24</v>
      </c>
      <c r="Q340" s="3">
        <v>0</v>
      </c>
      <c r="R340" s="3" t="str">
        <f t="shared" si="5"/>
        <v>Not Cancelled</v>
      </c>
      <c r="S340" s="3" t="s">
        <v>25</v>
      </c>
    </row>
    <row r="341" spans="1:19" x14ac:dyDescent="0.35">
      <c r="A341" s="3">
        <v>1340</v>
      </c>
      <c r="B341" s="3" t="s">
        <v>382</v>
      </c>
      <c r="C341" s="4">
        <v>45393</v>
      </c>
      <c r="D341" s="3" t="s">
        <v>34</v>
      </c>
      <c r="E341" s="4">
        <v>45394</v>
      </c>
      <c r="F341" s="4">
        <v>45399</v>
      </c>
      <c r="G341" s="3" t="s">
        <v>45</v>
      </c>
      <c r="H341" s="3" t="s">
        <v>38</v>
      </c>
      <c r="I341" s="3" t="s">
        <v>22</v>
      </c>
      <c r="J341" s="3" t="s">
        <v>46</v>
      </c>
      <c r="K341" s="3">
        <v>1</v>
      </c>
      <c r="L341" s="3">
        <v>5</v>
      </c>
      <c r="M341" s="3">
        <v>8760</v>
      </c>
      <c r="N341" s="3">
        <v>43800</v>
      </c>
      <c r="O341" s="3">
        <v>0</v>
      </c>
      <c r="P341" s="3" t="s">
        <v>24</v>
      </c>
      <c r="Q341" s="3">
        <v>1</v>
      </c>
      <c r="R341" s="3" t="str">
        <f t="shared" si="5"/>
        <v>Cancelled</v>
      </c>
      <c r="S341" s="3" t="s">
        <v>31</v>
      </c>
    </row>
    <row r="342" spans="1:19" x14ac:dyDescent="0.35">
      <c r="A342" s="3">
        <v>1341</v>
      </c>
      <c r="B342" s="3" t="s">
        <v>79</v>
      </c>
      <c r="C342" s="4">
        <v>45333</v>
      </c>
      <c r="D342" s="3" t="s">
        <v>148</v>
      </c>
      <c r="E342" s="4">
        <v>45380</v>
      </c>
      <c r="F342" s="4">
        <v>45385</v>
      </c>
      <c r="G342" s="3" t="s">
        <v>45</v>
      </c>
      <c r="H342" s="3" t="s">
        <v>21</v>
      </c>
      <c r="I342" s="3" t="s">
        <v>22</v>
      </c>
      <c r="J342" s="3" t="s">
        <v>46</v>
      </c>
      <c r="K342" s="3">
        <v>47</v>
      </c>
      <c r="L342" s="3">
        <v>5</v>
      </c>
      <c r="M342" s="3">
        <v>7223</v>
      </c>
      <c r="N342" s="3">
        <v>36115</v>
      </c>
      <c r="O342" s="3">
        <v>36115</v>
      </c>
      <c r="P342" s="3" t="s">
        <v>51</v>
      </c>
      <c r="Q342" s="3">
        <v>0</v>
      </c>
      <c r="R342" s="3" t="str">
        <f t="shared" si="5"/>
        <v>Not Cancelled</v>
      </c>
      <c r="S342" s="3" t="s">
        <v>31</v>
      </c>
    </row>
    <row r="343" spans="1:19" x14ac:dyDescent="0.35">
      <c r="A343" s="3">
        <v>1342</v>
      </c>
      <c r="B343" s="3" t="s">
        <v>383</v>
      </c>
      <c r="C343" s="4">
        <v>45579</v>
      </c>
      <c r="D343" s="3" t="s">
        <v>111</v>
      </c>
      <c r="E343" s="4">
        <v>45602</v>
      </c>
      <c r="F343" s="4">
        <v>45606</v>
      </c>
      <c r="G343" s="3" t="s">
        <v>42</v>
      </c>
      <c r="H343" s="3" t="s">
        <v>35</v>
      </c>
      <c r="I343" s="3" t="s">
        <v>39</v>
      </c>
      <c r="J343" s="3" t="s">
        <v>46</v>
      </c>
      <c r="K343" s="3">
        <v>23</v>
      </c>
      <c r="L343" s="3">
        <v>4</v>
      </c>
      <c r="M343" s="3">
        <v>7344</v>
      </c>
      <c r="N343" s="3">
        <v>29376</v>
      </c>
      <c r="O343" s="3">
        <v>0</v>
      </c>
      <c r="P343" s="3" t="s">
        <v>51</v>
      </c>
      <c r="Q343" s="3">
        <v>1</v>
      </c>
      <c r="R343" s="3" t="str">
        <f t="shared" si="5"/>
        <v>Cancelled</v>
      </c>
      <c r="S343" s="3" t="s">
        <v>31</v>
      </c>
    </row>
    <row r="344" spans="1:19" x14ac:dyDescent="0.35">
      <c r="A344" s="3">
        <v>1343</v>
      </c>
      <c r="B344" s="3" t="s">
        <v>384</v>
      </c>
      <c r="C344" s="4">
        <v>45458</v>
      </c>
      <c r="D344" s="3" t="s">
        <v>237</v>
      </c>
      <c r="E344" s="4">
        <v>45516</v>
      </c>
      <c r="F344" s="4">
        <v>45517</v>
      </c>
      <c r="G344" s="3" t="s">
        <v>34</v>
      </c>
      <c r="H344" s="3" t="s">
        <v>60</v>
      </c>
      <c r="I344" s="3" t="s">
        <v>39</v>
      </c>
      <c r="J344" s="3" t="s">
        <v>30</v>
      </c>
      <c r="K344" s="3">
        <v>58</v>
      </c>
      <c r="L344" s="3">
        <v>1</v>
      </c>
      <c r="M344" s="3">
        <v>6049</v>
      </c>
      <c r="N344" s="3">
        <v>6049</v>
      </c>
      <c r="O344" s="3">
        <v>6049</v>
      </c>
      <c r="P344" s="3" t="s">
        <v>51</v>
      </c>
      <c r="Q344" s="3">
        <v>0</v>
      </c>
      <c r="R344" s="3" t="str">
        <f t="shared" si="5"/>
        <v>Not Cancelled</v>
      </c>
      <c r="S344" s="3" t="s">
        <v>31</v>
      </c>
    </row>
    <row r="345" spans="1:19" x14ac:dyDescent="0.35">
      <c r="A345" s="3">
        <v>1344</v>
      </c>
      <c r="B345" s="3" t="s">
        <v>385</v>
      </c>
      <c r="C345" s="4">
        <v>45400</v>
      </c>
      <c r="D345" s="3" t="s">
        <v>153</v>
      </c>
      <c r="E345" s="4">
        <v>45439</v>
      </c>
      <c r="F345" s="4">
        <v>45440</v>
      </c>
      <c r="G345" s="3" t="s">
        <v>34</v>
      </c>
      <c r="H345" s="3" t="s">
        <v>35</v>
      </c>
      <c r="I345" s="3" t="s">
        <v>39</v>
      </c>
      <c r="J345" s="3" t="s">
        <v>30</v>
      </c>
      <c r="K345" s="3">
        <v>39</v>
      </c>
      <c r="L345" s="3">
        <v>1</v>
      </c>
      <c r="M345" s="3">
        <v>6700</v>
      </c>
      <c r="N345" s="3">
        <v>6700</v>
      </c>
      <c r="O345" s="3">
        <v>0</v>
      </c>
      <c r="P345" s="3" t="s">
        <v>24</v>
      </c>
      <c r="Q345" s="3">
        <v>1</v>
      </c>
      <c r="R345" s="3" t="str">
        <f t="shared" si="5"/>
        <v>Cancelled</v>
      </c>
      <c r="S345" s="3" t="s">
        <v>31</v>
      </c>
    </row>
    <row r="346" spans="1:19" x14ac:dyDescent="0.35">
      <c r="A346" s="3">
        <v>1345</v>
      </c>
      <c r="B346" s="3" t="s">
        <v>386</v>
      </c>
      <c r="C346" s="4">
        <v>45327</v>
      </c>
      <c r="D346" s="3" t="s">
        <v>100</v>
      </c>
      <c r="E346" s="4">
        <v>45384</v>
      </c>
      <c r="F346" s="4">
        <v>45388</v>
      </c>
      <c r="G346" s="3" t="s">
        <v>42</v>
      </c>
      <c r="H346" s="3" t="s">
        <v>38</v>
      </c>
      <c r="I346" s="3" t="s">
        <v>22</v>
      </c>
      <c r="J346" s="3" t="s">
        <v>23</v>
      </c>
      <c r="K346" s="3">
        <v>57</v>
      </c>
      <c r="L346" s="3">
        <v>4</v>
      </c>
      <c r="M346" s="3">
        <v>6641</v>
      </c>
      <c r="N346" s="3">
        <v>26564</v>
      </c>
      <c r="O346" s="3">
        <v>0</v>
      </c>
      <c r="P346" s="3" t="s">
        <v>51</v>
      </c>
      <c r="Q346" s="3">
        <v>1</v>
      </c>
      <c r="R346" s="3" t="str">
        <f t="shared" si="5"/>
        <v>Cancelled</v>
      </c>
      <c r="S346" s="3" t="s">
        <v>31</v>
      </c>
    </row>
    <row r="347" spans="1:19" x14ac:dyDescent="0.35">
      <c r="A347" s="3">
        <v>1346</v>
      </c>
      <c r="B347" s="3" t="s">
        <v>387</v>
      </c>
      <c r="C347" s="4">
        <v>45523</v>
      </c>
      <c r="D347" s="3" t="s">
        <v>71</v>
      </c>
      <c r="E347" s="4">
        <v>45540</v>
      </c>
      <c r="F347" s="4">
        <v>45542</v>
      </c>
      <c r="G347" s="3" t="s">
        <v>28</v>
      </c>
      <c r="H347" s="3" t="s">
        <v>60</v>
      </c>
      <c r="I347" s="3" t="s">
        <v>22</v>
      </c>
      <c r="J347" s="3" t="s">
        <v>46</v>
      </c>
      <c r="K347" s="3">
        <v>17</v>
      </c>
      <c r="L347" s="3">
        <v>2</v>
      </c>
      <c r="M347" s="3">
        <v>3854</v>
      </c>
      <c r="N347" s="3">
        <v>7708</v>
      </c>
      <c r="O347" s="3">
        <v>0</v>
      </c>
      <c r="P347" s="3" t="s">
        <v>24</v>
      </c>
      <c r="Q347" s="3">
        <v>1</v>
      </c>
      <c r="R347" s="3" t="str">
        <f t="shared" si="5"/>
        <v>Cancelled</v>
      </c>
      <c r="S347" s="3" t="s">
        <v>31</v>
      </c>
    </row>
    <row r="348" spans="1:19" x14ac:dyDescent="0.35">
      <c r="A348" s="3">
        <v>1347</v>
      </c>
      <c r="B348" s="3" t="s">
        <v>388</v>
      </c>
      <c r="C348" s="4">
        <v>45520</v>
      </c>
      <c r="D348" s="3" t="s">
        <v>128</v>
      </c>
      <c r="E348" s="4">
        <v>45554</v>
      </c>
      <c r="F348" s="4">
        <v>45559</v>
      </c>
      <c r="G348" s="3" t="s">
        <v>45</v>
      </c>
      <c r="H348" s="3" t="s">
        <v>21</v>
      </c>
      <c r="I348" s="3" t="s">
        <v>22</v>
      </c>
      <c r="J348" s="3" t="s">
        <v>46</v>
      </c>
      <c r="K348" s="3">
        <v>34</v>
      </c>
      <c r="L348" s="3">
        <v>5</v>
      </c>
      <c r="M348" s="3">
        <v>7835</v>
      </c>
      <c r="N348" s="3">
        <v>39175</v>
      </c>
      <c r="O348" s="3">
        <v>39175</v>
      </c>
      <c r="P348" s="3" t="s">
        <v>24</v>
      </c>
      <c r="Q348" s="3">
        <v>0</v>
      </c>
      <c r="R348" s="3" t="str">
        <f t="shared" si="5"/>
        <v>Not Cancelled</v>
      </c>
      <c r="S348" s="3" t="s">
        <v>31</v>
      </c>
    </row>
    <row r="349" spans="1:19" x14ac:dyDescent="0.35">
      <c r="A349" s="3">
        <v>1348</v>
      </c>
      <c r="B349" s="3" t="s">
        <v>389</v>
      </c>
      <c r="C349" s="4">
        <v>45644</v>
      </c>
      <c r="D349" s="3" t="s">
        <v>96</v>
      </c>
      <c r="E349" s="4">
        <v>45703</v>
      </c>
      <c r="F349" s="4">
        <v>45708</v>
      </c>
      <c r="G349" s="3" t="s">
        <v>45</v>
      </c>
      <c r="H349" s="3" t="s">
        <v>21</v>
      </c>
      <c r="I349" s="3" t="s">
        <v>39</v>
      </c>
      <c r="J349" s="3" t="s">
        <v>46</v>
      </c>
      <c r="K349" s="3">
        <v>59</v>
      </c>
      <c r="L349" s="3">
        <v>5</v>
      </c>
      <c r="M349" s="3">
        <v>7577</v>
      </c>
      <c r="N349" s="3">
        <v>37885</v>
      </c>
      <c r="O349" s="3">
        <v>0</v>
      </c>
      <c r="P349" s="3" t="s">
        <v>51</v>
      </c>
      <c r="Q349" s="3">
        <v>1</v>
      </c>
      <c r="R349" s="3" t="str">
        <f t="shared" si="5"/>
        <v>Cancelled</v>
      </c>
      <c r="S349" s="3" t="s">
        <v>25</v>
      </c>
    </row>
    <row r="350" spans="1:19" x14ac:dyDescent="0.35">
      <c r="A350" s="3">
        <v>1349</v>
      </c>
      <c r="B350" s="3" t="s">
        <v>61</v>
      </c>
      <c r="C350" s="4">
        <v>45455</v>
      </c>
      <c r="D350" s="3" t="s">
        <v>86</v>
      </c>
      <c r="E350" s="4">
        <v>45496</v>
      </c>
      <c r="F350" s="4">
        <v>45499</v>
      </c>
      <c r="G350" s="3" t="s">
        <v>20</v>
      </c>
      <c r="H350" s="3" t="s">
        <v>21</v>
      </c>
      <c r="I350" s="3" t="s">
        <v>39</v>
      </c>
      <c r="J350" s="3" t="s">
        <v>30</v>
      </c>
      <c r="K350" s="3">
        <v>41</v>
      </c>
      <c r="L350" s="3">
        <v>3</v>
      </c>
      <c r="M350" s="3">
        <v>7555</v>
      </c>
      <c r="N350" s="3">
        <v>22665</v>
      </c>
      <c r="O350" s="3">
        <v>22665</v>
      </c>
      <c r="P350" s="3" t="s">
        <v>24</v>
      </c>
      <c r="Q350" s="3">
        <v>0</v>
      </c>
      <c r="R350" s="3" t="str">
        <f t="shared" si="5"/>
        <v>Not Cancelled</v>
      </c>
      <c r="S350" s="3" t="s">
        <v>25</v>
      </c>
    </row>
    <row r="351" spans="1:19" x14ac:dyDescent="0.35">
      <c r="A351" s="3">
        <v>1350</v>
      </c>
      <c r="B351" s="3" t="s">
        <v>390</v>
      </c>
      <c r="C351" s="4">
        <v>45364</v>
      </c>
      <c r="D351" s="3" t="s">
        <v>57</v>
      </c>
      <c r="E351" s="4">
        <v>45393</v>
      </c>
      <c r="F351" s="4">
        <v>45397</v>
      </c>
      <c r="G351" s="3" t="s">
        <v>42</v>
      </c>
      <c r="H351" s="3" t="s">
        <v>29</v>
      </c>
      <c r="I351" s="3" t="s">
        <v>39</v>
      </c>
      <c r="J351" s="3" t="s">
        <v>23</v>
      </c>
      <c r="K351" s="3">
        <v>29</v>
      </c>
      <c r="L351" s="3">
        <v>4</v>
      </c>
      <c r="M351" s="3">
        <v>8111</v>
      </c>
      <c r="N351" s="3">
        <v>32444</v>
      </c>
      <c r="O351" s="3">
        <v>0</v>
      </c>
      <c r="P351" s="3" t="s">
        <v>24</v>
      </c>
      <c r="Q351" s="3">
        <v>1</v>
      </c>
      <c r="R351" s="3" t="str">
        <f t="shared" si="5"/>
        <v>Cancelled</v>
      </c>
      <c r="S351" s="3" t="s">
        <v>25</v>
      </c>
    </row>
    <row r="352" spans="1:19" x14ac:dyDescent="0.35">
      <c r="A352" s="3">
        <v>1351</v>
      </c>
      <c r="B352" s="3" t="s">
        <v>215</v>
      </c>
      <c r="C352" s="4">
        <v>45427</v>
      </c>
      <c r="D352" s="3" t="s">
        <v>165</v>
      </c>
      <c r="E352" s="4">
        <v>45436</v>
      </c>
      <c r="F352" s="4">
        <v>45439</v>
      </c>
      <c r="G352" s="3" t="s">
        <v>20</v>
      </c>
      <c r="H352" s="3" t="s">
        <v>60</v>
      </c>
      <c r="I352" s="3" t="s">
        <v>22</v>
      </c>
      <c r="J352" s="3" t="s">
        <v>30</v>
      </c>
      <c r="K352" s="3">
        <v>9</v>
      </c>
      <c r="L352" s="3">
        <v>3</v>
      </c>
      <c r="M352" s="3">
        <v>4336</v>
      </c>
      <c r="N352" s="3">
        <v>13008</v>
      </c>
      <c r="O352" s="3">
        <v>0</v>
      </c>
      <c r="P352" s="3" t="s">
        <v>51</v>
      </c>
      <c r="Q352" s="3">
        <v>1</v>
      </c>
      <c r="R352" s="3" t="str">
        <f t="shared" si="5"/>
        <v>Cancelled</v>
      </c>
      <c r="S352" s="3" t="s">
        <v>25</v>
      </c>
    </row>
    <row r="353" spans="1:19" x14ac:dyDescent="0.35">
      <c r="A353" s="3">
        <v>1352</v>
      </c>
      <c r="B353" s="3" t="s">
        <v>337</v>
      </c>
      <c r="C353" s="4">
        <v>45644</v>
      </c>
      <c r="D353" s="3" t="s">
        <v>44</v>
      </c>
      <c r="E353" s="4">
        <v>45657</v>
      </c>
      <c r="F353" s="4">
        <v>45660</v>
      </c>
      <c r="G353" s="3" t="s">
        <v>20</v>
      </c>
      <c r="H353" s="3" t="s">
        <v>60</v>
      </c>
      <c r="I353" s="3" t="s">
        <v>39</v>
      </c>
      <c r="J353" s="3" t="s">
        <v>23</v>
      </c>
      <c r="K353" s="3">
        <v>13</v>
      </c>
      <c r="L353" s="3">
        <v>3</v>
      </c>
      <c r="M353" s="3">
        <v>5392</v>
      </c>
      <c r="N353" s="3">
        <v>16176</v>
      </c>
      <c r="O353" s="3">
        <v>0</v>
      </c>
      <c r="P353" s="3" t="s">
        <v>51</v>
      </c>
      <c r="Q353" s="3">
        <v>1</v>
      </c>
      <c r="R353" s="3" t="str">
        <f t="shared" si="5"/>
        <v>Cancelled</v>
      </c>
      <c r="S353" s="3" t="s">
        <v>31</v>
      </c>
    </row>
    <row r="354" spans="1:19" x14ac:dyDescent="0.35">
      <c r="A354" s="3">
        <v>1353</v>
      </c>
      <c r="B354" s="3" t="s">
        <v>303</v>
      </c>
      <c r="C354" s="4">
        <v>45361</v>
      </c>
      <c r="D354" s="3" t="s">
        <v>55</v>
      </c>
      <c r="E354" s="4">
        <v>45367</v>
      </c>
      <c r="F354" s="4">
        <v>45368</v>
      </c>
      <c r="G354" s="3" t="s">
        <v>34</v>
      </c>
      <c r="H354" s="3" t="s">
        <v>29</v>
      </c>
      <c r="I354" s="3" t="s">
        <v>39</v>
      </c>
      <c r="J354" s="3" t="s">
        <v>23</v>
      </c>
      <c r="K354" s="3">
        <v>6</v>
      </c>
      <c r="L354" s="3">
        <v>1</v>
      </c>
      <c r="M354" s="3">
        <v>4996</v>
      </c>
      <c r="N354" s="3">
        <v>4996</v>
      </c>
      <c r="O354" s="3">
        <v>4996</v>
      </c>
      <c r="P354" s="3" t="s">
        <v>51</v>
      </c>
      <c r="Q354" s="3">
        <v>0</v>
      </c>
      <c r="R354" s="3" t="str">
        <f t="shared" si="5"/>
        <v>Not Cancelled</v>
      </c>
      <c r="S354" s="3" t="s">
        <v>25</v>
      </c>
    </row>
    <row r="355" spans="1:19" x14ac:dyDescent="0.35">
      <c r="A355" s="3">
        <v>1354</v>
      </c>
      <c r="B355" s="3" t="s">
        <v>315</v>
      </c>
      <c r="C355" s="4">
        <v>45487</v>
      </c>
      <c r="D355" s="3" t="s">
        <v>55</v>
      </c>
      <c r="E355" s="4">
        <v>45493</v>
      </c>
      <c r="F355" s="4">
        <v>45498</v>
      </c>
      <c r="G355" s="3" t="s">
        <v>45</v>
      </c>
      <c r="H355" s="3" t="s">
        <v>60</v>
      </c>
      <c r="I355" s="3" t="s">
        <v>39</v>
      </c>
      <c r="J355" s="3" t="s">
        <v>30</v>
      </c>
      <c r="K355" s="3">
        <v>6</v>
      </c>
      <c r="L355" s="3">
        <v>5</v>
      </c>
      <c r="M355" s="3">
        <v>5083</v>
      </c>
      <c r="N355" s="3">
        <v>25415</v>
      </c>
      <c r="O355" s="3">
        <v>25415</v>
      </c>
      <c r="P355" s="3" t="s">
        <v>51</v>
      </c>
      <c r="Q355" s="3">
        <v>0</v>
      </c>
      <c r="R355" s="3" t="str">
        <f t="shared" si="5"/>
        <v>Not Cancelled</v>
      </c>
      <c r="S355" s="3" t="s">
        <v>31</v>
      </c>
    </row>
    <row r="356" spans="1:19" x14ac:dyDescent="0.35">
      <c r="A356" s="3">
        <v>1355</v>
      </c>
      <c r="B356" s="3" t="s">
        <v>391</v>
      </c>
      <c r="C356" s="4">
        <v>45560</v>
      </c>
      <c r="D356" s="3" t="s">
        <v>157</v>
      </c>
      <c r="E356" s="4">
        <v>45580</v>
      </c>
      <c r="F356" s="4">
        <v>45583</v>
      </c>
      <c r="G356" s="3" t="s">
        <v>20</v>
      </c>
      <c r="H356" s="3" t="s">
        <v>29</v>
      </c>
      <c r="I356" s="3" t="s">
        <v>39</v>
      </c>
      <c r="J356" s="3" t="s">
        <v>30</v>
      </c>
      <c r="K356" s="3">
        <v>20</v>
      </c>
      <c r="L356" s="3">
        <v>3</v>
      </c>
      <c r="M356" s="3">
        <v>5058</v>
      </c>
      <c r="N356" s="3">
        <v>15174</v>
      </c>
      <c r="O356" s="3">
        <v>15174</v>
      </c>
      <c r="P356" s="3" t="s">
        <v>51</v>
      </c>
      <c r="Q356" s="3">
        <v>0</v>
      </c>
      <c r="R356" s="3" t="str">
        <f t="shared" si="5"/>
        <v>Not Cancelled</v>
      </c>
      <c r="S356" s="3" t="s">
        <v>25</v>
      </c>
    </row>
    <row r="357" spans="1:19" x14ac:dyDescent="0.35">
      <c r="A357" s="3">
        <v>1356</v>
      </c>
      <c r="B357" s="3" t="s">
        <v>392</v>
      </c>
      <c r="C357" s="4">
        <v>45340</v>
      </c>
      <c r="D357" s="3" t="s">
        <v>226</v>
      </c>
      <c r="E357" s="4">
        <v>45392</v>
      </c>
      <c r="F357" s="4">
        <v>45393</v>
      </c>
      <c r="G357" s="3" t="s">
        <v>34</v>
      </c>
      <c r="H357" s="3" t="s">
        <v>35</v>
      </c>
      <c r="I357" s="3" t="s">
        <v>22</v>
      </c>
      <c r="J357" s="3" t="s">
        <v>23</v>
      </c>
      <c r="K357" s="3">
        <v>52</v>
      </c>
      <c r="L357" s="3">
        <v>1</v>
      </c>
      <c r="M357" s="3">
        <v>8077</v>
      </c>
      <c r="N357" s="3">
        <v>8077</v>
      </c>
      <c r="O357" s="3">
        <v>0</v>
      </c>
      <c r="P357" s="3" t="s">
        <v>51</v>
      </c>
      <c r="Q357" s="3">
        <v>1</v>
      </c>
      <c r="R357" s="3" t="str">
        <f t="shared" si="5"/>
        <v>Cancelled</v>
      </c>
      <c r="S357" s="3" t="s">
        <v>31</v>
      </c>
    </row>
    <row r="358" spans="1:19" x14ac:dyDescent="0.35">
      <c r="A358" s="3">
        <v>1357</v>
      </c>
      <c r="B358" s="3" t="s">
        <v>393</v>
      </c>
      <c r="C358" s="4">
        <v>45607</v>
      </c>
      <c r="D358" s="3" t="s">
        <v>133</v>
      </c>
      <c r="E358" s="4">
        <v>45660</v>
      </c>
      <c r="F358" s="4">
        <v>45664</v>
      </c>
      <c r="G358" s="3" t="s">
        <v>42</v>
      </c>
      <c r="H358" s="3" t="s">
        <v>38</v>
      </c>
      <c r="I358" s="3" t="s">
        <v>22</v>
      </c>
      <c r="J358" s="3" t="s">
        <v>30</v>
      </c>
      <c r="K358" s="3">
        <v>53</v>
      </c>
      <c r="L358" s="3">
        <v>4</v>
      </c>
      <c r="M358" s="3">
        <v>6118</v>
      </c>
      <c r="N358" s="3">
        <v>24472</v>
      </c>
      <c r="O358" s="3">
        <v>24472</v>
      </c>
      <c r="P358" s="3" t="s">
        <v>51</v>
      </c>
      <c r="Q358" s="3">
        <v>0</v>
      </c>
      <c r="R358" s="3" t="str">
        <f t="shared" si="5"/>
        <v>Not Cancelled</v>
      </c>
      <c r="S358" s="3" t="s">
        <v>31</v>
      </c>
    </row>
    <row r="359" spans="1:19" x14ac:dyDescent="0.35">
      <c r="A359" s="3">
        <v>1358</v>
      </c>
      <c r="B359" s="3" t="s">
        <v>394</v>
      </c>
      <c r="C359" s="4">
        <v>45421</v>
      </c>
      <c r="D359" s="3" t="s">
        <v>20</v>
      </c>
      <c r="E359" s="4">
        <v>45424</v>
      </c>
      <c r="F359" s="4">
        <v>45427</v>
      </c>
      <c r="G359" s="3" t="s">
        <v>20</v>
      </c>
      <c r="H359" s="3" t="s">
        <v>21</v>
      </c>
      <c r="I359" s="3" t="s">
        <v>39</v>
      </c>
      <c r="J359" s="3" t="s">
        <v>30</v>
      </c>
      <c r="K359" s="3">
        <v>3</v>
      </c>
      <c r="L359" s="3">
        <v>3</v>
      </c>
      <c r="M359" s="3">
        <v>4059</v>
      </c>
      <c r="N359" s="3">
        <v>12177</v>
      </c>
      <c r="O359" s="3">
        <v>0</v>
      </c>
      <c r="P359" s="3" t="s">
        <v>24</v>
      </c>
      <c r="Q359" s="3">
        <v>1</v>
      </c>
      <c r="R359" s="3" t="str">
        <f t="shared" si="5"/>
        <v>Cancelled</v>
      </c>
      <c r="S359" s="3" t="s">
        <v>25</v>
      </c>
    </row>
    <row r="360" spans="1:19" x14ac:dyDescent="0.35">
      <c r="A360" s="3">
        <v>1359</v>
      </c>
      <c r="B360" s="3" t="s">
        <v>340</v>
      </c>
      <c r="C360" s="4">
        <v>45296</v>
      </c>
      <c r="D360" s="3" t="s">
        <v>71</v>
      </c>
      <c r="E360" s="4">
        <v>45313</v>
      </c>
      <c r="F360" s="4">
        <v>45318</v>
      </c>
      <c r="G360" s="3" t="s">
        <v>45</v>
      </c>
      <c r="H360" s="3" t="s">
        <v>29</v>
      </c>
      <c r="I360" s="3" t="s">
        <v>39</v>
      </c>
      <c r="J360" s="3" t="s">
        <v>23</v>
      </c>
      <c r="K360" s="3">
        <v>17</v>
      </c>
      <c r="L360" s="3">
        <v>5</v>
      </c>
      <c r="M360" s="3">
        <v>4007</v>
      </c>
      <c r="N360" s="3">
        <v>20035</v>
      </c>
      <c r="O360" s="3">
        <v>20035</v>
      </c>
      <c r="P360" s="3" t="s">
        <v>51</v>
      </c>
      <c r="Q360" s="3">
        <v>0</v>
      </c>
      <c r="R360" s="3" t="str">
        <f t="shared" si="5"/>
        <v>Not Cancelled</v>
      </c>
      <c r="S360" s="3" t="s">
        <v>25</v>
      </c>
    </row>
    <row r="361" spans="1:19" x14ac:dyDescent="0.35">
      <c r="A361" s="3">
        <v>1360</v>
      </c>
      <c r="B361" s="3" t="s">
        <v>99</v>
      </c>
      <c r="C361" s="4">
        <v>45318</v>
      </c>
      <c r="D361" s="3" t="s">
        <v>211</v>
      </c>
      <c r="E361" s="4">
        <v>45367</v>
      </c>
      <c r="F361" s="4">
        <v>45370</v>
      </c>
      <c r="G361" s="3" t="s">
        <v>20</v>
      </c>
      <c r="H361" s="3" t="s">
        <v>29</v>
      </c>
      <c r="I361" s="3" t="s">
        <v>22</v>
      </c>
      <c r="J361" s="3" t="s">
        <v>23</v>
      </c>
      <c r="K361" s="3">
        <v>49</v>
      </c>
      <c r="L361" s="3">
        <v>3</v>
      </c>
      <c r="M361" s="3">
        <v>6571</v>
      </c>
      <c r="N361" s="3">
        <v>19713</v>
      </c>
      <c r="O361" s="3">
        <v>0</v>
      </c>
      <c r="P361" s="3" t="s">
        <v>51</v>
      </c>
      <c r="Q361" s="3">
        <v>1</v>
      </c>
      <c r="R361" s="3" t="str">
        <f t="shared" si="5"/>
        <v>Cancelled</v>
      </c>
      <c r="S361" s="3" t="s">
        <v>31</v>
      </c>
    </row>
    <row r="362" spans="1:19" x14ac:dyDescent="0.35">
      <c r="A362" s="3">
        <v>1361</v>
      </c>
      <c r="B362" s="3" t="s">
        <v>395</v>
      </c>
      <c r="C362" s="4">
        <v>45451</v>
      </c>
      <c r="D362" s="3" t="s">
        <v>102</v>
      </c>
      <c r="E362" s="4">
        <v>45463</v>
      </c>
      <c r="F362" s="4">
        <v>45467</v>
      </c>
      <c r="G362" s="3" t="s">
        <v>42</v>
      </c>
      <c r="H362" s="3" t="s">
        <v>29</v>
      </c>
      <c r="I362" s="3" t="s">
        <v>22</v>
      </c>
      <c r="J362" s="3" t="s">
        <v>46</v>
      </c>
      <c r="K362" s="3">
        <v>12</v>
      </c>
      <c r="L362" s="3">
        <v>4</v>
      </c>
      <c r="M362" s="3">
        <v>4563</v>
      </c>
      <c r="N362" s="3">
        <v>18252</v>
      </c>
      <c r="O362" s="3">
        <v>18252</v>
      </c>
      <c r="P362" s="3" t="s">
        <v>51</v>
      </c>
      <c r="Q362" s="3">
        <v>0</v>
      </c>
      <c r="R362" s="3" t="str">
        <f t="shared" si="5"/>
        <v>Not Cancelled</v>
      </c>
      <c r="S362" s="3" t="s">
        <v>31</v>
      </c>
    </row>
    <row r="363" spans="1:19" x14ac:dyDescent="0.35">
      <c r="A363" s="3">
        <v>1362</v>
      </c>
      <c r="B363" s="3" t="s">
        <v>396</v>
      </c>
      <c r="C363" s="4">
        <v>45440</v>
      </c>
      <c r="D363" s="3" t="s">
        <v>73</v>
      </c>
      <c r="E363" s="4">
        <v>45488</v>
      </c>
      <c r="F363" s="4">
        <v>45491</v>
      </c>
      <c r="G363" s="3" t="s">
        <v>20</v>
      </c>
      <c r="H363" s="3" t="s">
        <v>35</v>
      </c>
      <c r="I363" s="3" t="s">
        <v>39</v>
      </c>
      <c r="J363" s="3" t="s">
        <v>30</v>
      </c>
      <c r="K363" s="3">
        <v>48</v>
      </c>
      <c r="L363" s="3">
        <v>3</v>
      </c>
      <c r="M363" s="3">
        <v>6142</v>
      </c>
      <c r="N363" s="3">
        <v>18426</v>
      </c>
      <c r="O363" s="3">
        <v>0</v>
      </c>
      <c r="P363" s="3" t="s">
        <v>51</v>
      </c>
      <c r="Q363" s="3">
        <v>1</v>
      </c>
      <c r="R363" s="3" t="str">
        <f t="shared" si="5"/>
        <v>Cancelled</v>
      </c>
      <c r="S363" s="3" t="s">
        <v>31</v>
      </c>
    </row>
    <row r="364" spans="1:19" x14ac:dyDescent="0.35">
      <c r="A364" s="3">
        <v>1363</v>
      </c>
      <c r="B364" s="3" t="s">
        <v>397</v>
      </c>
      <c r="C364" s="4">
        <v>45555</v>
      </c>
      <c r="D364" s="3" t="s">
        <v>148</v>
      </c>
      <c r="E364" s="4">
        <v>45602</v>
      </c>
      <c r="F364" s="4">
        <v>45607</v>
      </c>
      <c r="G364" s="3" t="s">
        <v>45</v>
      </c>
      <c r="H364" s="3" t="s">
        <v>29</v>
      </c>
      <c r="I364" s="3" t="s">
        <v>22</v>
      </c>
      <c r="J364" s="3" t="s">
        <v>23</v>
      </c>
      <c r="K364" s="3">
        <v>47</v>
      </c>
      <c r="L364" s="3">
        <v>5</v>
      </c>
      <c r="M364" s="3">
        <v>4500</v>
      </c>
      <c r="N364" s="3">
        <v>22500</v>
      </c>
      <c r="O364" s="3">
        <v>0</v>
      </c>
      <c r="P364" s="3" t="s">
        <v>51</v>
      </c>
      <c r="Q364" s="3">
        <v>1</v>
      </c>
      <c r="R364" s="3" t="str">
        <f t="shared" si="5"/>
        <v>Cancelled</v>
      </c>
      <c r="S364" s="3" t="s">
        <v>25</v>
      </c>
    </row>
    <row r="365" spans="1:19" x14ac:dyDescent="0.35">
      <c r="A365" s="3">
        <v>1364</v>
      </c>
      <c r="B365" s="3" t="s">
        <v>89</v>
      </c>
      <c r="C365" s="4">
        <v>45521</v>
      </c>
      <c r="D365" s="3" t="s">
        <v>64</v>
      </c>
      <c r="E365" s="4">
        <v>45566</v>
      </c>
      <c r="F365" s="4">
        <v>45567</v>
      </c>
      <c r="G365" s="3" t="s">
        <v>34</v>
      </c>
      <c r="H365" s="3" t="s">
        <v>38</v>
      </c>
      <c r="I365" s="3" t="s">
        <v>22</v>
      </c>
      <c r="J365" s="3" t="s">
        <v>30</v>
      </c>
      <c r="K365" s="3">
        <v>45</v>
      </c>
      <c r="L365" s="3">
        <v>1</v>
      </c>
      <c r="M365" s="3">
        <v>8886</v>
      </c>
      <c r="N365" s="3">
        <v>8886</v>
      </c>
      <c r="O365" s="3">
        <v>0</v>
      </c>
      <c r="P365" s="3" t="s">
        <v>51</v>
      </c>
      <c r="Q365" s="3">
        <v>1</v>
      </c>
      <c r="R365" s="3" t="str">
        <f t="shared" si="5"/>
        <v>Cancelled</v>
      </c>
      <c r="S365" s="3" t="s">
        <v>25</v>
      </c>
    </row>
    <row r="366" spans="1:19" x14ac:dyDescent="0.35">
      <c r="A366" s="3">
        <v>1365</v>
      </c>
      <c r="B366" s="3" t="s">
        <v>398</v>
      </c>
      <c r="C366" s="4">
        <v>45491</v>
      </c>
      <c r="D366" s="3" t="s">
        <v>113</v>
      </c>
      <c r="E366" s="4">
        <v>45546</v>
      </c>
      <c r="F366" s="4">
        <v>45551</v>
      </c>
      <c r="G366" s="3" t="s">
        <v>45</v>
      </c>
      <c r="H366" s="3" t="s">
        <v>38</v>
      </c>
      <c r="I366" s="3" t="s">
        <v>39</v>
      </c>
      <c r="J366" s="3" t="s">
        <v>30</v>
      </c>
      <c r="K366" s="3">
        <v>55</v>
      </c>
      <c r="L366" s="3">
        <v>5</v>
      </c>
      <c r="M366" s="3">
        <v>8569</v>
      </c>
      <c r="N366" s="3">
        <v>42845</v>
      </c>
      <c r="O366" s="3">
        <v>0</v>
      </c>
      <c r="P366" s="3" t="s">
        <v>24</v>
      </c>
      <c r="Q366" s="3">
        <v>1</v>
      </c>
      <c r="R366" s="3" t="str">
        <f t="shared" si="5"/>
        <v>Cancelled</v>
      </c>
      <c r="S366" s="3" t="s">
        <v>31</v>
      </c>
    </row>
    <row r="367" spans="1:19" x14ac:dyDescent="0.35">
      <c r="A367" s="3">
        <v>1366</v>
      </c>
      <c r="B367" s="3" t="s">
        <v>399</v>
      </c>
      <c r="C367" s="4">
        <v>45341</v>
      </c>
      <c r="D367" s="3" t="s">
        <v>34</v>
      </c>
      <c r="E367" s="4">
        <v>45342</v>
      </c>
      <c r="F367" s="4">
        <v>45343</v>
      </c>
      <c r="G367" s="3" t="s">
        <v>34</v>
      </c>
      <c r="H367" s="3" t="s">
        <v>21</v>
      </c>
      <c r="I367" s="3" t="s">
        <v>22</v>
      </c>
      <c r="J367" s="3" t="s">
        <v>23</v>
      </c>
      <c r="K367" s="3">
        <v>1</v>
      </c>
      <c r="L367" s="3">
        <v>1</v>
      </c>
      <c r="M367" s="3">
        <v>7507</v>
      </c>
      <c r="N367" s="3">
        <v>7507</v>
      </c>
      <c r="O367" s="3">
        <v>7507</v>
      </c>
      <c r="P367" s="3" t="s">
        <v>51</v>
      </c>
      <c r="Q367" s="3">
        <v>0</v>
      </c>
      <c r="R367" s="3" t="str">
        <f t="shared" si="5"/>
        <v>Not Cancelled</v>
      </c>
      <c r="S367" s="3" t="s">
        <v>25</v>
      </c>
    </row>
    <row r="368" spans="1:19" x14ac:dyDescent="0.35">
      <c r="A368" s="3">
        <v>1367</v>
      </c>
      <c r="B368" s="3" t="s">
        <v>83</v>
      </c>
      <c r="C368" s="4">
        <v>45358</v>
      </c>
      <c r="D368" s="3" t="s">
        <v>71</v>
      </c>
      <c r="E368" s="4">
        <v>45375</v>
      </c>
      <c r="F368" s="4">
        <v>45377</v>
      </c>
      <c r="G368" s="3" t="s">
        <v>28</v>
      </c>
      <c r="H368" s="3" t="s">
        <v>35</v>
      </c>
      <c r="I368" s="3" t="s">
        <v>22</v>
      </c>
      <c r="J368" s="3" t="s">
        <v>46</v>
      </c>
      <c r="K368" s="3">
        <v>17</v>
      </c>
      <c r="L368" s="3">
        <v>2</v>
      </c>
      <c r="M368" s="3">
        <v>3794</v>
      </c>
      <c r="N368" s="3">
        <v>7588</v>
      </c>
      <c r="O368" s="3">
        <v>7588</v>
      </c>
      <c r="P368" s="3" t="s">
        <v>24</v>
      </c>
      <c r="Q368" s="3">
        <v>0</v>
      </c>
      <c r="R368" s="3" t="str">
        <f t="shared" si="5"/>
        <v>Not Cancelled</v>
      </c>
      <c r="S368" s="3" t="s">
        <v>31</v>
      </c>
    </row>
    <row r="369" spans="1:19" x14ac:dyDescent="0.35">
      <c r="A369" s="3">
        <v>1368</v>
      </c>
      <c r="B369" s="3" t="s">
        <v>400</v>
      </c>
      <c r="C369" s="4">
        <v>45591</v>
      </c>
      <c r="D369" s="3" t="s">
        <v>20</v>
      </c>
      <c r="E369" s="4">
        <v>45594</v>
      </c>
      <c r="F369" s="4">
        <v>45599</v>
      </c>
      <c r="G369" s="3" t="s">
        <v>45</v>
      </c>
      <c r="H369" s="3" t="s">
        <v>38</v>
      </c>
      <c r="I369" s="3" t="s">
        <v>22</v>
      </c>
      <c r="J369" s="3" t="s">
        <v>23</v>
      </c>
      <c r="K369" s="3">
        <v>3</v>
      </c>
      <c r="L369" s="3">
        <v>5</v>
      </c>
      <c r="M369" s="3">
        <v>6565</v>
      </c>
      <c r="N369" s="3">
        <v>32825</v>
      </c>
      <c r="O369" s="3">
        <v>32825</v>
      </c>
      <c r="P369" s="3" t="s">
        <v>51</v>
      </c>
      <c r="Q369" s="3">
        <v>0</v>
      </c>
      <c r="R369" s="3" t="str">
        <f t="shared" si="5"/>
        <v>Not Cancelled</v>
      </c>
      <c r="S369" s="3" t="s">
        <v>25</v>
      </c>
    </row>
    <row r="370" spans="1:19" x14ac:dyDescent="0.35">
      <c r="A370" s="3">
        <v>1369</v>
      </c>
      <c r="B370" s="3" t="s">
        <v>401</v>
      </c>
      <c r="C370" s="4">
        <v>45349</v>
      </c>
      <c r="D370" s="3" t="s">
        <v>98</v>
      </c>
      <c r="E370" s="4">
        <v>45375</v>
      </c>
      <c r="F370" s="4">
        <v>45380</v>
      </c>
      <c r="G370" s="3" t="s">
        <v>45</v>
      </c>
      <c r="H370" s="3" t="s">
        <v>60</v>
      </c>
      <c r="I370" s="3" t="s">
        <v>22</v>
      </c>
      <c r="J370" s="3" t="s">
        <v>23</v>
      </c>
      <c r="K370" s="3">
        <v>26</v>
      </c>
      <c r="L370" s="3">
        <v>5</v>
      </c>
      <c r="M370" s="3">
        <v>8398</v>
      </c>
      <c r="N370" s="3">
        <v>41990</v>
      </c>
      <c r="O370" s="3">
        <v>41990</v>
      </c>
      <c r="P370" s="3" t="s">
        <v>24</v>
      </c>
      <c r="Q370" s="3">
        <v>0</v>
      </c>
      <c r="R370" s="3" t="str">
        <f t="shared" si="5"/>
        <v>Not Cancelled</v>
      </c>
      <c r="S370" s="3" t="s">
        <v>25</v>
      </c>
    </row>
    <row r="371" spans="1:19" x14ac:dyDescent="0.35">
      <c r="A371" s="3">
        <v>1370</v>
      </c>
      <c r="B371" s="3" t="s">
        <v>402</v>
      </c>
      <c r="C371" s="4">
        <v>45550</v>
      </c>
      <c r="D371" s="3" t="s">
        <v>277</v>
      </c>
      <c r="E371" s="4">
        <v>45565</v>
      </c>
      <c r="F371" s="4">
        <v>45569</v>
      </c>
      <c r="G371" s="3" t="s">
        <v>42</v>
      </c>
      <c r="H371" s="3" t="s">
        <v>60</v>
      </c>
      <c r="I371" s="3" t="s">
        <v>39</v>
      </c>
      <c r="J371" s="3" t="s">
        <v>30</v>
      </c>
      <c r="K371" s="3">
        <v>15</v>
      </c>
      <c r="L371" s="3">
        <v>4</v>
      </c>
      <c r="M371" s="3">
        <v>5252</v>
      </c>
      <c r="N371" s="3">
        <v>21008</v>
      </c>
      <c r="O371" s="3">
        <v>0</v>
      </c>
      <c r="P371" s="3" t="s">
        <v>24</v>
      </c>
      <c r="Q371" s="3">
        <v>1</v>
      </c>
      <c r="R371" s="3" t="str">
        <f t="shared" si="5"/>
        <v>Cancelled</v>
      </c>
      <c r="S371" s="3" t="s">
        <v>25</v>
      </c>
    </row>
    <row r="372" spans="1:19" x14ac:dyDescent="0.35">
      <c r="A372" s="3">
        <v>1371</v>
      </c>
      <c r="B372" s="3" t="s">
        <v>403</v>
      </c>
      <c r="C372" s="4">
        <v>45633</v>
      </c>
      <c r="D372" s="3" t="s">
        <v>146</v>
      </c>
      <c r="E372" s="4">
        <v>45669</v>
      </c>
      <c r="F372" s="4">
        <v>45672</v>
      </c>
      <c r="G372" s="3" t="s">
        <v>20</v>
      </c>
      <c r="H372" s="3" t="s">
        <v>60</v>
      </c>
      <c r="I372" s="3" t="s">
        <v>22</v>
      </c>
      <c r="J372" s="3" t="s">
        <v>46</v>
      </c>
      <c r="K372" s="3">
        <v>36</v>
      </c>
      <c r="L372" s="3">
        <v>3</v>
      </c>
      <c r="M372" s="3">
        <v>4253</v>
      </c>
      <c r="N372" s="3">
        <v>12759</v>
      </c>
      <c r="O372" s="3">
        <v>0</v>
      </c>
      <c r="P372" s="3" t="s">
        <v>24</v>
      </c>
      <c r="Q372" s="3">
        <v>1</v>
      </c>
      <c r="R372" s="3" t="str">
        <f t="shared" si="5"/>
        <v>Cancelled</v>
      </c>
      <c r="S372" s="3" t="s">
        <v>25</v>
      </c>
    </row>
    <row r="373" spans="1:19" x14ac:dyDescent="0.35">
      <c r="A373" s="3">
        <v>1372</v>
      </c>
      <c r="B373" s="3" t="s">
        <v>152</v>
      </c>
      <c r="C373" s="4">
        <v>45617</v>
      </c>
      <c r="D373" s="3" t="s">
        <v>144</v>
      </c>
      <c r="E373" s="4">
        <v>45649</v>
      </c>
      <c r="F373" s="4">
        <v>45650</v>
      </c>
      <c r="G373" s="3" t="s">
        <v>34</v>
      </c>
      <c r="H373" s="3" t="s">
        <v>29</v>
      </c>
      <c r="I373" s="3" t="s">
        <v>22</v>
      </c>
      <c r="J373" s="3" t="s">
        <v>23</v>
      </c>
      <c r="K373" s="3">
        <v>32</v>
      </c>
      <c r="L373" s="3">
        <v>1</v>
      </c>
      <c r="M373" s="3">
        <v>6710</v>
      </c>
      <c r="N373" s="3">
        <v>6710</v>
      </c>
      <c r="O373" s="3">
        <v>6710</v>
      </c>
      <c r="P373" s="3" t="s">
        <v>51</v>
      </c>
      <c r="Q373" s="3">
        <v>0</v>
      </c>
      <c r="R373" s="3" t="str">
        <f t="shared" si="5"/>
        <v>Not Cancelled</v>
      </c>
      <c r="S373" s="3" t="s">
        <v>25</v>
      </c>
    </row>
    <row r="374" spans="1:19" x14ac:dyDescent="0.35">
      <c r="A374" s="3">
        <v>1373</v>
      </c>
      <c r="B374" s="3" t="s">
        <v>404</v>
      </c>
      <c r="C374" s="4">
        <v>45421</v>
      </c>
      <c r="D374" s="3" t="s">
        <v>144</v>
      </c>
      <c r="E374" s="4">
        <v>45453</v>
      </c>
      <c r="F374" s="4">
        <v>45454</v>
      </c>
      <c r="G374" s="3" t="s">
        <v>34</v>
      </c>
      <c r="H374" s="3" t="s">
        <v>29</v>
      </c>
      <c r="I374" s="3" t="s">
        <v>39</v>
      </c>
      <c r="J374" s="3" t="s">
        <v>30</v>
      </c>
      <c r="K374" s="3">
        <v>32</v>
      </c>
      <c r="L374" s="3">
        <v>1</v>
      </c>
      <c r="M374" s="3">
        <v>4103</v>
      </c>
      <c r="N374" s="3">
        <v>4103</v>
      </c>
      <c r="O374" s="3">
        <v>0</v>
      </c>
      <c r="P374" s="3" t="s">
        <v>51</v>
      </c>
      <c r="Q374" s="3">
        <v>1</v>
      </c>
      <c r="R374" s="3" t="str">
        <f t="shared" si="5"/>
        <v>Cancelled</v>
      </c>
      <c r="S374" s="3" t="s">
        <v>31</v>
      </c>
    </row>
    <row r="375" spans="1:19" x14ac:dyDescent="0.35">
      <c r="A375" s="3">
        <v>1374</v>
      </c>
      <c r="B375" s="3" t="s">
        <v>401</v>
      </c>
      <c r="C375" s="4">
        <v>45506</v>
      </c>
      <c r="D375" s="3" t="s">
        <v>42</v>
      </c>
      <c r="E375" s="4">
        <v>45510</v>
      </c>
      <c r="F375" s="4">
        <v>45514</v>
      </c>
      <c r="G375" s="3" t="s">
        <v>42</v>
      </c>
      <c r="H375" s="3" t="s">
        <v>60</v>
      </c>
      <c r="I375" s="3" t="s">
        <v>22</v>
      </c>
      <c r="J375" s="3" t="s">
        <v>23</v>
      </c>
      <c r="K375" s="3">
        <v>4</v>
      </c>
      <c r="L375" s="3">
        <v>4</v>
      </c>
      <c r="M375" s="3">
        <v>3822</v>
      </c>
      <c r="N375" s="3">
        <v>15288</v>
      </c>
      <c r="O375" s="3">
        <v>15288</v>
      </c>
      <c r="P375" s="3" t="s">
        <v>51</v>
      </c>
      <c r="Q375" s="3">
        <v>0</v>
      </c>
      <c r="R375" s="3" t="str">
        <f t="shared" si="5"/>
        <v>Not Cancelled</v>
      </c>
      <c r="S375" s="3" t="s">
        <v>31</v>
      </c>
    </row>
    <row r="376" spans="1:19" x14ac:dyDescent="0.35">
      <c r="A376" s="3">
        <v>1375</v>
      </c>
      <c r="B376" s="3" t="s">
        <v>405</v>
      </c>
      <c r="C376" s="4">
        <v>45463</v>
      </c>
      <c r="D376" s="3" t="s">
        <v>27</v>
      </c>
      <c r="E376" s="4">
        <v>45481</v>
      </c>
      <c r="F376" s="4">
        <v>45485</v>
      </c>
      <c r="G376" s="3" t="s">
        <v>42</v>
      </c>
      <c r="H376" s="3" t="s">
        <v>21</v>
      </c>
      <c r="I376" s="3" t="s">
        <v>39</v>
      </c>
      <c r="J376" s="3" t="s">
        <v>30</v>
      </c>
      <c r="K376" s="3">
        <v>18</v>
      </c>
      <c r="L376" s="3">
        <v>4</v>
      </c>
      <c r="M376" s="3">
        <v>8456</v>
      </c>
      <c r="N376" s="3">
        <v>33824</v>
      </c>
      <c r="O376" s="3">
        <v>0</v>
      </c>
      <c r="P376" s="3" t="s">
        <v>51</v>
      </c>
      <c r="Q376" s="3">
        <v>1</v>
      </c>
      <c r="R376" s="3" t="str">
        <f t="shared" si="5"/>
        <v>Cancelled</v>
      </c>
      <c r="S376" s="3" t="s">
        <v>25</v>
      </c>
    </row>
    <row r="377" spans="1:19" x14ac:dyDescent="0.35">
      <c r="A377" s="3">
        <v>1376</v>
      </c>
      <c r="B377" s="3" t="s">
        <v>406</v>
      </c>
      <c r="C377" s="4">
        <v>45549</v>
      </c>
      <c r="D377" s="3" t="s">
        <v>211</v>
      </c>
      <c r="E377" s="4">
        <v>45598</v>
      </c>
      <c r="F377" s="4">
        <v>45601</v>
      </c>
      <c r="G377" s="3" t="s">
        <v>20</v>
      </c>
      <c r="H377" s="3" t="s">
        <v>21</v>
      </c>
      <c r="I377" s="3" t="s">
        <v>39</v>
      </c>
      <c r="J377" s="3" t="s">
        <v>23</v>
      </c>
      <c r="K377" s="3">
        <v>49</v>
      </c>
      <c r="L377" s="3">
        <v>3</v>
      </c>
      <c r="M377" s="3">
        <v>4941</v>
      </c>
      <c r="N377" s="3">
        <v>14823</v>
      </c>
      <c r="O377" s="3">
        <v>0</v>
      </c>
      <c r="P377" s="3" t="s">
        <v>51</v>
      </c>
      <c r="Q377" s="3">
        <v>1</v>
      </c>
      <c r="R377" s="3" t="str">
        <f t="shared" si="5"/>
        <v>Cancelled</v>
      </c>
      <c r="S377" s="3" t="s">
        <v>31</v>
      </c>
    </row>
    <row r="378" spans="1:19" x14ac:dyDescent="0.35">
      <c r="A378" s="3">
        <v>1377</v>
      </c>
      <c r="B378" s="3" t="s">
        <v>407</v>
      </c>
      <c r="C378" s="4">
        <v>45393</v>
      </c>
      <c r="D378" s="3" t="s">
        <v>109</v>
      </c>
      <c r="E378" s="4">
        <v>45412</v>
      </c>
      <c r="F378" s="4">
        <v>45415</v>
      </c>
      <c r="G378" s="3" t="s">
        <v>20</v>
      </c>
      <c r="H378" s="3" t="s">
        <v>29</v>
      </c>
      <c r="I378" s="3" t="s">
        <v>22</v>
      </c>
      <c r="J378" s="3" t="s">
        <v>46</v>
      </c>
      <c r="K378" s="3">
        <v>19</v>
      </c>
      <c r="L378" s="3">
        <v>3</v>
      </c>
      <c r="M378" s="3">
        <v>3598</v>
      </c>
      <c r="N378" s="3">
        <v>10794</v>
      </c>
      <c r="O378" s="3">
        <v>0</v>
      </c>
      <c r="P378" s="3" t="s">
        <v>51</v>
      </c>
      <c r="Q378" s="3">
        <v>1</v>
      </c>
      <c r="R378" s="3" t="str">
        <f t="shared" si="5"/>
        <v>Cancelled</v>
      </c>
      <c r="S378" s="3" t="s">
        <v>31</v>
      </c>
    </row>
    <row r="379" spans="1:19" x14ac:dyDescent="0.35">
      <c r="A379" s="3">
        <v>1378</v>
      </c>
      <c r="B379" s="3" t="s">
        <v>408</v>
      </c>
      <c r="C379" s="4">
        <v>45500</v>
      </c>
      <c r="D379" s="3" t="s">
        <v>66</v>
      </c>
      <c r="E379" s="4">
        <v>45543</v>
      </c>
      <c r="F379" s="4">
        <v>45548</v>
      </c>
      <c r="G379" s="3" t="s">
        <v>45</v>
      </c>
      <c r="H379" s="3" t="s">
        <v>60</v>
      </c>
      <c r="I379" s="3" t="s">
        <v>22</v>
      </c>
      <c r="J379" s="3" t="s">
        <v>23</v>
      </c>
      <c r="K379" s="3">
        <v>43</v>
      </c>
      <c r="L379" s="3">
        <v>5</v>
      </c>
      <c r="M379" s="3">
        <v>7573</v>
      </c>
      <c r="N379" s="3">
        <v>37865</v>
      </c>
      <c r="O379" s="3">
        <v>0</v>
      </c>
      <c r="P379" s="3" t="s">
        <v>24</v>
      </c>
      <c r="Q379" s="3">
        <v>1</v>
      </c>
      <c r="R379" s="3" t="str">
        <f t="shared" si="5"/>
        <v>Cancelled</v>
      </c>
      <c r="S379" s="3" t="s">
        <v>25</v>
      </c>
    </row>
    <row r="380" spans="1:19" x14ac:dyDescent="0.35">
      <c r="A380" s="3">
        <v>1379</v>
      </c>
      <c r="B380" s="3" t="s">
        <v>409</v>
      </c>
      <c r="C380" s="4">
        <v>45582</v>
      </c>
      <c r="D380" s="3" t="s">
        <v>226</v>
      </c>
      <c r="E380" s="4">
        <v>45634</v>
      </c>
      <c r="F380" s="4">
        <v>45636</v>
      </c>
      <c r="G380" s="3" t="s">
        <v>28</v>
      </c>
      <c r="H380" s="3" t="s">
        <v>21</v>
      </c>
      <c r="I380" s="3" t="s">
        <v>22</v>
      </c>
      <c r="J380" s="3" t="s">
        <v>30</v>
      </c>
      <c r="K380" s="3">
        <v>52</v>
      </c>
      <c r="L380" s="3">
        <v>2</v>
      </c>
      <c r="M380" s="3">
        <v>4005</v>
      </c>
      <c r="N380" s="3">
        <v>8010</v>
      </c>
      <c r="O380" s="3">
        <v>0</v>
      </c>
      <c r="P380" s="3" t="s">
        <v>24</v>
      </c>
      <c r="Q380" s="3">
        <v>1</v>
      </c>
      <c r="R380" s="3" t="str">
        <f t="shared" si="5"/>
        <v>Cancelled</v>
      </c>
      <c r="S380" s="3" t="s">
        <v>31</v>
      </c>
    </row>
    <row r="381" spans="1:19" x14ac:dyDescent="0.35">
      <c r="A381" s="3">
        <v>1380</v>
      </c>
      <c r="B381" s="3" t="s">
        <v>410</v>
      </c>
      <c r="C381" s="4">
        <v>45645</v>
      </c>
      <c r="D381" s="3" t="s">
        <v>91</v>
      </c>
      <c r="E381" s="4">
        <v>45680</v>
      </c>
      <c r="F381" s="4">
        <v>45683</v>
      </c>
      <c r="G381" s="3" t="s">
        <v>20</v>
      </c>
      <c r="H381" s="3" t="s">
        <v>29</v>
      </c>
      <c r="I381" s="3" t="s">
        <v>22</v>
      </c>
      <c r="J381" s="3" t="s">
        <v>23</v>
      </c>
      <c r="K381" s="3">
        <v>35</v>
      </c>
      <c r="L381" s="3">
        <v>3</v>
      </c>
      <c r="M381" s="3">
        <v>3626</v>
      </c>
      <c r="N381" s="3">
        <v>10878</v>
      </c>
      <c r="O381" s="3">
        <v>10878</v>
      </c>
      <c r="P381" s="3" t="s">
        <v>24</v>
      </c>
      <c r="Q381" s="3">
        <v>0</v>
      </c>
      <c r="R381" s="3" t="str">
        <f t="shared" si="5"/>
        <v>Not Cancelled</v>
      </c>
      <c r="S381" s="3" t="s">
        <v>25</v>
      </c>
    </row>
    <row r="382" spans="1:19" x14ac:dyDescent="0.35">
      <c r="A382" s="3">
        <v>1381</v>
      </c>
      <c r="B382" s="3" t="s">
        <v>411</v>
      </c>
      <c r="C382" s="4">
        <v>45577</v>
      </c>
      <c r="D382" s="3" t="s">
        <v>179</v>
      </c>
      <c r="E382" s="4">
        <v>45617</v>
      </c>
      <c r="F382" s="4">
        <v>45621</v>
      </c>
      <c r="G382" s="3" t="s">
        <v>42</v>
      </c>
      <c r="H382" s="3" t="s">
        <v>60</v>
      </c>
      <c r="I382" s="3" t="s">
        <v>22</v>
      </c>
      <c r="J382" s="3" t="s">
        <v>46</v>
      </c>
      <c r="K382" s="3">
        <v>40</v>
      </c>
      <c r="L382" s="3">
        <v>4</v>
      </c>
      <c r="M382" s="3">
        <v>2796</v>
      </c>
      <c r="N382" s="3">
        <v>11184</v>
      </c>
      <c r="O382" s="3">
        <v>11184</v>
      </c>
      <c r="P382" s="3" t="s">
        <v>51</v>
      </c>
      <c r="Q382" s="3">
        <v>0</v>
      </c>
      <c r="R382" s="3" t="str">
        <f t="shared" si="5"/>
        <v>Not Cancelled</v>
      </c>
      <c r="S382" s="3" t="s">
        <v>31</v>
      </c>
    </row>
    <row r="383" spans="1:19" x14ac:dyDescent="0.35">
      <c r="A383" s="3">
        <v>1382</v>
      </c>
      <c r="B383" s="3" t="s">
        <v>282</v>
      </c>
      <c r="C383" s="4">
        <v>45407</v>
      </c>
      <c r="D383" s="3" t="s">
        <v>33</v>
      </c>
      <c r="E383" s="4">
        <v>45421</v>
      </c>
      <c r="F383" s="4">
        <v>45424</v>
      </c>
      <c r="G383" s="3" t="s">
        <v>20</v>
      </c>
      <c r="H383" s="3" t="s">
        <v>35</v>
      </c>
      <c r="I383" s="3" t="s">
        <v>39</v>
      </c>
      <c r="J383" s="3" t="s">
        <v>46</v>
      </c>
      <c r="K383" s="3">
        <v>14</v>
      </c>
      <c r="L383" s="3">
        <v>3</v>
      </c>
      <c r="M383" s="3">
        <v>5549</v>
      </c>
      <c r="N383" s="3">
        <v>16647</v>
      </c>
      <c r="O383" s="3">
        <v>16647</v>
      </c>
      <c r="P383" s="3" t="s">
        <v>51</v>
      </c>
      <c r="Q383" s="3">
        <v>0</v>
      </c>
      <c r="R383" s="3" t="str">
        <f t="shared" si="5"/>
        <v>Not Cancelled</v>
      </c>
      <c r="S383" s="3" t="s">
        <v>31</v>
      </c>
    </row>
    <row r="384" spans="1:19" x14ac:dyDescent="0.35">
      <c r="A384" s="3">
        <v>1383</v>
      </c>
      <c r="B384" s="3" t="s">
        <v>412</v>
      </c>
      <c r="C384" s="4">
        <v>45555</v>
      </c>
      <c r="D384" s="3" t="s">
        <v>237</v>
      </c>
      <c r="E384" s="4">
        <v>45613</v>
      </c>
      <c r="F384" s="4">
        <v>45614</v>
      </c>
      <c r="G384" s="3" t="s">
        <v>34</v>
      </c>
      <c r="H384" s="3" t="s">
        <v>60</v>
      </c>
      <c r="I384" s="3" t="s">
        <v>22</v>
      </c>
      <c r="J384" s="3" t="s">
        <v>46</v>
      </c>
      <c r="K384" s="3">
        <v>58</v>
      </c>
      <c r="L384" s="3">
        <v>1</v>
      </c>
      <c r="M384" s="3">
        <v>4725</v>
      </c>
      <c r="N384" s="3">
        <v>4725</v>
      </c>
      <c r="O384" s="3">
        <v>0</v>
      </c>
      <c r="P384" s="3" t="s">
        <v>24</v>
      </c>
      <c r="Q384" s="3">
        <v>1</v>
      </c>
      <c r="R384" s="3" t="str">
        <f t="shared" si="5"/>
        <v>Cancelled</v>
      </c>
      <c r="S384" s="3" t="s">
        <v>31</v>
      </c>
    </row>
    <row r="385" spans="1:19" x14ac:dyDescent="0.35">
      <c r="A385" s="3">
        <v>1384</v>
      </c>
      <c r="B385" s="3" t="s">
        <v>413</v>
      </c>
      <c r="C385" s="4">
        <v>45441</v>
      </c>
      <c r="D385" s="3" t="s">
        <v>69</v>
      </c>
      <c r="E385" s="4">
        <v>45474</v>
      </c>
      <c r="F385" s="4">
        <v>45476</v>
      </c>
      <c r="G385" s="3" t="s">
        <v>28</v>
      </c>
      <c r="H385" s="3" t="s">
        <v>60</v>
      </c>
      <c r="I385" s="3" t="s">
        <v>39</v>
      </c>
      <c r="J385" s="3" t="s">
        <v>46</v>
      </c>
      <c r="K385" s="3">
        <v>33</v>
      </c>
      <c r="L385" s="3">
        <v>2</v>
      </c>
      <c r="M385" s="3">
        <v>8958</v>
      </c>
      <c r="N385" s="3">
        <v>17916</v>
      </c>
      <c r="O385" s="3">
        <v>17916</v>
      </c>
      <c r="P385" s="3" t="s">
        <v>51</v>
      </c>
      <c r="Q385" s="3">
        <v>0</v>
      </c>
      <c r="R385" s="3" t="str">
        <f t="shared" si="5"/>
        <v>Not Cancelled</v>
      </c>
      <c r="S385" s="3" t="s">
        <v>31</v>
      </c>
    </row>
    <row r="386" spans="1:19" x14ac:dyDescent="0.35">
      <c r="A386" s="3">
        <v>1385</v>
      </c>
      <c r="B386" s="3" t="s">
        <v>414</v>
      </c>
      <c r="C386" s="4">
        <v>45591</v>
      </c>
      <c r="D386" s="3" t="s">
        <v>33</v>
      </c>
      <c r="E386" s="4">
        <v>45605</v>
      </c>
      <c r="F386" s="4">
        <v>45610</v>
      </c>
      <c r="G386" s="3" t="s">
        <v>45</v>
      </c>
      <c r="H386" s="3" t="s">
        <v>38</v>
      </c>
      <c r="I386" s="3" t="s">
        <v>22</v>
      </c>
      <c r="J386" s="3" t="s">
        <v>30</v>
      </c>
      <c r="K386" s="3">
        <v>14</v>
      </c>
      <c r="L386" s="3">
        <v>5</v>
      </c>
      <c r="M386" s="3">
        <v>7658</v>
      </c>
      <c r="N386" s="3">
        <v>38290</v>
      </c>
      <c r="O386" s="3">
        <v>38290</v>
      </c>
      <c r="P386" s="3" t="s">
        <v>51</v>
      </c>
      <c r="Q386" s="3">
        <v>0</v>
      </c>
      <c r="R386" s="3" t="str">
        <f t="shared" si="5"/>
        <v>Not Cancelled</v>
      </c>
      <c r="S386" s="3" t="s">
        <v>31</v>
      </c>
    </row>
    <row r="387" spans="1:19" x14ac:dyDescent="0.35">
      <c r="A387" s="3">
        <v>1386</v>
      </c>
      <c r="B387" s="3" t="s">
        <v>415</v>
      </c>
      <c r="C387" s="4">
        <v>45327</v>
      </c>
      <c r="D387" s="3" t="s">
        <v>128</v>
      </c>
      <c r="E387" s="4">
        <v>45361</v>
      </c>
      <c r="F387" s="4">
        <v>45362</v>
      </c>
      <c r="G387" s="3" t="s">
        <v>34</v>
      </c>
      <c r="H387" s="3" t="s">
        <v>38</v>
      </c>
      <c r="I387" s="3" t="s">
        <v>39</v>
      </c>
      <c r="J387" s="3" t="s">
        <v>23</v>
      </c>
      <c r="K387" s="3">
        <v>34</v>
      </c>
      <c r="L387" s="3">
        <v>1</v>
      </c>
      <c r="M387" s="3">
        <v>6854</v>
      </c>
      <c r="N387" s="3">
        <v>6854</v>
      </c>
      <c r="O387" s="3">
        <v>0</v>
      </c>
      <c r="P387" s="3" t="s">
        <v>51</v>
      </c>
      <c r="Q387" s="3">
        <v>1</v>
      </c>
      <c r="R387" s="3" t="str">
        <f t="shared" ref="R387:R450" si="6">IF(Q387=0,"Not Cancelled","Cancelled")</f>
        <v>Cancelled</v>
      </c>
      <c r="S387" s="3" t="s">
        <v>31</v>
      </c>
    </row>
    <row r="388" spans="1:19" x14ac:dyDescent="0.35">
      <c r="A388" s="3">
        <v>1387</v>
      </c>
      <c r="B388" s="3" t="s">
        <v>416</v>
      </c>
      <c r="C388" s="4">
        <v>45624</v>
      </c>
      <c r="D388" s="3" t="s">
        <v>113</v>
      </c>
      <c r="E388" s="4">
        <v>45679</v>
      </c>
      <c r="F388" s="4">
        <v>45680</v>
      </c>
      <c r="G388" s="3" t="s">
        <v>34</v>
      </c>
      <c r="H388" s="3" t="s">
        <v>35</v>
      </c>
      <c r="I388" s="3" t="s">
        <v>22</v>
      </c>
      <c r="J388" s="3" t="s">
        <v>46</v>
      </c>
      <c r="K388" s="3">
        <v>55</v>
      </c>
      <c r="L388" s="3">
        <v>1</v>
      </c>
      <c r="M388" s="3">
        <v>6287</v>
      </c>
      <c r="N388" s="3">
        <v>6287</v>
      </c>
      <c r="O388" s="3">
        <v>0</v>
      </c>
      <c r="P388" s="3" t="s">
        <v>24</v>
      </c>
      <c r="Q388" s="3">
        <v>1</v>
      </c>
      <c r="R388" s="3" t="str">
        <f t="shared" si="6"/>
        <v>Cancelled</v>
      </c>
      <c r="S388" s="3" t="s">
        <v>31</v>
      </c>
    </row>
    <row r="389" spans="1:19" x14ac:dyDescent="0.35">
      <c r="A389" s="3">
        <v>1388</v>
      </c>
      <c r="B389" s="3" t="s">
        <v>417</v>
      </c>
      <c r="C389" s="4">
        <v>45578</v>
      </c>
      <c r="D389" s="3" t="s">
        <v>42</v>
      </c>
      <c r="E389" s="4">
        <v>45582</v>
      </c>
      <c r="F389" s="4">
        <v>45584</v>
      </c>
      <c r="G389" s="3" t="s">
        <v>28</v>
      </c>
      <c r="H389" s="3" t="s">
        <v>35</v>
      </c>
      <c r="I389" s="3" t="s">
        <v>22</v>
      </c>
      <c r="J389" s="3" t="s">
        <v>23</v>
      </c>
      <c r="K389" s="3">
        <v>4</v>
      </c>
      <c r="L389" s="3">
        <v>2</v>
      </c>
      <c r="M389" s="3">
        <v>8650</v>
      </c>
      <c r="N389" s="3">
        <v>17300</v>
      </c>
      <c r="O389" s="3">
        <v>17300</v>
      </c>
      <c r="P389" s="3" t="s">
        <v>24</v>
      </c>
      <c r="Q389" s="3">
        <v>0</v>
      </c>
      <c r="R389" s="3" t="str">
        <f t="shared" si="6"/>
        <v>Not Cancelled</v>
      </c>
      <c r="S389" s="3" t="s">
        <v>25</v>
      </c>
    </row>
    <row r="390" spans="1:19" x14ac:dyDescent="0.35">
      <c r="A390" s="3">
        <v>1389</v>
      </c>
      <c r="B390" s="3" t="s">
        <v>418</v>
      </c>
      <c r="C390" s="4">
        <v>45594</v>
      </c>
      <c r="D390" s="3" t="s">
        <v>159</v>
      </c>
      <c r="E390" s="4">
        <v>45618</v>
      </c>
      <c r="F390" s="4">
        <v>45623</v>
      </c>
      <c r="G390" s="3" t="s">
        <v>45</v>
      </c>
      <c r="H390" s="3" t="s">
        <v>60</v>
      </c>
      <c r="I390" s="3" t="s">
        <v>22</v>
      </c>
      <c r="J390" s="3" t="s">
        <v>30</v>
      </c>
      <c r="K390" s="3">
        <v>24</v>
      </c>
      <c r="L390" s="3">
        <v>5</v>
      </c>
      <c r="M390" s="3">
        <v>4596</v>
      </c>
      <c r="N390" s="3">
        <v>22980</v>
      </c>
      <c r="O390" s="3">
        <v>22980</v>
      </c>
      <c r="P390" s="3" t="s">
        <v>51</v>
      </c>
      <c r="Q390" s="3">
        <v>0</v>
      </c>
      <c r="R390" s="3" t="str">
        <f t="shared" si="6"/>
        <v>Not Cancelled</v>
      </c>
      <c r="S390" s="3" t="s">
        <v>25</v>
      </c>
    </row>
    <row r="391" spans="1:19" x14ac:dyDescent="0.35">
      <c r="A391" s="3">
        <v>1390</v>
      </c>
      <c r="B391" s="3" t="s">
        <v>419</v>
      </c>
      <c r="C391" s="4">
        <v>45602</v>
      </c>
      <c r="D391" s="3" t="s">
        <v>96</v>
      </c>
      <c r="E391" s="4">
        <v>45661</v>
      </c>
      <c r="F391" s="4">
        <v>45665</v>
      </c>
      <c r="G391" s="3" t="s">
        <v>42</v>
      </c>
      <c r="H391" s="3" t="s">
        <v>21</v>
      </c>
      <c r="I391" s="3" t="s">
        <v>22</v>
      </c>
      <c r="J391" s="3" t="s">
        <v>23</v>
      </c>
      <c r="K391" s="3">
        <v>59</v>
      </c>
      <c r="L391" s="3">
        <v>4</v>
      </c>
      <c r="M391" s="3">
        <v>6109</v>
      </c>
      <c r="N391" s="3">
        <v>24436</v>
      </c>
      <c r="O391" s="3">
        <v>24436</v>
      </c>
      <c r="P391" s="3" t="s">
        <v>24</v>
      </c>
      <c r="Q391" s="3">
        <v>0</v>
      </c>
      <c r="R391" s="3" t="str">
        <f t="shared" si="6"/>
        <v>Not Cancelled</v>
      </c>
      <c r="S391" s="3" t="s">
        <v>25</v>
      </c>
    </row>
    <row r="392" spans="1:19" x14ac:dyDescent="0.35">
      <c r="A392" s="3">
        <v>1391</v>
      </c>
      <c r="B392" s="3" t="s">
        <v>420</v>
      </c>
      <c r="C392" s="4">
        <v>45499</v>
      </c>
      <c r="D392" s="3" t="s">
        <v>57</v>
      </c>
      <c r="E392" s="4">
        <v>45528</v>
      </c>
      <c r="F392" s="4">
        <v>45533</v>
      </c>
      <c r="G392" s="3" t="s">
        <v>45</v>
      </c>
      <c r="H392" s="3" t="s">
        <v>35</v>
      </c>
      <c r="I392" s="3" t="s">
        <v>22</v>
      </c>
      <c r="J392" s="3" t="s">
        <v>23</v>
      </c>
      <c r="K392" s="3">
        <v>29</v>
      </c>
      <c r="L392" s="3">
        <v>5</v>
      </c>
      <c r="M392" s="3">
        <v>4708</v>
      </c>
      <c r="N392" s="3">
        <v>23540</v>
      </c>
      <c r="O392" s="3">
        <v>0</v>
      </c>
      <c r="P392" s="3" t="s">
        <v>24</v>
      </c>
      <c r="Q392" s="3">
        <v>1</v>
      </c>
      <c r="R392" s="3" t="str">
        <f t="shared" si="6"/>
        <v>Cancelled</v>
      </c>
      <c r="S392" s="3" t="s">
        <v>25</v>
      </c>
    </row>
    <row r="393" spans="1:19" x14ac:dyDescent="0.35">
      <c r="A393" s="3">
        <v>1392</v>
      </c>
      <c r="B393" s="3" t="s">
        <v>421</v>
      </c>
      <c r="C393" s="4">
        <v>45397</v>
      </c>
      <c r="D393" s="3" t="s">
        <v>109</v>
      </c>
      <c r="E393" s="4">
        <v>45416</v>
      </c>
      <c r="F393" s="4">
        <v>45419</v>
      </c>
      <c r="G393" s="3" t="s">
        <v>20</v>
      </c>
      <c r="H393" s="3" t="s">
        <v>60</v>
      </c>
      <c r="I393" s="3" t="s">
        <v>39</v>
      </c>
      <c r="J393" s="3" t="s">
        <v>46</v>
      </c>
      <c r="K393" s="3">
        <v>19</v>
      </c>
      <c r="L393" s="3">
        <v>3</v>
      </c>
      <c r="M393" s="3">
        <v>8488</v>
      </c>
      <c r="N393" s="3">
        <v>25464</v>
      </c>
      <c r="O393" s="3">
        <v>0</v>
      </c>
      <c r="P393" s="3" t="s">
        <v>51</v>
      </c>
      <c r="Q393" s="3">
        <v>1</v>
      </c>
      <c r="R393" s="3" t="str">
        <f t="shared" si="6"/>
        <v>Cancelled</v>
      </c>
      <c r="S393" s="3" t="s">
        <v>31</v>
      </c>
    </row>
    <row r="394" spans="1:19" x14ac:dyDescent="0.35">
      <c r="A394" s="3">
        <v>1393</v>
      </c>
      <c r="B394" s="3" t="s">
        <v>246</v>
      </c>
      <c r="C394" s="4">
        <v>45449</v>
      </c>
      <c r="D394" s="3" t="s">
        <v>55</v>
      </c>
      <c r="E394" s="4">
        <v>45455</v>
      </c>
      <c r="F394" s="4">
        <v>45456</v>
      </c>
      <c r="G394" s="3" t="s">
        <v>34</v>
      </c>
      <c r="H394" s="3" t="s">
        <v>29</v>
      </c>
      <c r="I394" s="3" t="s">
        <v>22</v>
      </c>
      <c r="J394" s="3" t="s">
        <v>46</v>
      </c>
      <c r="K394" s="3">
        <v>6</v>
      </c>
      <c r="L394" s="3">
        <v>1</v>
      </c>
      <c r="M394" s="3">
        <v>2675</v>
      </c>
      <c r="N394" s="3">
        <v>2675</v>
      </c>
      <c r="O394" s="3">
        <v>2675</v>
      </c>
      <c r="P394" s="3" t="s">
        <v>51</v>
      </c>
      <c r="Q394" s="3">
        <v>0</v>
      </c>
      <c r="R394" s="3" t="str">
        <f t="shared" si="6"/>
        <v>Not Cancelled</v>
      </c>
      <c r="S394" s="3" t="s">
        <v>31</v>
      </c>
    </row>
    <row r="395" spans="1:19" x14ac:dyDescent="0.35">
      <c r="A395" s="3">
        <v>1394</v>
      </c>
      <c r="B395" s="3" t="s">
        <v>422</v>
      </c>
      <c r="C395" s="4">
        <v>45412</v>
      </c>
      <c r="D395" s="3" t="s">
        <v>100</v>
      </c>
      <c r="E395" s="4">
        <v>45469</v>
      </c>
      <c r="F395" s="4">
        <v>45472</v>
      </c>
      <c r="G395" s="3" t="s">
        <v>20</v>
      </c>
      <c r="H395" s="3" t="s">
        <v>38</v>
      </c>
      <c r="I395" s="3" t="s">
        <v>22</v>
      </c>
      <c r="J395" s="3" t="s">
        <v>30</v>
      </c>
      <c r="K395" s="3">
        <v>57</v>
      </c>
      <c r="L395" s="3">
        <v>3</v>
      </c>
      <c r="M395" s="3">
        <v>7596</v>
      </c>
      <c r="N395" s="3">
        <v>22788</v>
      </c>
      <c r="O395" s="3">
        <v>0</v>
      </c>
      <c r="P395" s="3" t="s">
        <v>24</v>
      </c>
      <c r="Q395" s="3">
        <v>1</v>
      </c>
      <c r="R395" s="3" t="str">
        <f t="shared" si="6"/>
        <v>Cancelled</v>
      </c>
      <c r="S395" s="3" t="s">
        <v>31</v>
      </c>
    </row>
    <row r="396" spans="1:19" x14ac:dyDescent="0.35">
      <c r="A396" s="3">
        <v>1395</v>
      </c>
      <c r="B396" s="3" t="s">
        <v>423</v>
      </c>
      <c r="C396" s="4">
        <v>45346</v>
      </c>
      <c r="D396" s="3" t="s">
        <v>69</v>
      </c>
      <c r="E396" s="4">
        <v>45379</v>
      </c>
      <c r="F396" s="4">
        <v>45383</v>
      </c>
      <c r="G396" s="3" t="s">
        <v>42</v>
      </c>
      <c r="H396" s="3" t="s">
        <v>21</v>
      </c>
      <c r="I396" s="3" t="s">
        <v>22</v>
      </c>
      <c r="J396" s="3" t="s">
        <v>23</v>
      </c>
      <c r="K396" s="3">
        <v>33</v>
      </c>
      <c r="L396" s="3">
        <v>4</v>
      </c>
      <c r="M396" s="3">
        <v>8514</v>
      </c>
      <c r="N396" s="3">
        <v>34056</v>
      </c>
      <c r="O396" s="3">
        <v>34056</v>
      </c>
      <c r="P396" s="3" t="s">
        <v>24</v>
      </c>
      <c r="Q396" s="3">
        <v>0</v>
      </c>
      <c r="R396" s="3" t="str">
        <f t="shared" si="6"/>
        <v>Not Cancelled</v>
      </c>
      <c r="S396" s="3" t="s">
        <v>25</v>
      </c>
    </row>
    <row r="397" spans="1:19" x14ac:dyDescent="0.35">
      <c r="A397" s="3">
        <v>1396</v>
      </c>
      <c r="B397" s="3" t="s">
        <v>424</v>
      </c>
      <c r="C397" s="4">
        <v>45303</v>
      </c>
      <c r="D397" s="3" t="s">
        <v>211</v>
      </c>
      <c r="E397" s="4">
        <v>45352</v>
      </c>
      <c r="F397" s="4">
        <v>45355</v>
      </c>
      <c r="G397" s="3" t="s">
        <v>20</v>
      </c>
      <c r="H397" s="3" t="s">
        <v>60</v>
      </c>
      <c r="I397" s="3" t="s">
        <v>39</v>
      </c>
      <c r="J397" s="3" t="s">
        <v>30</v>
      </c>
      <c r="K397" s="3">
        <v>49</v>
      </c>
      <c r="L397" s="3">
        <v>3</v>
      </c>
      <c r="M397" s="3">
        <v>5002</v>
      </c>
      <c r="N397" s="3">
        <v>15006</v>
      </c>
      <c r="O397" s="3">
        <v>15006</v>
      </c>
      <c r="P397" s="3" t="s">
        <v>51</v>
      </c>
      <c r="Q397" s="3">
        <v>0</v>
      </c>
      <c r="R397" s="3" t="str">
        <f t="shared" si="6"/>
        <v>Not Cancelled</v>
      </c>
      <c r="S397" s="3" t="s">
        <v>25</v>
      </c>
    </row>
    <row r="398" spans="1:19" x14ac:dyDescent="0.35">
      <c r="A398" s="3">
        <v>1397</v>
      </c>
      <c r="B398" s="3" t="s">
        <v>425</v>
      </c>
      <c r="C398" s="4">
        <v>45436</v>
      </c>
      <c r="D398" s="3" t="s">
        <v>179</v>
      </c>
      <c r="E398" s="4">
        <v>45476</v>
      </c>
      <c r="F398" s="4">
        <v>45481</v>
      </c>
      <c r="G398" s="3" t="s">
        <v>45</v>
      </c>
      <c r="H398" s="3" t="s">
        <v>29</v>
      </c>
      <c r="I398" s="3" t="s">
        <v>22</v>
      </c>
      <c r="J398" s="3" t="s">
        <v>30</v>
      </c>
      <c r="K398" s="3">
        <v>40</v>
      </c>
      <c r="L398" s="3">
        <v>5</v>
      </c>
      <c r="M398" s="3">
        <v>6499</v>
      </c>
      <c r="N398" s="3">
        <v>32495</v>
      </c>
      <c r="O398" s="3">
        <v>0</v>
      </c>
      <c r="P398" s="3" t="s">
        <v>51</v>
      </c>
      <c r="Q398" s="3">
        <v>1</v>
      </c>
      <c r="R398" s="3" t="str">
        <f t="shared" si="6"/>
        <v>Cancelled</v>
      </c>
      <c r="S398" s="3" t="s">
        <v>25</v>
      </c>
    </row>
    <row r="399" spans="1:19" x14ac:dyDescent="0.35">
      <c r="A399" s="3">
        <v>1398</v>
      </c>
      <c r="B399" s="3" t="s">
        <v>426</v>
      </c>
      <c r="C399" s="4">
        <v>45427</v>
      </c>
      <c r="D399" s="3" t="s">
        <v>109</v>
      </c>
      <c r="E399" s="4">
        <v>45446</v>
      </c>
      <c r="F399" s="4">
        <v>45449</v>
      </c>
      <c r="G399" s="3" t="s">
        <v>20</v>
      </c>
      <c r="H399" s="3" t="s">
        <v>38</v>
      </c>
      <c r="I399" s="3" t="s">
        <v>39</v>
      </c>
      <c r="J399" s="3" t="s">
        <v>30</v>
      </c>
      <c r="K399" s="3">
        <v>19</v>
      </c>
      <c r="L399" s="3">
        <v>3</v>
      </c>
      <c r="M399" s="3">
        <v>4167</v>
      </c>
      <c r="N399" s="3">
        <v>12501</v>
      </c>
      <c r="O399" s="3">
        <v>0</v>
      </c>
      <c r="P399" s="3" t="s">
        <v>51</v>
      </c>
      <c r="Q399" s="3">
        <v>1</v>
      </c>
      <c r="R399" s="3" t="str">
        <f t="shared" si="6"/>
        <v>Cancelled</v>
      </c>
      <c r="S399" s="3" t="s">
        <v>31</v>
      </c>
    </row>
    <row r="400" spans="1:19" x14ac:dyDescent="0.35">
      <c r="A400" s="3">
        <v>1399</v>
      </c>
      <c r="B400" s="3" t="s">
        <v>427</v>
      </c>
      <c r="C400" s="4">
        <v>45294</v>
      </c>
      <c r="D400" s="3" t="s">
        <v>133</v>
      </c>
      <c r="E400" s="4">
        <v>45347</v>
      </c>
      <c r="F400" s="4">
        <v>45351</v>
      </c>
      <c r="G400" s="3" t="s">
        <v>42</v>
      </c>
      <c r="H400" s="3" t="s">
        <v>29</v>
      </c>
      <c r="I400" s="3" t="s">
        <v>22</v>
      </c>
      <c r="J400" s="3" t="s">
        <v>46</v>
      </c>
      <c r="K400" s="3">
        <v>53</v>
      </c>
      <c r="L400" s="3">
        <v>4</v>
      </c>
      <c r="M400" s="3">
        <v>6871</v>
      </c>
      <c r="N400" s="3">
        <v>27484</v>
      </c>
      <c r="O400" s="3">
        <v>27484</v>
      </c>
      <c r="P400" s="3" t="s">
        <v>24</v>
      </c>
      <c r="Q400" s="3">
        <v>0</v>
      </c>
      <c r="R400" s="3" t="str">
        <f t="shared" si="6"/>
        <v>Not Cancelled</v>
      </c>
      <c r="S400" s="3" t="s">
        <v>25</v>
      </c>
    </row>
    <row r="401" spans="1:19" x14ac:dyDescent="0.35">
      <c r="A401" s="3">
        <v>1400</v>
      </c>
      <c r="B401" s="3" t="s">
        <v>428</v>
      </c>
      <c r="C401" s="4">
        <v>45435</v>
      </c>
      <c r="D401" s="3" t="s">
        <v>34</v>
      </c>
      <c r="E401" s="4">
        <v>45436</v>
      </c>
      <c r="F401" s="4">
        <v>45440</v>
      </c>
      <c r="G401" s="3" t="s">
        <v>42</v>
      </c>
      <c r="H401" s="3" t="s">
        <v>60</v>
      </c>
      <c r="I401" s="3" t="s">
        <v>39</v>
      </c>
      <c r="J401" s="3" t="s">
        <v>46</v>
      </c>
      <c r="K401" s="3">
        <v>1</v>
      </c>
      <c r="L401" s="3">
        <v>4</v>
      </c>
      <c r="M401" s="3">
        <v>5045</v>
      </c>
      <c r="N401" s="3">
        <v>20180</v>
      </c>
      <c r="O401" s="3">
        <v>20180</v>
      </c>
      <c r="P401" s="3" t="s">
        <v>24</v>
      </c>
      <c r="Q401" s="3">
        <v>0</v>
      </c>
      <c r="R401" s="3" t="str">
        <f t="shared" si="6"/>
        <v>Not Cancelled</v>
      </c>
      <c r="S401" s="3" t="s">
        <v>31</v>
      </c>
    </row>
    <row r="402" spans="1:19" x14ac:dyDescent="0.35">
      <c r="A402" s="3">
        <v>1401</v>
      </c>
      <c r="B402" s="3" t="s">
        <v>429</v>
      </c>
      <c r="C402" s="4">
        <v>45321</v>
      </c>
      <c r="D402" s="3" t="s">
        <v>45</v>
      </c>
      <c r="E402" s="4">
        <v>45326</v>
      </c>
      <c r="F402" s="4">
        <v>45330</v>
      </c>
      <c r="G402" s="3" t="s">
        <v>42</v>
      </c>
      <c r="H402" s="3" t="s">
        <v>35</v>
      </c>
      <c r="I402" s="3" t="s">
        <v>22</v>
      </c>
      <c r="J402" s="3" t="s">
        <v>23</v>
      </c>
      <c r="K402" s="3">
        <v>5</v>
      </c>
      <c r="L402" s="3">
        <v>4</v>
      </c>
      <c r="M402" s="3">
        <v>3175</v>
      </c>
      <c r="N402" s="3">
        <v>12700</v>
      </c>
      <c r="O402" s="3">
        <v>0</v>
      </c>
      <c r="P402" s="3" t="s">
        <v>51</v>
      </c>
      <c r="Q402" s="3">
        <v>1</v>
      </c>
      <c r="R402" s="3" t="str">
        <f t="shared" si="6"/>
        <v>Cancelled</v>
      </c>
      <c r="S402" s="3" t="s">
        <v>25</v>
      </c>
    </row>
    <row r="403" spans="1:19" x14ac:dyDescent="0.35">
      <c r="A403" s="3">
        <v>1402</v>
      </c>
      <c r="B403" s="3" t="s">
        <v>430</v>
      </c>
      <c r="C403" s="4">
        <v>45528</v>
      </c>
      <c r="D403" s="3" t="s">
        <v>185</v>
      </c>
      <c r="E403" s="4">
        <v>45555</v>
      </c>
      <c r="F403" s="4">
        <v>45560</v>
      </c>
      <c r="G403" s="3" t="s">
        <v>45</v>
      </c>
      <c r="H403" s="3" t="s">
        <v>38</v>
      </c>
      <c r="I403" s="3" t="s">
        <v>22</v>
      </c>
      <c r="J403" s="3" t="s">
        <v>23</v>
      </c>
      <c r="K403" s="3">
        <v>27</v>
      </c>
      <c r="L403" s="3">
        <v>5</v>
      </c>
      <c r="M403" s="3">
        <v>4323</v>
      </c>
      <c r="N403" s="3">
        <v>21615</v>
      </c>
      <c r="O403" s="3">
        <v>21615</v>
      </c>
      <c r="P403" s="3" t="s">
        <v>51</v>
      </c>
      <c r="Q403" s="3">
        <v>0</v>
      </c>
      <c r="R403" s="3" t="str">
        <f t="shared" si="6"/>
        <v>Not Cancelled</v>
      </c>
      <c r="S403" s="3" t="s">
        <v>31</v>
      </c>
    </row>
    <row r="404" spans="1:19" x14ac:dyDescent="0.35">
      <c r="A404" s="3">
        <v>1403</v>
      </c>
      <c r="B404" s="3" t="s">
        <v>431</v>
      </c>
      <c r="C404" s="4">
        <v>45570</v>
      </c>
      <c r="D404" s="3" t="s">
        <v>88</v>
      </c>
      <c r="E404" s="4">
        <v>45586</v>
      </c>
      <c r="F404" s="4">
        <v>45590</v>
      </c>
      <c r="G404" s="3" t="s">
        <v>42</v>
      </c>
      <c r="H404" s="3" t="s">
        <v>29</v>
      </c>
      <c r="I404" s="3" t="s">
        <v>39</v>
      </c>
      <c r="J404" s="3" t="s">
        <v>23</v>
      </c>
      <c r="K404" s="3">
        <v>16</v>
      </c>
      <c r="L404" s="3">
        <v>4</v>
      </c>
      <c r="M404" s="3">
        <v>7647</v>
      </c>
      <c r="N404" s="3">
        <v>30588</v>
      </c>
      <c r="O404" s="3">
        <v>30588</v>
      </c>
      <c r="P404" s="3" t="s">
        <v>51</v>
      </c>
      <c r="Q404" s="3">
        <v>0</v>
      </c>
      <c r="R404" s="3" t="str">
        <f t="shared" si="6"/>
        <v>Not Cancelled</v>
      </c>
      <c r="S404" s="3" t="s">
        <v>25</v>
      </c>
    </row>
    <row r="405" spans="1:19" x14ac:dyDescent="0.35">
      <c r="A405" s="3">
        <v>1404</v>
      </c>
      <c r="B405" s="3" t="s">
        <v>432</v>
      </c>
      <c r="C405" s="4">
        <v>45639</v>
      </c>
      <c r="D405" s="3" t="s">
        <v>55</v>
      </c>
      <c r="E405" s="4">
        <v>45645</v>
      </c>
      <c r="F405" s="4">
        <v>45646</v>
      </c>
      <c r="G405" s="3" t="s">
        <v>34</v>
      </c>
      <c r="H405" s="3" t="s">
        <v>35</v>
      </c>
      <c r="I405" s="3" t="s">
        <v>22</v>
      </c>
      <c r="J405" s="3" t="s">
        <v>46</v>
      </c>
      <c r="K405" s="3">
        <v>6</v>
      </c>
      <c r="L405" s="3">
        <v>1</v>
      </c>
      <c r="M405" s="3">
        <v>3856</v>
      </c>
      <c r="N405" s="3">
        <v>3856</v>
      </c>
      <c r="O405" s="3">
        <v>3856</v>
      </c>
      <c r="P405" s="3" t="s">
        <v>51</v>
      </c>
      <c r="Q405" s="3">
        <v>0</v>
      </c>
      <c r="R405" s="3" t="str">
        <f t="shared" si="6"/>
        <v>Not Cancelled</v>
      </c>
      <c r="S405" s="3" t="s">
        <v>31</v>
      </c>
    </row>
    <row r="406" spans="1:19" x14ac:dyDescent="0.35">
      <c r="A406" s="3">
        <v>1405</v>
      </c>
      <c r="B406" s="3" t="s">
        <v>433</v>
      </c>
      <c r="C406" s="4">
        <v>45406</v>
      </c>
      <c r="D406" s="3" t="s">
        <v>179</v>
      </c>
      <c r="E406" s="4">
        <v>45446</v>
      </c>
      <c r="F406" s="4">
        <v>45450</v>
      </c>
      <c r="G406" s="3" t="s">
        <v>42</v>
      </c>
      <c r="H406" s="3" t="s">
        <v>21</v>
      </c>
      <c r="I406" s="3" t="s">
        <v>39</v>
      </c>
      <c r="J406" s="3" t="s">
        <v>46</v>
      </c>
      <c r="K406" s="3">
        <v>40</v>
      </c>
      <c r="L406" s="3">
        <v>4</v>
      </c>
      <c r="M406" s="3">
        <v>5572</v>
      </c>
      <c r="N406" s="3">
        <v>22288</v>
      </c>
      <c r="O406" s="3">
        <v>0</v>
      </c>
      <c r="P406" s="3" t="s">
        <v>24</v>
      </c>
      <c r="Q406" s="3">
        <v>1</v>
      </c>
      <c r="R406" s="3" t="str">
        <f t="shared" si="6"/>
        <v>Cancelled</v>
      </c>
      <c r="S406" s="3" t="s">
        <v>25</v>
      </c>
    </row>
    <row r="407" spans="1:19" x14ac:dyDescent="0.35">
      <c r="A407" s="3">
        <v>1406</v>
      </c>
      <c r="B407" s="3" t="s">
        <v>434</v>
      </c>
      <c r="C407" s="4">
        <v>45395</v>
      </c>
      <c r="D407" s="3" t="s">
        <v>44</v>
      </c>
      <c r="E407" s="4">
        <v>45408</v>
      </c>
      <c r="F407" s="4">
        <v>45411</v>
      </c>
      <c r="G407" s="3" t="s">
        <v>20</v>
      </c>
      <c r="H407" s="3" t="s">
        <v>60</v>
      </c>
      <c r="I407" s="3" t="s">
        <v>22</v>
      </c>
      <c r="J407" s="3" t="s">
        <v>30</v>
      </c>
      <c r="K407" s="3">
        <v>13</v>
      </c>
      <c r="L407" s="3">
        <v>3</v>
      </c>
      <c r="M407" s="3">
        <v>5759</v>
      </c>
      <c r="N407" s="3">
        <v>17277</v>
      </c>
      <c r="O407" s="3">
        <v>0</v>
      </c>
      <c r="P407" s="3" t="s">
        <v>51</v>
      </c>
      <c r="Q407" s="3">
        <v>1</v>
      </c>
      <c r="R407" s="3" t="str">
        <f t="shared" si="6"/>
        <v>Cancelled</v>
      </c>
      <c r="S407" s="3" t="s">
        <v>25</v>
      </c>
    </row>
    <row r="408" spans="1:19" x14ac:dyDescent="0.35">
      <c r="A408" s="3">
        <v>1407</v>
      </c>
      <c r="B408" s="3" t="s">
        <v>435</v>
      </c>
      <c r="C408" s="4">
        <v>45409</v>
      </c>
      <c r="D408" s="3" t="s">
        <v>73</v>
      </c>
      <c r="E408" s="4">
        <v>45457</v>
      </c>
      <c r="F408" s="4">
        <v>45460</v>
      </c>
      <c r="G408" s="3" t="s">
        <v>20</v>
      </c>
      <c r="H408" s="3" t="s">
        <v>60</v>
      </c>
      <c r="I408" s="3" t="s">
        <v>22</v>
      </c>
      <c r="J408" s="3" t="s">
        <v>46</v>
      </c>
      <c r="K408" s="3">
        <v>48</v>
      </c>
      <c r="L408" s="3">
        <v>3</v>
      </c>
      <c r="M408" s="3">
        <v>8699</v>
      </c>
      <c r="N408" s="3">
        <v>26097</v>
      </c>
      <c r="O408" s="3">
        <v>26097</v>
      </c>
      <c r="P408" s="3" t="s">
        <v>51</v>
      </c>
      <c r="Q408" s="3">
        <v>0</v>
      </c>
      <c r="R408" s="3" t="str">
        <f t="shared" si="6"/>
        <v>Not Cancelled</v>
      </c>
      <c r="S408" s="3" t="s">
        <v>31</v>
      </c>
    </row>
    <row r="409" spans="1:19" x14ac:dyDescent="0.35">
      <c r="A409" s="3">
        <v>1408</v>
      </c>
      <c r="B409" s="3" t="s">
        <v>436</v>
      </c>
      <c r="C409" s="4">
        <v>45296</v>
      </c>
      <c r="D409" s="3" t="s">
        <v>91</v>
      </c>
      <c r="E409" s="4">
        <v>45331</v>
      </c>
      <c r="F409" s="4">
        <v>45334</v>
      </c>
      <c r="G409" s="3" t="s">
        <v>20</v>
      </c>
      <c r="H409" s="3" t="s">
        <v>38</v>
      </c>
      <c r="I409" s="3" t="s">
        <v>39</v>
      </c>
      <c r="J409" s="3" t="s">
        <v>30</v>
      </c>
      <c r="K409" s="3">
        <v>35</v>
      </c>
      <c r="L409" s="3">
        <v>3</v>
      </c>
      <c r="M409" s="3">
        <v>3046</v>
      </c>
      <c r="N409" s="3">
        <v>9138</v>
      </c>
      <c r="O409" s="3">
        <v>9138</v>
      </c>
      <c r="P409" s="3" t="s">
        <v>24</v>
      </c>
      <c r="Q409" s="3">
        <v>0</v>
      </c>
      <c r="R409" s="3" t="str">
        <f t="shared" si="6"/>
        <v>Not Cancelled</v>
      </c>
      <c r="S409" s="3" t="s">
        <v>31</v>
      </c>
    </row>
    <row r="410" spans="1:19" x14ac:dyDescent="0.35">
      <c r="A410" s="3">
        <v>1409</v>
      </c>
      <c r="B410" s="3" t="s">
        <v>437</v>
      </c>
      <c r="C410" s="4">
        <v>45651</v>
      </c>
      <c r="D410" s="3" t="s">
        <v>109</v>
      </c>
      <c r="E410" s="4">
        <v>45670</v>
      </c>
      <c r="F410" s="4">
        <v>45675</v>
      </c>
      <c r="G410" s="3" t="s">
        <v>45</v>
      </c>
      <c r="H410" s="3" t="s">
        <v>29</v>
      </c>
      <c r="I410" s="3" t="s">
        <v>22</v>
      </c>
      <c r="J410" s="3" t="s">
        <v>30</v>
      </c>
      <c r="K410" s="3">
        <v>19</v>
      </c>
      <c r="L410" s="3">
        <v>5</v>
      </c>
      <c r="M410" s="3">
        <v>7731</v>
      </c>
      <c r="N410" s="3">
        <v>38655</v>
      </c>
      <c r="O410" s="3">
        <v>0</v>
      </c>
      <c r="P410" s="3" t="s">
        <v>51</v>
      </c>
      <c r="Q410" s="3">
        <v>1</v>
      </c>
      <c r="R410" s="3" t="str">
        <f t="shared" si="6"/>
        <v>Cancelled</v>
      </c>
      <c r="S410" s="3" t="s">
        <v>25</v>
      </c>
    </row>
    <row r="411" spans="1:19" x14ac:dyDescent="0.35">
      <c r="A411" s="3">
        <v>1410</v>
      </c>
      <c r="B411" s="3" t="s">
        <v>408</v>
      </c>
      <c r="C411" s="4">
        <v>45539</v>
      </c>
      <c r="D411" s="3" t="s">
        <v>102</v>
      </c>
      <c r="E411" s="4">
        <v>45551</v>
      </c>
      <c r="F411" s="4">
        <v>45554</v>
      </c>
      <c r="G411" s="3" t="s">
        <v>20</v>
      </c>
      <c r="H411" s="3" t="s">
        <v>21</v>
      </c>
      <c r="I411" s="3" t="s">
        <v>39</v>
      </c>
      <c r="J411" s="3" t="s">
        <v>46</v>
      </c>
      <c r="K411" s="3">
        <v>12</v>
      </c>
      <c r="L411" s="3">
        <v>3</v>
      </c>
      <c r="M411" s="3">
        <v>4583</v>
      </c>
      <c r="N411" s="3">
        <v>13749</v>
      </c>
      <c r="O411" s="3">
        <v>0</v>
      </c>
      <c r="P411" s="3" t="s">
        <v>24</v>
      </c>
      <c r="Q411" s="3">
        <v>1</v>
      </c>
      <c r="R411" s="3" t="str">
        <f t="shared" si="6"/>
        <v>Cancelled</v>
      </c>
      <c r="S411" s="3" t="s">
        <v>31</v>
      </c>
    </row>
    <row r="412" spans="1:19" x14ac:dyDescent="0.35">
      <c r="A412" s="3">
        <v>1411</v>
      </c>
      <c r="B412" s="3" t="s">
        <v>438</v>
      </c>
      <c r="C412" s="4">
        <v>45655</v>
      </c>
      <c r="D412" s="3" t="s">
        <v>88</v>
      </c>
      <c r="E412" s="4">
        <v>45671</v>
      </c>
      <c r="F412" s="4">
        <v>45676</v>
      </c>
      <c r="G412" s="3" t="s">
        <v>45</v>
      </c>
      <c r="H412" s="3" t="s">
        <v>38</v>
      </c>
      <c r="I412" s="3" t="s">
        <v>39</v>
      </c>
      <c r="J412" s="3" t="s">
        <v>30</v>
      </c>
      <c r="K412" s="3">
        <v>16</v>
      </c>
      <c r="L412" s="3">
        <v>5</v>
      </c>
      <c r="M412" s="3">
        <v>4540</v>
      </c>
      <c r="N412" s="3">
        <v>22700</v>
      </c>
      <c r="O412" s="3">
        <v>22700</v>
      </c>
      <c r="P412" s="3" t="s">
        <v>24</v>
      </c>
      <c r="Q412" s="3">
        <v>0</v>
      </c>
      <c r="R412" s="3" t="str">
        <f t="shared" si="6"/>
        <v>Not Cancelled</v>
      </c>
      <c r="S412" s="3" t="s">
        <v>25</v>
      </c>
    </row>
    <row r="413" spans="1:19" x14ac:dyDescent="0.35">
      <c r="A413" s="3">
        <v>1412</v>
      </c>
      <c r="B413" s="3" t="s">
        <v>439</v>
      </c>
      <c r="C413" s="4">
        <v>45612</v>
      </c>
      <c r="D413" s="3" t="s">
        <v>96</v>
      </c>
      <c r="E413" s="4">
        <v>45671</v>
      </c>
      <c r="F413" s="4">
        <v>45676</v>
      </c>
      <c r="G413" s="3" t="s">
        <v>45</v>
      </c>
      <c r="H413" s="3" t="s">
        <v>38</v>
      </c>
      <c r="I413" s="3" t="s">
        <v>22</v>
      </c>
      <c r="J413" s="3" t="s">
        <v>30</v>
      </c>
      <c r="K413" s="3">
        <v>59</v>
      </c>
      <c r="L413" s="3">
        <v>5</v>
      </c>
      <c r="M413" s="3">
        <v>7034</v>
      </c>
      <c r="N413" s="3">
        <v>35170</v>
      </c>
      <c r="O413" s="3">
        <v>0</v>
      </c>
      <c r="P413" s="3" t="s">
        <v>24</v>
      </c>
      <c r="Q413" s="3">
        <v>1</v>
      </c>
      <c r="R413" s="3" t="str">
        <f t="shared" si="6"/>
        <v>Cancelled</v>
      </c>
      <c r="S413" s="3" t="s">
        <v>31</v>
      </c>
    </row>
    <row r="414" spans="1:19" x14ac:dyDescent="0.35">
      <c r="A414" s="3">
        <v>1413</v>
      </c>
      <c r="B414" s="3" t="s">
        <v>440</v>
      </c>
      <c r="C414" s="4">
        <v>45412</v>
      </c>
      <c r="D414" s="3" t="s">
        <v>66</v>
      </c>
      <c r="E414" s="4">
        <v>45455</v>
      </c>
      <c r="F414" s="4">
        <v>45459</v>
      </c>
      <c r="G414" s="3" t="s">
        <v>42</v>
      </c>
      <c r="H414" s="3" t="s">
        <v>29</v>
      </c>
      <c r="I414" s="3" t="s">
        <v>22</v>
      </c>
      <c r="J414" s="3" t="s">
        <v>23</v>
      </c>
      <c r="K414" s="3">
        <v>43</v>
      </c>
      <c r="L414" s="3">
        <v>4</v>
      </c>
      <c r="M414" s="3">
        <v>4252</v>
      </c>
      <c r="N414" s="3">
        <v>17008</v>
      </c>
      <c r="O414" s="3">
        <v>0</v>
      </c>
      <c r="P414" s="3" t="s">
        <v>51</v>
      </c>
      <c r="Q414" s="3">
        <v>1</v>
      </c>
      <c r="R414" s="3" t="str">
        <f t="shared" si="6"/>
        <v>Cancelled</v>
      </c>
      <c r="S414" s="3" t="s">
        <v>25</v>
      </c>
    </row>
    <row r="415" spans="1:19" x14ac:dyDescent="0.35">
      <c r="A415" s="3">
        <v>1414</v>
      </c>
      <c r="B415" s="3" t="s">
        <v>441</v>
      </c>
      <c r="C415" s="4">
        <v>45577</v>
      </c>
      <c r="D415" s="3" t="s">
        <v>37</v>
      </c>
      <c r="E415" s="4">
        <v>45587</v>
      </c>
      <c r="F415" s="4">
        <v>45588</v>
      </c>
      <c r="G415" s="3" t="s">
        <v>34</v>
      </c>
      <c r="H415" s="3" t="s">
        <v>21</v>
      </c>
      <c r="I415" s="3" t="s">
        <v>22</v>
      </c>
      <c r="J415" s="3" t="s">
        <v>30</v>
      </c>
      <c r="K415" s="3">
        <v>10</v>
      </c>
      <c r="L415" s="3">
        <v>1</v>
      </c>
      <c r="M415" s="3">
        <v>4115</v>
      </c>
      <c r="N415" s="3">
        <v>4115</v>
      </c>
      <c r="O415" s="3">
        <v>4115</v>
      </c>
      <c r="P415" s="3" t="s">
        <v>24</v>
      </c>
      <c r="Q415" s="3">
        <v>0</v>
      </c>
      <c r="R415" s="3" t="str">
        <f t="shared" si="6"/>
        <v>Not Cancelled</v>
      </c>
      <c r="S415" s="3" t="s">
        <v>31</v>
      </c>
    </row>
    <row r="416" spans="1:19" x14ac:dyDescent="0.35">
      <c r="A416" s="3">
        <v>1415</v>
      </c>
      <c r="B416" s="3" t="s">
        <v>442</v>
      </c>
      <c r="C416" s="4">
        <v>45440</v>
      </c>
      <c r="D416" s="3" t="s">
        <v>107</v>
      </c>
      <c r="E416" s="4">
        <v>45465</v>
      </c>
      <c r="F416" s="4">
        <v>45469</v>
      </c>
      <c r="G416" s="3" t="s">
        <v>42</v>
      </c>
      <c r="H416" s="3" t="s">
        <v>29</v>
      </c>
      <c r="I416" s="3" t="s">
        <v>39</v>
      </c>
      <c r="J416" s="3" t="s">
        <v>46</v>
      </c>
      <c r="K416" s="3">
        <v>25</v>
      </c>
      <c r="L416" s="3">
        <v>4</v>
      </c>
      <c r="M416" s="3">
        <v>4349</v>
      </c>
      <c r="N416" s="3">
        <v>17396</v>
      </c>
      <c r="O416" s="3">
        <v>0</v>
      </c>
      <c r="P416" s="3" t="s">
        <v>51</v>
      </c>
      <c r="Q416" s="3">
        <v>1</v>
      </c>
      <c r="R416" s="3" t="str">
        <f t="shared" si="6"/>
        <v>Cancelled</v>
      </c>
      <c r="S416" s="3" t="s">
        <v>25</v>
      </c>
    </row>
    <row r="417" spans="1:19" x14ac:dyDescent="0.35">
      <c r="A417" s="3">
        <v>1416</v>
      </c>
      <c r="B417" s="3" t="s">
        <v>443</v>
      </c>
      <c r="C417" s="4">
        <v>45375</v>
      </c>
      <c r="D417" s="3" t="s">
        <v>157</v>
      </c>
      <c r="E417" s="4">
        <v>45395</v>
      </c>
      <c r="F417" s="4">
        <v>45399</v>
      </c>
      <c r="G417" s="3" t="s">
        <v>42</v>
      </c>
      <c r="H417" s="3" t="s">
        <v>60</v>
      </c>
      <c r="I417" s="3" t="s">
        <v>39</v>
      </c>
      <c r="J417" s="3" t="s">
        <v>46</v>
      </c>
      <c r="K417" s="3">
        <v>20</v>
      </c>
      <c r="L417" s="3">
        <v>4</v>
      </c>
      <c r="M417" s="3">
        <v>5142</v>
      </c>
      <c r="N417" s="3">
        <v>20568</v>
      </c>
      <c r="O417" s="3">
        <v>20568</v>
      </c>
      <c r="P417" s="3" t="s">
        <v>24</v>
      </c>
      <c r="Q417" s="3">
        <v>0</v>
      </c>
      <c r="R417" s="3" t="str">
        <f t="shared" si="6"/>
        <v>Not Cancelled</v>
      </c>
      <c r="S417" s="3" t="s">
        <v>25</v>
      </c>
    </row>
    <row r="418" spans="1:19" x14ac:dyDescent="0.35">
      <c r="A418" s="3">
        <v>1417</v>
      </c>
      <c r="B418" s="3" t="s">
        <v>404</v>
      </c>
      <c r="C418" s="4">
        <v>45522</v>
      </c>
      <c r="D418" s="3" t="s">
        <v>48</v>
      </c>
      <c r="E418" s="4">
        <v>45553</v>
      </c>
      <c r="F418" s="4">
        <v>45558</v>
      </c>
      <c r="G418" s="3" t="s">
        <v>45</v>
      </c>
      <c r="H418" s="3" t="s">
        <v>35</v>
      </c>
      <c r="I418" s="3" t="s">
        <v>22</v>
      </c>
      <c r="J418" s="3" t="s">
        <v>30</v>
      </c>
      <c r="K418" s="3">
        <v>31</v>
      </c>
      <c r="L418" s="3">
        <v>5</v>
      </c>
      <c r="M418" s="3">
        <v>4100</v>
      </c>
      <c r="N418" s="3">
        <v>20500</v>
      </c>
      <c r="O418" s="3">
        <v>0</v>
      </c>
      <c r="P418" s="3" t="s">
        <v>24</v>
      </c>
      <c r="Q418" s="3">
        <v>1</v>
      </c>
      <c r="R418" s="3" t="str">
        <f t="shared" si="6"/>
        <v>Cancelled</v>
      </c>
      <c r="S418" s="3" t="s">
        <v>25</v>
      </c>
    </row>
    <row r="419" spans="1:19" x14ac:dyDescent="0.35">
      <c r="A419" s="3">
        <v>1418</v>
      </c>
      <c r="B419" s="3" t="s">
        <v>444</v>
      </c>
      <c r="C419" s="4">
        <v>45579</v>
      </c>
      <c r="D419" s="3" t="s">
        <v>42</v>
      </c>
      <c r="E419" s="4">
        <v>45583</v>
      </c>
      <c r="F419" s="4">
        <v>45588</v>
      </c>
      <c r="G419" s="3" t="s">
        <v>45</v>
      </c>
      <c r="H419" s="3" t="s">
        <v>60</v>
      </c>
      <c r="I419" s="3" t="s">
        <v>39</v>
      </c>
      <c r="J419" s="3" t="s">
        <v>23</v>
      </c>
      <c r="K419" s="3">
        <v>4</v>
      </c>
      <c r="L419" s="3">
        <v>5</v>
      </c>
      <c r="M419" s="3">
        <v>5896</v>
      </c>
      <c r="N419" s="3">
        <v>29480</v>
      </c>
      <c r="O419" s="3">
        <v>29480</v>
      </c>
      <c r="P419" s="3" t="s">
        <v>24</v>
      </c>
      <c r="Q419" s="3">
        <v>0</v>
      </c>
      <c r="R419" s="3" t="str">
        <f t="shared" si="6"/>
        <v>Not Cancelled</v>
      </c>
      <c r="S419" s="3" t="s">
        <v>31</v>
      </c>
    </row>
    <row r="420" spans="1:19" x14ac:dyDescent="0.35">
      <c r="A420" s="3">
        <v>1419</v>
      </c>
      <c r="B420" s="3" t="s">
        <v>445</v>
      </c>
      <c r="C420" s="4">
        <v>45452</v>
      </c>
      <c r="D420" s="3" t="s">
        <v>62</v>
      </c>
      <c r="E420" s="4">
        <v>45496</v>
      </c>
      <c r="F420" s="4">
        <v>45499</v>
      </c>
      <c r="G420" s="3" t="s">
        <v>20</v>
      </c>
      <c r="H420" s="3" t="s">
        <v>60</v>
      </c>
      <c r="I420" s="3" t="s">
        <v>39</v>
      </c>
      <c r="J420" s="3" t="s">
        <v>46</v>
      </c>
      <c r="K420" s="3">
        <v>44</v>
      </c>
      <c r="L420" s="3">
        <v>3</v>
      </c>
      <c r="M420" s="3">
        <v>8259</v>
      </c>
      <c r="N420" s="3">
        <v>24777</v>
      </c>
      <c r="O420" s="3">
        <v>0</v>
      </c>
      <c r="P420" s="3" t="s">
        <v>51</v>
      </c>
      <c r="Q420" s="3">
        <v>1</v>
      </c>
      <c r="R420" s="3" t="str">
        <f t="shared" si="6"/>
        <v>Cancelled</v>
      </c>
      <c r="S420" s="3" t="s">
        <v>25</v>
      </c>
    </row>
    <row r="421" spans="1:19" x14ac:dyDescent="0.35">
      <c r="A421" s="3">
        <v>1420</v>
      </c>
      <c r="B421" s="3" t="s">
        <v>251</v>
      </c>
      <c r="C421" s="4">
        <v>45563</v>
      </c>
      <c r="D421" s="3" t="s">
        <v>111</v>
      </c>
      <c r="E421" s="4">
        <v>45586</v>
      </c>
      <c r="F421" s="4">
        <v>45589</v>
      </c>
      <c r="G421" s="3" t="s">
        <v>20</v>
      </c>
      <c r="H421" s="3" t="s">
        <v>38</v>
      </c>
      <c r="I421" s="3" t="s">
        <v>39</v>
      </c>
      <c r="J421" s="3" t="s">
        <v>46</v>
      </c>
      <c r="K421" s="3">
        <v>23</v>
      </c>
      <c r="L421" s="3">
        <v>3</v>
      </c>
      <c r="M421" s="3">
        <v>6902</v>
      </c>
      <c r="N421" s="3">
        <v>20706</v>
      </c>
      <c r="O421" s="3">
        <v>0</v>
      </c>
      <c r="P421" s="3" t="s">
        <v>51</v>
      </c>
      <c r="Q421" s="3">
        <v>1</v>
      </c>
      <c r="R421" s="3" t="str">
        <f t="shared" si="6"/>
        <v>Cancelled</v>
      </c>
      <c r="S421" s="3" t="s">
        <v>31</v>
      </c>
    </row>
    <row r="422" spans="1:19" x14ac:dyDescent="0.35">
      <c r="A422" s="3">
        <v>1421</v>
      </c>
      <c r="B422" s="3" t="s">
        <v>446</v>
      </c>
      <c r="C422" s="4">
        <v>45329</v>
      </c>
      <c r="D422" s="3" t="s">
        <v>28</v>
      </c>
      <c r="E422" s="4">
        <v>45331</v>
      </c>
      <c r="F422" s="4">
        <v>45335</v>
      </c>
      <c r="G422" s="3" t="s">
        <v>42</v>
      </c>
      <c r="H422" s="3" t="s">
        <v>60</v>
      </c>
      <c r="I422" s="3" t="s">
        <v>39</v>
      </c>
      <c r="J422" s="3" t="s">
        <v>23</v>
      </c>
      <c r="K422" s="3">
        <v>2</v>
      </c>
      <c r="L422" s="3">
        <v>4</v>
      </c>
      <c r="M422" s="3">
        <v>6105</v>
      </c>
      <c r="N422" s="3">
        <v>24420</v>
      </c>
      <c r="O422" s="3">
        <v>0</v>
      </c>
      <c r="P422" s="3" t="s">
        <v>24</v>
      </c>
      <c r="Q422" s="3">
        <v>1</v>
      </c>
      <c r="R422" s="3" t="str">
        <f t="shared" si="6"/>
        <v>Cancelled</v>
      </c>
      <c r="S422" s="3" t="s">
        <v>31</v>
      </c>
    </row>
    <row r="423" spans="1:19" x14ac:dyDescent="0.35">
      <c r="A423" s="3">
        <v>1422</v>
      </c>
      <c r="B423" s="3" t="s">
        <v>447</v>
      </c>
      <c r="C423" s="4">
        <v>45517</v>
      </c>
      <c r="D423" s="3" t="s">
        <v>94</v>
      </c>
      <c r="E423" s="4">
        <v>45573</v>
      </c>
      <c r="F423" s="4">
        <v>45575</v>
      </c>
      <c r="G423" s="3" t="s">
        <v>28</v>
      </c>
      <c r="H423" s="3" t="s">
        <v>21</v>
      </c>
      <c r="I423" s="3" t="s">
        <v>22</v>
      </c>
      <c r="J423" s="3" t="s">
        <v>30</v>
      </c>
      <c r="K423" s="3">
        <v>56</v>
      </c>
      <c r="L423" s="3">
        <v>2</v>
      </c>
      <c r="M423" s="3">
        <v>6299</v>
      </c>
      <c r="N423" s="3">
        <v>12598</v>
      </c>
      <c r="O423" s="3">
        <v>12598</v>
      </c>
      <c r="P423" s="3" t="s">
        <v>51</v>
      </c>
      <c r="Q423" s="3">
        <v>0</v>
      </c>
      <c r="R423" s="3" t="str">
        <f t="shared" si="6"/>
        <v>Not Cancelled</v>
      </c>
      <c r="S423" s="3" t="s">
        <v>31</v>
      </c>
    </row>
    <row r="424" spans="1:19" x14ac:dyDescent="0.35">
      <c r="A424" s="3">
        <v>1423</v>
      </c>
      <c r="B424" s="3" t="s">
        <v>448</v>
      </c>
      <c r="C424" s="4">
        <v>45433</v>
      </c>
      <c r="D424" s="3" t="s">
        <v>19</v>
      </c>
      <c r="E424" s="4">
        <v>45455</v>
      </c>
      <c r="F424" s="4">
        <v>45457</v>
      </c>
      <c r="G424" s="3" t="s">
        <v>28</v>
      </c>
      <c r="H424" s="3" t="s">
        <v>60</v>
      </c>
      <c r="I424" s="3" t="s">
        <v>22</v>
      </c>
      <c r="J424" s="3" t="s">
        <v>46</v>
      </c>
      <c r="K424" s="3">
        <v>22</v>
      </c>
      <c r="L424" s="3">
        <v>2</v>
      </c>
      <c r="M424" s="3">
        <v>3118</v>
      </c>
      <c r="N424" s="3">
        <v>6236</v>
      </c>
      <c r="O424" s="3">
        <v>6236</v>
      </c>
      <c r="P424" s="3" t="s">
        <v>24</v>
      </c>
      <c r="Q424" s="3">
        <v>0</v>
      </c>
      <c r="R424" s="3" t="str">
        <f t="shared" si="6"/>
        <v>Not Cancelled</v>
      </c>
      <c r="S424" s="3" t="s">
        <v>25</v>
      </c>
    </row>
    <row r="425" spans="1:19" x14ac:dyDescent="0.35">
      <c r="A425" s="3">
        <v>1424</v>
      </c>
      <c r="B425" s="3" t="s">
        <v>449</v>
      </c>
      <c r="C425" s="4">
        <v>45583</v>
      </c>
      <c r="D425" s="3" t="s">
        <v>124</v>
      </c>
      <c r="E425" s="4">
        <v>45634</v>
      </c>
      <c r="F425" s="4">
        <v>45637</v>
      </c>
      <c r="G425" s="3" t="s">
        <v>20</v>
      </c>
      <c r="H425" s="3" t="s">
        <v>21</v>
      </c>
      <c r="I425" s="3" t="s">
        <v>22</v>
      </c>
      <c r="J425" s="3" t="s">
        <v>30</v>
      </c>
      <c r="K425" s="3">
        <v>51</v>
      </c>
      <c r="L425" s="3">
        <v>3</v>
      </c>
      <c r="M425" s="3">
        <v>3632</v>
      </c>
      <c r="N425" s="3">
        <v>10896</v>
      </c>
      <c r="O425" s="3">
        <v>0</v>
      </c>
      <c r="P425" s="3" t="s">
        <v>24</v>
      </c>
      <c r="Q425" s="3">
        <v>1</v>
      </c>
      <c r="R425" s="3" t="str">
        <f t="shared" si="6"/>
        <v>Cancelled</v>
      </c>
      <c r="S425" s="3" t="s">
        <v>31</v>
      </c>
    </row>
    <row r="426" spans="1:19" x14ac:dyDescent="0.35">
      <c r="A426" s="3">
        <v>1425</v>
      </c>
      <c r="B426" s="3" t="s">
        <v>219</v>
      </c>
      <c r="C426" s="4">
        <v>45442</v>
      </c>
      <c r="D426" s="3" t="s">
        <v>100</v>
      </c>
      <c r="E426" s="4">
        <v>45499</v>
      </c>
      <c r="F426" s="4">
        <v>45501</v>
      </c>
      <c r="G426" s="3" t="s">
        <v>28</v>
      </c>
      <c r="H426" s="3" t="s">
        <v>29</v>
      </c>
      <c r="I426" s="3" t="s">
        <v>39</v>
      </c>
      <c r="J426" s="3" t="s">
        <v>30</v>
      </c>
      <c r="K426" s="3">
        <v>57</v>
      </c>
      <c r="L426" s="3">
        <v>2</v>
      </c>
      <c r="M426" s="3">
        <v>7991</v>
      </c>
      <c r="N426" s="3">
        <v>15982</v>
      </c>
      <c r="O426" s="3">
        <v>15982</v>
      </c>
      <c r="P426" s="3" t="s">
        <v>24</v>
      </c>
      <c r="Q426" s="3">
        <v>0</v>
      </c>
      <c r="R426" s="3" t="str">
        <f t="shared" si="6"/>
        <v>Not Cancelled</v>
      </c>
      <c r="S426" s="3" t="s">
        <v>31</v>
      </c>
    </row>
    <row r="427" spans="1:19" x14ac:dyDescent="0.35">
      <c r="A427" s="3">
        <v>1426</v>
      </c>
      <c r="B427" s="3" t="s">
        <v>395</v>
      </c>
      <c r="C427" s="4">
        <v>45405</v>
      </c>
      <c r="D427" s="3" t="s">
        <v>105</v>
      </c>
      <c r="E427" s="4">
        <v>45442</v>
      </c>
      <c r="F427" s="4">
        <v>45445</v>
      </c>
      <c r="G427" s="3" t="s">
        <v>20</v>
      </c>
      <c r="H427" s="3" t="s">
        <v>38</v>
      </c>
      <c r="I427" s="3" t="s">
        <v>39</v>
      </c>
      <c r="J427" s="3" t="s">
        <v>30</v>
      </c>
      <c r="K427" s="3">
        <v>37</v>
      </c>
      <c r="L427" s="3">
        <v>3</v>
      </c>
      <c r="M427" s="3">
        <v>8824</v>
      </c>
      <c r="N427" s="3">
        <v>26472</v>
      </c>
      <c r="O427" s="3">
        <v>26472</v>
      </c>
      <c r="P427" s="3" t="s">
        <v>24</v>
      </c>
      <c r="Q427" s="3">
        <v>0</v>
      </c>
      <c r="R427" s="3" t="str">
        <f t="shared" si="6"/>
        <v>Not Cancelled</v>
      </c>
      <c r="S427" s="3" t="s">
        <v>31</v>
      </c>
    </row>
    <row r="428" spans="1:19" x14ac:dyDescent="0.35">
      <c r="A428" s="3">
        <v>1427</v>
      </c>
      <c r="B428" s="3" t="s">
        <v>450</v>
      </c>
      <c r="C428" s="4">
        <v>45528</v>
      </c>
      <c r="D428" s="3" t="s">
        <v>59</v>
      </c>
      <c r="E428" s="4">
        <v>45536</v>
      </c>
      <c r="F428" s="4">
        <v>45541</v>
      </c>
      <c r="G428" s="3" t="s">
        <v>45</v>
      </c>
      <c r="H428" s="3" t="s">
        <v>21</v>
      </c>
      <c r="I428" s="3" t="s">
        <v>39</v>
      </c>
      <c r="J428" s="3" t="s">
        <v>30</v>
      </c>
      <c r="K428" s="3">
        <v>8</v>
      </c>
      <c r="L428" s="3">
        <v>5</v>
      </c>
      <c r="M428" s="3">
        <v>7975</v>
      </c>
      <c r="N428" s="3">
        <v>39875</v>
      </c>
      <c r="O428" s="3">
        <v>39875</v>
      </c>
      <c r="P428" s="3" t="s">
        <v>51</v>
      </c>
      <c r="Q428" s="3">
        <v>0</v>
      </c>
      <c r="R428" s="3" t="str">
        <f t="shared" si="6"/>
        <v>Not Cancelled</v>
      </c>
      <c r="S428" s="3" t="s">
        <v>25</v>
      </c>
    </row>
    <row r="429" spans="1:19" x14ac:dyDescent="0.35">
      <c r="A429" s="3">
        <v>1428</v>
      </c>
      <c r="B429" s="3" t="s">
        <v>174</v>
      </c>
      <c r="C429" s="4">
        <v>45357</v>
      </c>
      <c r="D429" s="3" t="s">
        <v>209</v>
      </c>
      <c r="E429" s="4">
        <v>45364</v>
      </c>
      <c r="F429" s="4">
        <v>45368</v>
      </c>
      <c r="G429" s="3" t="s">
        <v>42</v>
      </c>
      <c r="H429" s="3" t="s">
        <v>60</v>
      </c>
      <c r="I429" s="3" t="s">
        <v>39</v>
      </c>
      <c r="J429" s="3" t="s">
        <v>46</v>
      </c>
      <c r="K429" s="3">
        <v>7</v>
      </c>
      <c r="L429" s="3">
        <v>4</v>
      </c>
      <c r="M429" s="3">
        <v>8295</v>
      </c>
      <c r="N429" s="3">
        <v>33180</v>
      </c>
      <c r="O429" s="3">
        <v>33180</v>
      </c>
      <c r="P429" s="3" t="s">
        <v>24</v>
      </c>
      <c r="Q429" s="3">
        <v>0</v>
      </c>
      <c r="R429" s="3" t="str">
        <f t="shared" si="6"/>
        <v>Not Cancelled</v>
      </c>
      <c r="S429" s="3" t="s">
        <v>31</v>
      </c>
    </row>
    <row r="430" spans="1:19" x14ac:dyDescent="0.35">
      <c r="A430" s="3">
        <v>1429</v>
      </c>
      <c r="B430" s="3" t="s">
        <v>451</v>
      </c>
      <c r="C430" s="4">
        <v>45652</v>
      </c>
      <c r="D430" s="3" t="s">
        <v>33</v>
      </c>
      <c r="E430" s="4">
        <v>45666</v>
      </c>
      <c r="F430" s="4">
        <v>45667</v>
      </c>
      <c r="G430" s="3" t="s">
        <v>34</v>
      </c>
      <c r="H430" s="3" t="s">
        <v>38</v>
      </c>
      <c r="I430" s="3" t="s">
        <v>22</v>
      </c>
      <c r="J430" s="3" t="s">
        <v>23</v>
      </c>
      <c r="K430" s="3">
        <v>14</v>
      </c>
      <c r="L430" s="3">
        <v>1</v>
      </c>
      <c r="M430" s="3">
        <v>4615</v>
      </c>
      <c r="N430" s="3">
        <v>4615</v>
      </c>
      <c r="O430" s="3">
        <v>4615</v>
      </c>
      <c r="P430" s="3" t="s">
        <v>51</v>
      </c>
      <c r="Q430" s="3">
        <v>0</v>
      </c>
      <c r="R430" s="3" t="str">
        <f t="shared" si="6"/>
        <v>Not Cancelled</v>
      </c>
      <c r="S430" s="3" t="s">
        <v>31</v>
      </c>
    </row>
    <row r="431" spans="1:19" x14ac:dyDescent="0.35">
      <c r="A431" s="3">
        <v>1430</v>
      </c>
      <c r="B431" s="3" t="s">
        <v>452</v>
      </c>
      <c r="C431" s="4">
        <v>45632</v>
      </c>
      <c r="D431" s="3" t="s">
        <v>94</v>
      </c>
      <c r="E431" s="4">
        <v>45688</v>
      </c>
      <c r="F431" s="4">
        <v>45692</v>
      </c>
      <c r="G431" s="3" t="s">
        <v>42</v>
      </c>
      <c r="H431" s="3" t="s">
        <v>38</v>
      </c>
      <c r="I431" s="3" t="s">
        <v>39</v>
      </c>
      <c r="J431" s="3" t="s">
        <v>46</v>
      </c>
      <c r="K431" s="3">
        <v>56</v>
      </c>
      <c r="L431" s="3">
        <v>4</v>
      </c>
      <c r="M431" s="3">
        <v>4839</v>
      </c>
      <c r="N431" s="3">
        <v>19356</v>
      </c>
      <c r="O431" s="3">
        <v>0</v>
      </c>
      <c r="P431" s="3" t="s">
        <v>24</v>
      </c>
      <c r="Q431" s="3">
        <v>1</v>
      </c>
      <c r="R431" s="3" t="str">
        <f t="shared" si="6"/>
        <v>Cancelled</v>
      </c>
      <c r="S431" s="3" t="s">
        <v>31</v>
      </c>
    </row>
    <row r="432" spans="1:19" x14ac:dyDescent="0.35">
      <c r="A432" s="3">
        <v>1431</v>
      </c>
      <c r="B432" s="3" t="s">
        <v>18</v>
      </c>
      <c r="C432" s="4">
        <v>45549</v>
      </c>
      <c r="D432" s="3" t="s">
        <v>113</v>
      </c>
      <c r="E432" s="4">
        <v>45604</v>
      </c>
      <c r="F432" s="4">
        <v>45607</v>
      </c>
      <c r="G432" s="3" t="s">
        <v>20</v>
      </c>
      <c r="H432" s="3" t="s">
        <v>21</v>
      </c>
      <c r="I432" s="3" t="s">
        <v>39</v>
      </c>
      <c r="J432" s="3" t="s">
        <v>23</v>
      </c>
      <c r="K432" s="3">
        <v>55</v>
      </c>
      <c r="L432" s="3">
        <v>3</v>
      </c>
      <c r="M432" s="3">
        <v>5239</v>
      </c>
      <c r="N432" s="3">
        <v>15717</v>
      </c>
      <c r="O432" s="3">
        <v>0</v>
      </c>
      <c r="P432" s="3" t="s">
        <v>24</v>
      </c>
      <c r="Q432" s="3">
        <v>1</v>
      </c>
      <c r="R432" s="3" t="str">
        <f t="shared" si="6"/>
        <v>Cancelled</v>
      </c>
      <c r="S432" s="3" t="s">
        <v>31</v>
      </c>
    </row>
    <row r="433" spans="1:19" x14ac:dyDescent="0.35">
      <c r="A433" s="3">
        <v>1432</v>
      </c>
      <c r="B433" s="3" t="s">
        <v>453</v>
      </c>
      <c r="C433" s="4">
        <v>45540</v>
      </c>
      <c r="D433" s="3" t="s">
        <v>20</v>
      </c>
      <c r="E433" s="4">
        <v>45543</v>
      </c>
      <c r="F433" s="4">
        <v>45546</v>
      </c>
      <c r="G433" s="3" t="s">
        <v>20</v>
      </c>
      <c r="H433" s="3" t="s">
        <v>21</v>
      </c>
      <c r="I433" s="3" t="s">
        <v>22</v>
      </c>
      <c r="J433" s="3" t="s">
        <v>30</v>
      </c>
      <c r="K433" s="3">
        <v>3</v>
      </c>
      <c r="L433" s="3">
        <v>3</v>
      </c>
      <c r="M433" s="3">
        <v>6776</v>
      </c>
      <c r="N433" s="3">
        <v>20328</v>
      </c>
      <c r="O433" s="3">
        <v>20328</v>
      </c>
      <c r="P433" s="3" t="s">
        <v>24</v>
      </c>
      <c r="Q433" s="3">
        <v>0</v>
      </c>
      <c r="R433" s="3" t="str">
        <f t="shared" si="6"/>
        <v>Not Cancelled</v>
      </c>
      <c r="S433" s="3" t="s">
        <v>25</v>
      </c>
    </row>
    <row r="434" spans="1:19" x14ac:dyDescent="0.35">
      <c r="A434" s="3">
        <v>1433</v>
      </c>
      <c r="B434" s="3" t="s">
        <v>454</v>
      </c>
      <c r="C434" s="4">
        <v>45622</v>
      </c>
      <c r="D434" s="3" t="s">
        <v>78</v>
      </c>
      <c r="E434" s="4">
        <v>45672</v>
      </c>
      <c r="F434" s="4">
        <v>45676</v>
      </c>
      <c r="G434" s="3" t="s">
        <v>42</v>
      </c>
      <c r="H434" s="3" t="s">
        <v>35</v>
      </c>
      <c r="I434" s="3" t="s">
        <v>22</v>
      </c>
      <c r="J434" s="3" t="s">
        <v>23</v>
      </c>
      <c r="K434" s="3">
        <v>50</v>
      </c>
      <c r="L434" s="3">
        <v>4</v>
      </c>
      <c r="M434" s="3">
        <v>3987</v>
      </c>
      <c r="N434" s="3">
        <v>15948</v>
      </c>
      <c r="O434" s="3">
        <v>0</v>
      </c>
      <c r="P434" s="3" t="s">
        <v>24</v>
      </c>
      <c r="Q434" s="3">
        <v>1</v>
      </c>
      <c r="R434" s="3" t="str">
        <f t="shared" si="6"/>
        <v>Cancelled</v>
      </c>
      <c r="S434" s="3" t="s">
        <v>25</v>
      </c>
    </row>
    <row r="435" spans="1:19" x14ac:dyDescent="0.35">
      <c r="A435" s="3">
        <v>1434</v>
      </c>
      <c r="B435" s="3" t="s">
        <v>455</v>
      </c>
      <c r="C435" s="4">
        <v>45614</v>
      </c>
      <c r="D435" s="3" t="s">
        <v>88</v>
      </c>
      <c r="E435" s="4">
        <v>45630</v>
      </c>
      <c r="F435" s="4">
        <v>45633</v>
      </c>
      <c r="G435" s="3" t="s">
        <v>20</v>
      </c>
      <c r="H435" s="3" t="s">
        <v>35</v>
      </c>
      <c r="I435" s="3" t="s">
        <v>22</v>
      </c>
      <c r="J435" s="3" t="s">
        <v>30</v>
      </c>
      <c r="K435" s="3">
        <v>16</v>
      </c>
      <c r="L435" s="3">
        <v>3</v>
      </c>
      <c r="M435" s="3">
        <v>7509</v>
      </c>
      <c r="N435" s="3">
        <v>22527</v>
      </c>
      <c r="O435" s="3">
        <v>0</v>
      </c>
      <c r="P435" s="3" t="s">
        <v>24</v>
      </c>
      <c r="Q435" s="3">
        <v>1</v>
      </c>
      <c r="R435" s="3" t="str">
        <f t="shared" si="6"/>
        <v>Cancelled</v>
      </c>
      <c r="S435" s="3" t="s">
        <v>31</v>
      </c>
    </row>
    <row r="436" spans="1:19" x14ac:dyDescent="0.35">
      <c r="A436" s="3">
        <v>1435</v>
      </c>
      <c r="B436" s="3" t="s">
        <v>456</v>
      </c>
      <c r="C436" s="4">
        <v>45471</v>
      </c>
      <c r="D436" s="3" t="s">
        <v>113</v>
      </c>
      <c r="E436" s="4">
        <v>45526</v>
      </c>
      <c r="F436" s="4">
        <v>45528</v>
      </c>
      <c r="G436" s="3" t="s">
        <v>28</v>
      </c>
      <c r="H436" s="3" t="s">
        <v>38</v>
      </c>
      <c r="I436" s="3" t="s">
        <v>39</v>
      </c>
      <c r="J436" s="3" t="s">
        <v>46</v>
      </c>
      <c r="K436" s="3">
        <v>55</v>
      </c>
      <c r="L436" s="3">
        <v>2</v>
      </c>
      <c r="M436" s="3">
        <v>4057</v>
      </c>
      <c r="N436" s="3">
        <v>8114</v>
      </c>
      <c r="O436" s="3">
        <v>0</v>
      </c>
      <c r="P436" s="3" t="s">
        <v>51</v>
      </c>
      <c r="Q436" s="3">
        <v>1</v>
      </c>
      <c r="R436" s="3" t="str">
        <f t="shared" si="6"/>
        <v>Cancelled</v>
      </c>
      <c r="S436" s="3" t="s">
        <v>31</v>
      </c>
    </row>
    <row r="437" spans="1:19" x14ac:dyDescent="0.35">
      <c r="A437" s="3">
        <v>1436</v>
      </c>
      <c r="B437" s="3" t="s">
        <v>304</v>
      </c>
      <c r="C437" s="4">
        <v>45481</v>
      </c>
      <c r="D437" s="3" t="s">
        <v>109</v>
      </c>
      <c r="E437" s="4">
        <v>45500</v>
      </c>
      <c r="F437" s="4">
        <v>45502</v>
      </c>
      <c r="G437" s="3" t="s">
        <v>28</v>
      </c>
      <c r="H437" s="3" t="s">
        <v>35</v>
      </c>
      <c r="I437" s="3" t="s">
        <v>39</v>
      </c>
      <c r="J437" s="3" t="s">
        <v>46</v>
      </c>
      <c r="K437" s="3">
        <v>19</v>
      </c>
      <c r="L437" s="3">
        <v>2</v>
      </c>
      <c r="M437" s="3">
        <v>4613</v>
      </c>
      <c r="N437" s="3">
        <v>9226</v>
      </c>
      <c r="O437" s="3">
        <v>9226</v>
      </c>
      <c r="P437" s="3" t="s">
        <v>51</v>
      </c>
      <c r="Q437" s="3">
        <v>0</v>
      </c>
      <c r="R437" s="3" t="str">
        <f t="shared" si="6"/>
        <v>Not Cancelled</v>
      </c>
      <c r="S437" s="3" t="s">
        <v>31</v>
      </c>
    </row>
    <row r="438" spans="1:19" x14ac:dyDescent="0.35">
      <c r="A438" s="3">
        <v>1437</v>
      </c>
      <c r="B438" s="3" t="s">
        <v>457</v>
      </c>
      <c r="C438" s="4">
        <v>45445</v>
      </c>
      <c r="D438" s="3" t="s">
        <v>124</v>
      </c>
      <c r="E438" s="4">
        <v>45496</v>
      </c>
      <c r="F438" s="4">
        <v>45499</v>
      </c>
      <c r="G438" s="3" t="s">
        <v>20</v>
      </c>
      <c r="H438" s="3" t="s">
        <v>60</v>
      </c>
      <c r="I438" s="3" t="s">
        <v>39</v>
      </c>
      <c r="J438" s="3" t="s">
        <v>23</v>
      </c>
      <c r="K438" s="3">
        <v>51</v>
      </c>
      <c r="L438" s="3">
        <v>3</v>
      </c>
      <c r="M438" s="3">
        <v>3544</v>
      </c>
      <c r="N438" s="3">
        <v>10632</v>
      </c>
      <c r="O438" s="3">
        <v>0</v>
      </c>
      <c r="P438" s="3" t="s">
        <v>24</v>
      </c>
      <c r="Q438" s="3">
        <v>1</v>
      </c>
      <c r="R438" s="3" t="str">
        <f t="shared" si="6"/>
        <v>Cancelled</v>
      </c>
      <c r="S438" s="3" t="s">
        <v>31</v>
      </c>
    </row>
    <row r="439" spans="1:19" x14ac:dyDescent="0.35">
      <c r="A439" s="3">
        <v>1438</v>
      </c>
      <c r="B439" s="3" t="s">
        <v>458</v>
      </c>
      <c r="C439" s="4">
        <v>45487</v>
      </c>
      <c r="D439" s="3" t="s">
        <v>27</v>
      </c>
      <c r="E439" s="4">
        <v>45505</v>
      </c>
      <c r="F439" s="4">
        <v>45508</v>
      </c>
      <c r="G439" s="3" t="s">
        <v>20</v>
      </c>
      <c r="H439" s="3" t="s">
        <v>29</v>
      </c>
      <c r="I439" s="3" t="s">
        <v>39</v>
      </c>
      <c r="J439" s="3" t="s">
        <v>30</v>
      </c>
      <c r="K439" s="3">
        <v>18</v>
      </c>
      <c r="L439" s="3">
        <v>3</v>
      </c>
      <c r="M439" s="3">
        <v>8231</v>
      </c>
      <c r="N439" s="3">
        <v>24693</v>
      </c>
      <c r="O439" s="3">
        <v>0</v>
      </c>
      <c r="P439" s="3" t="s">
        <v>51</v>
      </c>
      <c r="Q439" s="3">
        <v>1</v>
      </c>
      <c r="R439" s="3" t="str">
        <f t="shared" si="6"/>
        <v>Cancelled</v>
      </c>
      <c r="S439" s="3" t="s">
        <v>25</v>
      </c>
    </row>
    <row r="440" spans="1:19" x14ac:dyDescent="0.35">
      <c r="A440" s="3">
        <v>1439</v>
      </c>
      <c r="B440" s="3" t="s">
        <v>459</v>
      </c>
      <c r="C440" s="4">
        <v>45602</v>
      </c>
      <c r="D440" s="3" t="s">
        <v>226</v>
      </c>
      <c r="E440" s="4">
        <v>45654</v>
      </c>
      <c r="F440" s="4">
        <v>45656</v>
      </c>
      <c r="G440" s="3" t="s">
        <v>28</v>
      </c>
      <c r="H440" s="3" t="s">
        <v>38</v>
      </c>
      <c r="I440" s="3" t="s">
        <v>39</v>
      </c>
      <c r="J440" s="3" t="s">
        <v>30</v>
      </c>
      <c r="K440" s="3">
        <v>52</v>
      </c>
      <c r="L440" s="3">
        <v>2</v>
      </c>
      <c r="M440" s="3">
        <v>4931</v>
      </c>
      <c r="N440" s="3">
        <v>9862</v>
      </c>
      <c r="O440" s="3">
        <v>9862</v>
      </c>
      <c r="P440" s="3" t="s">
        <v>51</v>
      </c>
      <c r="Q440" s="3">
        <v>0</v>
      </c>
      <c r="R440" s="3" t="str">
        <f t="shared" si="6"/>
        <v>Not Cancelled</v>
      </c>
      <c r="S440" s="3" t="s">
        <v>25</v>
      </c>
    </row>
    <row r="441" spans="1:19" x14ac:dyDescent="0.35">
      <c r="A441" s="3">
        <v>1440</v>
      </c>
      <c r="B441" s="3" t="s">
        <v>460</v>
      </c>
      <c r="C441" s="4">
        <v>45553</v>
      </c>
      <c r="D441" s="3" t="s">
        <v>88</v>
      </c>
      <c r="E441" s="4">
        <v>45569</v>
      </c>
      <c r="F441" s="4">
        <v>45572</v>
      </c>
      <c r="G441" s="3" t="s">
        <v>20</v>
      </c>
      <c r="H441" s="3" t="s">
        <v>29</v>
      </c>
      <c r="I441" s="3" t="s">
        <v>39</v>
      </c>
      <c r="J441" s="3" t="s">
        <v>23</v>
      </c>
      <c r="K441" s="3">
        <v>16</v>
      </c>
      <c r="L441" s="3">
        <v>3</v>
      </c>
      <c r="M441" s="3">
        <v>8234</v>
      </c>
      <c r="N441" s="3">
        <v>24702</v>
      </c>
      <c r="O441" s="3">
        <v>0</v>
      </c>
      <c r="P441" s="3" t="s">
        <v>24</v>
      </c>
      <c r="Q441" s="3">
        <v>1</v>
      </c>
      <c r="R441" s="3" t="str">
        <f t="shared" si="6"/>
        <v>Cancelled</v>
      </c>
      <c r="S441" s="3" t="s">
        <v>25</v>
      </c>
    </row>
    <row r="442" spans="1:19" x14ac:dyDescent="0.35">
      <c r="A442" s="3">
        <v>1441</v>
      </c>
      <c r="B442" s="3" t="s">
        <v>461</v>
      </c>
      <c r="C442" s="4">
        <v>45434</v>
      </c>
      <c r="D442" s="3" t="s">
        <v>59</v>
      </c>
      <c r="E442" s="4">
        <v>45442</v>
      </c>
      <c r="F442" s="4">
        <v>45445</v>
      </c>
      <c r="G442" s="3" t="s">
        <v>20</v>
      </c>
      <c r="H442" s="3" t="s">
        <v>35</v>
      </c>
      <c r="I442" s="3" t="s">
        <v>22</v>
      </c>
      <c r="J442" s="3" t="s">
        <v>30</v>
      </c>
      <c r="K442" s="3">
        <v>8</v>
      </c>
      <c r="L442" s="3">
        <v>3</v>
      </c>
      <c r="M442" s="3">
        <v>4082</v>
      </c>
      <c r="N442" s="3">
        <v>12246</v>
      </c>
      <c r="O442" s="3">
        <v>0</v>
      </c>
      <c r="P442" s="3" t="s">
        <v>24</v>
      </c>
      <c r="Q442" s="3">
        <v>1</v>
      </c>
      <c r="R442" s="3" t="str">
        <f t="shared" si="6"/>
        <v>Cancelled</v>
      </c>
      <c r="S442" s="3" t="s">
        <v>25</v>
      </c>
    </row>
    <row r="443" spans="1:19" x14ac:dyDescent="0.35">
      <c r="A443" s="3">
        <v>1442</v>
      </c>
      <c r="B443" s="3" t="s">
        <v>462</v>
      </c>
      <c r="C443" s="4">
        <v>45633</v>
      </c>
      <c r="D443" s="3" t="s">
        <v>69</v>
      </c>
      <c r="E443" s="4">
        <v>45666</v>
      </c>
      <c r="F443" s="4">
        <v>45670</v>
      </c>
      <c r="G443" s="3" t="s">
        <v>42</v>
      </c>
      <c r="H443" s="3" t="s">
        <v>21</v>
      </c>
      <c r="I443" s="3" t="s">
        <v>39</v>
      </c>
      <c r="J443" s="3" t="s">
        <v>30</v>
      </c>
      <c r="K443" s="3">
        <v>33</v>
      </c>
      <c r="L443" s="3">
        <v>4</v>
      </c>
      <c r="M443" s="3">
        <v>8682</v>
      </c>
      <c r="N443" s="3">
        <v>34728</v>
      </c>
      <c r="O443" s="3">
        <v>34728</v>
      </c>
      <c r="P443" s="3" t="s">
        <v>24</v>
      </c>
      <c r="Q443" s="3">
        <v>0</v>
      </c>
      <c r="R443" s="3" t="str">
        <f t="shared" si="6"/>
        <v>Not Cancelled</v>
      </c>
      <c r="S443" s="3" t="s">
        <v>31</v>
      </c>
    </row>
    <row r="444" spans="1:19" x14ac:dyDescent="0.35">
      <c r="A444" s="3">
        <v>1443</v>
      </c>
      <c r="B444" s="3" t="s">
        <v>463</v>
      </c>
      <c r="C444" s="4">
        <v>45607</v>
      </c>
      <c r="D444" s="3" t="s">
        <v>211</v>
      </c>
      <c r="E444" s="4">
        <v>45656</v>
      </c>
      <c r="F444" s="4">
        <v>45657</v>
      </c>
      <c r="G444" s="3" t="s">
        <v>34</v>
      </c>
      <c r="H444" s="3" t="s">
        <v>38</v>
      </c>
      <c r="I444" s="3" t="s">
        <v>22</v>
      </c>
      <c r="J444" s="3" t="s">
        <v>30</v>
      </c>
      <c r="K444" s="3">
        <v>49</v>
      </c>
      <c r="L444" s="3">
        <v>1</v>
      </c>
      <c r="M444" s="3">
        <v>3808</v>
      </c>
      <c r="N444" s="3">
        <v>3808</v>
      </c>
      <c r="O444" s="3">
        <v>0</v>
      </c>
      <c r="P444" s="3" t="s">
        <v>24</v>
      </c>
      <c r="Q444" s="3">
        <v>1</v>
      </c>
      <c r="R444" s="3" t="str">
        <f t="shared" si="6"/>
        <v>Cancelled</v>
      </c>
      <c r="S444" s="3" t="s">
        <v>31</v>
      </c>
    </row>
    <row r="445" spans="1:19" x14ac:dyDescent="0.35">
      <c r="A445" s="3">
        <v>1444</v>
      </c>
      <c r="B445" s="3" t="s">
        <v>464</v>
      </c>
      <c r="C445" s="4">
        <v>45392</v>
      </c>
      <c r="D445" s="3" t="s">
        <v>102</v>
      </c>
      <c r="E445" s="4">
        <v>45404</v>
      </c>
      <c r="F445" s="4">
        <v>45406</v>
      </c>
      <c r="G445" s="3" t="s">
        <v>28</v>
      </c>
      <c r="H445" s="3" t="s">
        <v>35</v>
      </c>
      <c r="I445" s="3" t="s">
        <v>22</v>
      </c>
      <c r="J445" s="3" t="s">
        <v>46</v>
      </c>
      <c r="K445" s="3">
        <v>12</v>
      </c>
      <c r="L445" s="3">
        <v>2</v>
      </c>
      <c r="M445" s="3">
        <v>7417</v>
      </c>
      <c r="N445" s="3">
        <v>14834</v>
      </c>
      <c r="O445" s="3">
        <v>0</v>
      </c>
      <c r="P445" s="3" t="s">
        <v>51</v>
      </c>
      <c r="Q445" s="3">
        <v>1</v>
      </c>
      <c r="R445" s="3" t="str">
        <f t="shared" si="6"/>
        <v>Cancelled</v>
      </c>
      <c r="S445" s="3" t="s">
        <v>25</v>
      </c>
    </row>
    <row r="446" spans="1:19" x14ac:dyDescent="0.35">
      <c r="A446" s="3">
        <v>1445</v>
      </c>
      <c r="B446" s="3" t="s">
        <v>465</v>
      </c>
      <c r="C446" s="4">
        <v>45535</v>
      </c>
      <c r="D446" s="3" t="s">
        <v>133</v>
      </c>
      <c r="E446" s="4">
        <v>45588</v>
      </c>
      <c r="F446" s="4">
        <v>45592</v>
      </c>
      <c r="G446" s="3" t="s">
        <v>42</v>
      </c>
      <c r="H446" s="3" t="s">
        <v>60</v>
      </c>
      <c r="I446" s="3" t="s">
        <v>22</v>
      </c>
      <c r="J446" s="3" t="s">
        <v>46</v>
      </c>
      <c r="K446" s="3">
        <v>53</v>
      </c>
      <c r="L446" s="3">
        <v>4</v>
      </c>
      <c r="M446" s="3">
        <v>3101</v>
      </c>
      <c r="N446" s="3">
        <v>12404</v>
      </c>
      <c r="O446" s="3">
        <v>0</v>
      </c>
      <c r="P446" s="3" t="s">
        <v>51</v>
      </c>
      <c r="Q446" s="3">
        <v>1</v>
      </c>
      <c r="R446" s="3" t="str">
        <f t="shared" si="6"/>
        <v>Cancelled</v>
      </c>
      <c r="S446" s="3" t="s">
        <v>25</v>
      </c>
    </row>
    <row r="447" spans="1:19" x14ac:dyDescent="0.35">
      <c r="A447" s="3">
        <v>1446</v>
      </c>
      <c r="B447" s="3" t="s">
        <v>154</v>
      </c>
      <c r="C447" s="4">
        <v>45303</v>
      </c>
      <c r="D447" s="3" t="s">
        <v>75</v>
      </c>
      <c r="E447" s="4">
        <v>45314</v>
      </c>
      <c r="F447" s="4">
        <v>45315</v>
      </c>
      <c r="G447" s="3" t="s">
        <v>34</v>
      </c>
      <c r="H447" s="3" t="s">
        <v>38</v>
      </c>
      <c r="I447" s="3" t="s">
        <v>39</v>
      </c>
      <c r="J447" s="3" t="s">
        <v>46</v>
      </c>
      <c r="K447" s="3">
        <v>11</v>
      </c>
      <c r="L447" s="3">
        <v>1</v>
      </c>
      <c r="M447" s="3">
        <v>4120</v>
      </c>
      <c r="N447" s="3">
        <v>4120</v>
      </c>
      <c r="O447" s="3">
        <v>4120</v>
      </c>
      <c r="P447" s="3" t="s">
        <v>51</v>
      </c>
      <c r="Q447" s="3">
        <v>0</v>
      </c>
      <c r="R447" s="3" t="str">
        <f t="shared" si="6"/>
        <v>Not Cancelled</v>
      </c>
      <c r="S447" s="3" t="s">
        <v>31</v>
      </c>
    </row>
    <row r="448" spans="1:19" x14ac:dyDescent="0.35">
      <c r="A448" s="3">
        <v>1447</v>
      </c>
      <c r="B448" s="3" t="s">
        <v>466</v>
      </c>
      <c r="C448" s="4">
        <v>45530</v>
      </c>
      <c r="D448" s="3" t="s">
        <v>45</v>
      </c>
      <c r="E448" s="4">
        <v>45535</v>
      </c>
      <c r="F448" s="4">
        <v>45538</v>
      </c>
      <c r="G448" s="3" t="s">
        <v>20</v>
      </c>
      <c r="H448" s="3" t="s">
        <v>38</v>
      </c>
      <c r="I448" s="3" t="s">
        <v>39</v>
      </c>
      <c r="J448" s="3" t="s">
        <v>30</v>
      </c>
      <c r="K448" s="3">
        <v>5</v>
      </c>
      <c r="L448" s="3">
        <v>3</v>
      </c>
      <c r="M448" s="3">
        <v>7380</v>
      </c>
      <c r="N448" s="3">
        <v>22140</v>
      </c>
      <c r="O448" s="3">
        <v>0</v>
      </c>
      <c r="P448" s="3" t="s">
        <v>51</v>
      </c>
      <c r="Q448" s="3">
        <v>1</v>
      </c>
      <c r="R448" s="3" t="str">
        <f t="shared" si="6"/>
        <v>Cancelled</v>
      </c>
      <c r="S448" s="3" t="s">
        <v>31</v>
      </c>
    </row>
    <row r="449" spans="1:19" x14ac:dyDescent="0.35">
      <c r="A449" s="3">
        <v>1448</v>
      </c>
      <c r="B449" s="3" t="s">
        <v>467</v>
      </c>
      <c r="C449" s="4">
        <v>45340</v>
      </c>
      <c r="D449" s="3" t="s">
        <v>185</v>
      </c>
      <c r="E449" s="4">
        <v>45367</v>
      </c>
      <c r="F449" s="4">
        <v>45370</v>
      </c>
      <c r="G449" s="3" t="s">
        <v>20</v>
      </c>
      <c r="H449" s="3" t="s">
        <v>21</v>
      </c>
      <c r="I449" s="3" t="s">
        <v>22</v>
      </c>
      <c r="J449" s="3" t="s">
        <v>46</v>
      </c>
      <c r="K449" s="3">
        <v>27</v>
      </c>
      <c r="L449" s="3">
        <v>3</v>
      </c>
      <c r="M449" s="3">
        <v>7807</v>
      </c>
      <c r="N449" s="3">
        <v>23421</v>
      </c>
      <c r="O449" s="3">
        <v>23421</v>
      </c>
      <c r="P449" s="3" t="s">
        <v>24</v>
      </c>
      <c r="Q449" s="3">
        <v>0</v>
      </c>
      <c r="R449" s="3" t="str">
        <f t="shared" si="6"/>
        <v>Not Cancelled</v>
      </c>
      <c r="S449" s="3" t="s">
        <v>31</v>
      </c>
    </row>
    <row r="450" spans="1:19" x14ac:dyDescent="0.35">
      <c r="A450" s="3">
        <v>1449</v>
      </c>
      <c r="B450" s="3" t="s">
        <v>468</v>
      </c>
      <c r="C450" s="4">
        <v>45333</v>
      </c>
      <c r="D450" s="3" t="s">
        <v>102</v>
      </c>
      <c r="E450" s="4">
        <v>45345</v>
      </c>
      <c r="F450" s="4">
        <v>45349</v>
      </c>
      <c r="G450" s="3" t="s">
        <v>42</v>
      </c>
      <c r="H450" s="3" t="s">
        <v>38</v>
      </c>
      <c r="I450" s="3" t="s">
        <v>39</v>
      </c>
      <c r="J450" s="3" t="s">
        <v>30</v>
      </c>
      <c r="K450" s="3">
        <v>12</v>
      </c>
      <c r="L450" s="3">
        <v>4</v>
      </c>
      <c r="M450" s="3">
        <v>7266</v>
      </c>
      <c r="N450" s="3">
        <v>29064</v>
      </c>
      <c r="O450" s="3">
        <v>29064</v>
      </c>
      <c r="P450" s="3" t="s">
        <v>24</v>
      </c>
      <c r="Q450" s="3">
        <v>0</v>
      </c>
      <c r="R450" s="3" t="str">
        <f t="shared" si="6"/>
        <v>Not Cancelled</v>
      </c>
      <c r="S450" s="3" t="s">
        <v>31</v>
      </c>
    </row>
    <row r="451" spans="1:19" x14ac:dyDescent="0.35">
      <c r="A451" s="3">
        <v>1450</v>
      </c>
      <c r="B451" s="3" t="s">
        <v>469</v>
      </c>
      <c r="C451" s="4">
        <v>45457</v>
      </c>
      <c r="D451" s="3" t="s">
        <v>71</v>
      </c>
      <c r="E451" s="4">
        <v>45474</v>
      </c>
      <c r="F451" s="4">
        <v>45477</v>
      </c>
      <c r="G451" s="3" t="s">
        <v>20</v>
      </c>
      <c r="H451" s="3" t="s">
        <v>21</v>
      </c>
      <c r="I451" s="3" t="s">
        <v>39</v>
      </c>
      <c r="J451" s="3" t="s">
        <v>30</v>
      </c>
      <c r="K451" s="3">
        <v>17</v>
      </c>
      <c r="L451" s="3">
        <v>3</v>
      </c>
      <c r="M451" s="3">
        <v>7862</v>
      </c>
      <c r="N451" s="3">
        <v>23586</v>
      </c>
      <c r="O451" s="3">
        <v>0</v>
      </c>
      <c r="P451" s="3" t="s">
        <v>24</v>
      </c>
      <c r="Q451" s="3">
        <v>1</v>
      </c>
      <c r="R451" s="3" t="str">
        <f t="shared" ref="R451:R514" si="7">IF(Q451=0,"Not Cancelled","Cancelled")</f>
        <v>Cancelled</v>
      </c>
      <c r="S451" s="3" t="s">
        <v>31</v>
      </c>
    </row>
    <row r="452" spans="1:19" x14ac:dyDescent="0.35">
      <c r="A452" s="3">
        <v>1451</v>
      </c>
      <c r="B452" s="3" t="s">
        <v>130</v>
      </c>
      <c r="C452" s="4">
        <v>45373</v>
      </c>
      <c r="D452" s="3" t="s">
        <v>55</v>
      </c>
      <c r="E452" s="4">
        <v>45379</v>
      </c>
      <c r="F452" s="4">
        <v>45384</v>
      </c>
      <c r="G452" s="3" t="s">
        <v>45</v>
      </c>
      <c r="H452" s="3" t="s">
        <v>35</v>
      </c>
      <c r="I452" s="3" t="s">
        <v>22</v>
      </c>
      <c r="J452" s="3" t="s">
        <v>23</v>
      </c>
      <c r="K452" s="3">
        <v>6</v>
      </c>
      <c r="L452" s="3">
        <v>5</v>
      </c>
      <c r="M452" s="3">
        <v>7692</v>
      </c>
      <c r="N452" s="3">
        <v>38460</v>
      </c>
      <c r="O452" s="3">
        <v>38460</v>
      </c>
      <c r="P452" s="3" t="s">
        <v>24</v>
      </c>
      <c r="Q452" s="3">
        <v>0</v>
      </c>
      <c r="R452" s="3" t="str">
        <f t="shared" si="7"/>
        <v>Not Cancelled</v>
      </c>
      <c r="S452" s="3" t="s">
        <v>25</v>
      </c>
    </row>
    <row r="453" spans="1:19" x14ac:dyDescent="0.35">
      <c r="A453" s="3">
        <v>1452</v>
      </c>
      <c r="B453" s="3" t="s">
        <v>470</v>
      </c>
      <c r="C453" s="4">
        <v>45582</v>
      </c>
      <c r="D453" s="3" t="s">
        <v>69</v>
      </c>
      <c r="E453" s="4">
        <v>45615</v>
      </c>
      <c r="F453" s="4">
        <v>45619</v>
      </c>
      <c r="G453" s="3" t="s">
        <v>42</v>
      </c>
      <c r="H453" s="3" t="s">
        <v>60</v>
      </c>
      <c r="I453" s="3" t="s">
        <v>39</v>
      </c>
      <c r="J453" s="3" t="s">
        <v>30</v>
      </c>
      <c r="K453" s="3">
        <v>33</v>
      </c>
      <c r="L453" s="3">
        <v>4</v>
      </c>
      <c r="M453" s="3">
        <v>8593</v>
      </c>
      <c r="N453" s="3">
        <v>34372</v>
      </c>
      <c r="O453" s="3">
        <v>0</v>
      </c>
      <c r="P453" s="3" t="s">
        <v>51</v>
      </c>
      <c r="Q453" s="3">
        <v>1</v>
      </c>
      <c r="R453" s="3" t="str">
        <f t="shared" si="7"/>
        <v>Cancelled</v>
      </c>
      <c r="S453" s="3" t="s">
        <v>25</v>
      </c>
    </row>
    <row r="454" spans="1:19" x14ac:dyDescent="0.35">
      <c r="A454" s="3">
        <v>1453</v>
      </c>
      <c r="B454" s="3" t="s">
        <v>471</v>
      </c>
      <c r="C454" s="4">
        <v>45449</v>
      </c>
      <c r="D454" s="3" t="s">
        <v>45</v>
      </c>
      <c r="E454" s="4">
        <v>45454</v>
      </c>
      <c r="F454" s="4">
        <v>45455</v>
      </c>
      <c r="G454" s="3" t="s">
        <v>34</v>
      </c>
      <c r="H454" s="3" t="s">
        <v>60</v>
      </c>
      <c r="I454" s="3" t="s">
        <v>39</v>
      </c>
      <c r="J454" s="3" t="s">
        <v>46</v>
      </c>
      <c r="K454" s="3">
        <v>5</v>
      </c>
      <c r="L454" s="3">
        <v>1</v>
      </c>
      <c r="M454" s="3">
        <v>2600</v>
      </c>
      <c r="N454" s="3">
        <v>2600</v>
      </c>
      <c r="O454" s="3">
        <v>2600</v>
      </c>
      <c r="P454" s="3" t="s">
        <v>51</v>
      </c>
      <c r="Q454" s="3">
        <v>0</v>
      </c>
      <c r="R454" s="3" t="str">
        <f t="shared" si="7"/>
        <v>Not Cancelled</v>
      </c>
      <c r="S454" s="3" t="s">
        <v>31</v>
      </c>
    </row>
    <row r="455" spans="1:19" x14ac:dyDescent="0.35">
      <c r="A455" s="3">
        <v>1454</v>
      </c>
      <c r="B455" s="3" t="s">
        <v>472</v>
      </c>
      <c r="C455" s="4">
        <v>45507</v>
      </c>
      <c r="D455" s="3" t="s">
        <v>100</v>
      </c>
      <c r="E455" s="4">
        <v>45564</v>
      </c>
      <c r="F455" s="4">
        <v>45568</v>
      </c>
      <c r="G455" s="3" t="s">
        <v>42</v>
      </c>
      <c r="H455" s="3" t="s">
        <v>38</v>
      </c>
      <c r="I455" s="3" t="s">
        <v>39</v>
      </c>
      <c r="J455" s="3" t="s">
        <v>46</v>
      </c>
      <c r="K455" s="3">
        <v>57</v>
      </c>
      <c r="L455" s="3">
        <v>4</v>
      </c>
      <c r="M455" s="3">
        <v>8375</v>
      </c>
      <c r="N455" s="3">
        <v>33500</v>
      </c>
      <c r="O455" s="3">
        <v>33500</v>
      </c>
      <c r="P455" s="3" t="s">
        <v>24</v>
      </c>
      <c r="Q455" s="3">
        <v>0</v>
      </c>
      <c r="R455" s="3" t="str">
        <f t="shared" si="7"/>
        <v>Not Cancelled</v>
      </c>
      <c r="S455" s="3" t="s">
        <v>31</v>
      </c>
    </row>
    <row r="456" spans="1:19" x14ac:dyDescent="0.35">
      <c r="A456" s="3">
        <v>1455</v>
      </c>
      <c r="B456" s="3" t="s">
        <v>473</v>
      </c>
      <c r="C456" s="4">
        <v>45449</v>
      </c>
      <c r="D456" s="3" t="s">
        <v>82</v>
      </c>
      <c r="E456" s="4">
        <v>45477</v>
      </c>
      <c r="F456" s="4">
        <v>45479</v>
      </c>
      <c r="G456" s="3" t="s">
        <v>28</v>
      </c>
      <c r="H456" s="3" t="s">
        <v>38</v>
      </c>
      <c r="I456" s="3" t="s">
        <v>39</v>
      </c>
      <c r="J456" s="3" t="s">
        <v>30</v>
      </c>
      <c r="K456" s="3">
        <v>28</v>
      </c>
      <c r="L456" s="3">
        <v>2</v>
      </c>
      <c r="M456" s="3">
        <v>6771</v>
      </c>
      <c r="N456" s="3">
        <v>13542</v>
      </c>
      <c r="O456" s="3">
        <v>13542</v>
      </c>
      <c r="P456" s="3" t="s">
        <v>51</v>
      </c>
      <c r="Q456" s="3">
        <v>0</v>
      </c>
      <c r="R456" s="3" t="str">
        <f t="shared" si="7"/>
        <v>Not Cancelled</v>
      </c>
      <c r="S456" s="3" t="s">
        <v>25</v>
      </c>
    </row>
    <row r="457" spans="1:19" x14ac:dyDescent="0.35">
      <c r="A457" s="3">
        <v>1456</v>
      </c>
      <c r="B457" s="3" t="s">
        <v>474</v>
      </c>
      <c r="C457" s="4">
        <v>45425</v>
      </c>
      <c r="D457" s="3" t="s">
        <v>33</v>
      </c>
      <c r="E457" s="4">
        <v>45439</v>
      </c>
      <c r="F457" s="4">
        <v>45443</v>
      </c>
      <c r="G457" s="3" t="s">
        <v>42</v>
      </c>
      <c r="H457" s="3" t="s">
        <v>35</v>
      </c>
      <c r="I457" s="3" t="s">
        <v>22</v>
      </c>
      <c r="J457" s="3" t="s">
        <v>46</v>
      </c>
      <c r="K457" s="3">
        <v>14</v>
      </c>
      <c r="L457" s="3">
        <v>4</v>
      </c>
      <c r="M457" s="3">
        <v>2737</v>
      </c>
      <c r="N457" s="3">
        <v>10948</v>
      </c>
      <c r="O457" s="3">
        <v>0</v>
      </c>
      <c r="P457" s="3" t="s">
        <v>51</v>
      </c>
      <c r="Q457" s="3">
        <v>1</v>
      </c>
      <c r="R457" s="3" t="str">
        <f t="shared" si="7"/>
        <v>Cancelled</v>
      </c>
      <c r="S457" s="3" t="s">
        <v>31</v>
      </c>
    </row>
    <row r="458" spans="1:19" x14ac:dyDescent="0.35">
      <c r="A458" s="3">
        <v>1457</v>
      </c>
      <c r="B458" s="3" t="s">
        <v>414</v>
      </c>
      <c r="C458" s="4">
        <v>45358</v>
      </c>
      <c r="D458" s="3" t="s">
        <v>45</v>
      </c>
      <c r="E458" s="4">
        <v>45363</v>
      </c>
      <c r="F458" s="4">
        <v>45366</v>
      </c>
      <c r="G458" s="3" t="s">
        <v>20</v>
      </c>
      <c r="H458" s="3" t="s">
        <v>21</v>
      </c>
      <c r="I458" s="3" t="s">
        <v>22</v>
      </c>
      <c r="J458" s="3" t="s">
        <v>30</v>
      </c>
      <c r="K458" s="3">
        <v>5</v>
      </c>
      <c r="L458" s="3">
        <v>3</v>
      </c>
      <c r="M458" s="3">
        <v>7718</v>
      </c>
      <c r="N458" s="3">
        <v>23154</v>
      </c>
      <c r="O458" s="3">
        <v>23154</v>
      </c>
      <c r="P458" s="3" t="s">
        <v>24</v>
      </c>
      <c r="Q458" s="3">
        <v>0</v>
      </c>
      <c r="R458" s="3" t="str">
        <f t="shared" si="7"/>
        <v>Not Cancelled</v>
      </c>
      <c r="S458" s="3" t="s">
        <v>25</v>
      </c>
    </row>
    <row r="459" spans="1:19" x14ac:dyDescent="0.35">
      <c r="A459" s="3">
        <v>1458</v>
      </c>
      <c r="B459" s="3" t="s">
        <v>253</v>
      </c>
      <c r="C459" s="4">
        <v>45627</v>
      </c>
      <c r="D459" s="3" t="s">
        <v>117</v>
      </c>
      <c r="E459" s="4">
        <v>45681</v>
      </c>
      <c r="F459" s="4">
        <v>45684</v>
      </c>
      <c r="G459" s="3" t="s">
        <v>20</v>
      </c>
      <c r="H459" s="3" t="s">
        <v>60</v>
      </c>
      <c r="I459" s="3" t="s">
        <v>39</v>
      </c>
      <c r="J459" s="3" t="s">
        <v>23</v>
      </c>
      <c r="K459" s="3">
        <v>54</v>
      </c>
      <c r="L459" s="3">
        <v>3</v>
      </c>
      <c r="M459" s="3">
        <v>6525</v>
      </c>
      <c r="N459" s="3">
        <v>19575</v>
      </c>
      <c r="O459" s="3">
        <v>0</v>
      </c>
      <c r="P459" s="3" t="s">
        <v>51</v>
      </c>
      <c r="Q459" s="3">
        <v>1</v>
      </c>
      <c r="R459" s="3" t="str">
        <f t="shared" si="7"/>
        <v>Cancelled</v>
      </c>
      <c r="S459" s="3" t="s">
        <v>25</v>
      </c>
    </row>
    <row r="460" spans="1:19" x14ac:dyDescent="0.35">
      <c r="A460" s="3">
        <v>1459</v>
      </c>
      <c r="B460" s="3" t="s">
        <v>469</v>
      </c>
      <c r="C460" s="4">
        <v>45298</v>
      </c>
      <c r="D460" s="3" t="s">
        <v>94</v>
      </c>
      <c r="E460" s="4">
        <v>45354</v>
      </c>
      <c r="F460" s="4">
        <v>45359</v>
      </c>
      <c r="G460" s="3" t="s">
        <v>45</v>
      </c>
      <c r="H460" s="3" t="s">
        <v>21</v>
      </c>
      <c r="I460" s="3" t="s">
        <v>39</v>
      </c>
      <c r="J460" s="3" t="s">
        <v>30</v>
      </c>
      <c r="K460" s="3">
        <v>56</v>
      </c>
      <c r="L460" s="3">
        <v>5</v>
      </c>
      <c r="M460" s="3">
        <v>5418</v>
      </c>
      <c r="N460" s="3">
        <v>27090</v>
      </c>
      <c r="O460" s="3">
        <v>0</v>
      </c>
      <c r="P460" s="3" t="s">
        <v>24</v>
      </c>
      <c r="Q460" s="3">
        <v>1</v>
      </c>
      <c r="R460" s="3" t="str">
        <f t="shared" si="7"/>
        <v>Cancelled</v>
      </c>
      <c r="S460" s="3" t="s">
        <v>25</v>
      </c>
    </row>
    <row r="461" spans="1:19" x14ac:dyDescent="0.35">
      <c r="A461" s="3">
        <v>1460</v>
      </c>
      <c r="B461" s="3" t="s">
        <v>475</v>
      </c>
      <c r="C461" s="4">
        <v>45305</v>
      </c>
      <c r="D461" s="3" t="s">
        <v>96</v>
      </c>
      <c r="E461" s="4">
        <v>45364</v>
      </c>
      <c r="F461" s="4">
        <v>45369</v>
      </c>
      <c r="G461" s="3" t="s">
        <v>45</v>
      </c>
      <c r="H461" s="3" t="s">
        <v>35</v>
      </c>
      <c r="I461" s="3" t="s">
        <v>39</v>
      </c>
      <c r="J461" s="3" t="s">
        <v>30</v>
      </c>
      <c r="K461" s="3">
        <v>59</v>
      </c>
      <c r="L461" s="3">
        <v>5</v>
      </c>
      <c r="M461" s="3">
        <v>8573</v>
      </c>
      <c r="N461" s="3">
        <v>42865</v>
      </c>
      <c r="O461" s="3">
        <v>0</v>
      </c>
      <c r="P461" s="3" t="s">
        <v>51</v>
      </c>
      <c r="Q461" s="3">
        <v>1</v>
      </c>
      <c r="R461" s="3" t="str">
        <f t="shared" si="7"/>
        <v>Cancelled</v>
      </c>
      <c r="S461" s="3" t="s">
        <v>25</v>
      </c>
    </row>
    <row r="462" spans="1:19" x14ac:dyDescent="0.35">
      <c r="A462" s="3">
        <v>1461</v>
      </c>
      <c r="B462" s="3" t="s">
        <v>476</v>
      </c>
      <c r="C462" s="4">
        <v>45364</v>
      </c>
      <c r="D462" s="3" t="s">
        <v>69</v>
      </c>
      <c r="E462" s="4">
        <v>45397</v>
      </c>
      <c r="F462" s="4">
        <v>45402</v>
      </c>
      <c r="G462" s="3" t="s">
        <v>45</v>
      </c>
      <c r="H462" s="3" t="s">
        <v>60</v>
      </c>
      <c r="I462" s="3" t="s">
        <v>22</v>
      </c>
      <c r="J462" s="3" t="s">
        <v>23</v>
      </c>
      <c r="K462" s="3">
        <v>33</v>
      </c>
      <c r="L462" s="3">
        <v>5</v>
      </c>
      <c r="M462" s="3">
        <v>5042</v>
      </c>
      <c r="N462" s="3">
        <v>25210</v>
      </c>
      <c r="O462" s="3">
        <v>0</v>
      </c>
      <c r="P462" s="3" t="s">
        <v>51</v>
      </c>
      <c r="Q462" s="3">
        <v>1</v>
      </c>
      <c r="R462" s="3" t="str">
        <f t="shared" si="7"/>
        <v>Cancelled</v>
      </c>
      <c r="S462" s="3" t="s">
        <v>31</v>
      </c>
    </row>
    <row r="463" spans="1:19" x14ac:dyDescent="0.35">
      <c r="A463" s="3">
        <v>1462</v>
      </c>
      <c r="B463" s="3" t="s">
        <v>477</v>
      </c>
      <c r="C463" s="4">
        <v>45454</v>
      </c>
      <c r="D463" s="3" t="s">
        <v>78</v>
      </c>
      <c r="E463" s="4">
        <v>45504</v>
      </c>
      <c r="F463" s="4">
        <v>45505</v>
      </c>
      <c r="G463" s="3" t="s">
        <v>34</v>
      </c>
      <c r="H463" s="3" t="s">
        <v>60</v>
      </c>
      <c r="I463" s="3" t="s">
        <v>39</v>
      </c>
      <c r="J463" s="3" t="s">
        <v>46</v>
      </c>
      <c r="K463" s="3">
        <v>50</v>
      </c>
      <c r="L463" s="3">
        <v>1</v>
      </c>
      <c r="M463" s="3">
        <v>4503</v>
      </c>
      <c r="N463" s="3">
        <v>4503</v>
      </c>
      <c r="O463" s="3">
        <v>0</v>
      </c>
      <c r="P463" s="3" t="s">
        <v>24</v>
      </c>
      <c r="Q463" s="3">
        <v>1</v>
      </c>
      <c r="R463" s="3" t="str">
        <f t="shared" si="7"/>
        <v>Cancelled</v>
      </c>
      <c r="S463" s="3" t="s">
        <v>31</v>
      </c>
    </row>
    <row r="464" spans="1:19" x14ac:dyDescent="0.35">
      <c r="A464" s="3">
        <v>1463</v>
      </c>
      <c r="B464" s="3" t="s">
        <v>478</v>
      </c>
      <c r="C464" s="4">
        <v>45357</v>
      </c>
      <c r="D464" s="3" t="s">
        <v>73</v>
      </c>
      <c r="E464" s="4">
        <v>45405</v>
      </c>
      <c r="F464" s="4">
        <v>45410</v>
      </c>
      <c r="G464" s="3" t="s">
        <v>45</v>
      </c>
      <c r="H464" s="3" t="s">
        <v>29</v>
      </c>
      <c r="I464" s="3" t="s">
        <v>39</v>
      </c>
      <c r="J464" s="3" t="s">
        <v>23</v>
      </c>
      <c r="K464" s="3">
        <v>48</v>
      </c>
      <c r="L464" s="3">
        <v>5</v>
      </c>
      <c r="M464" s="3">
        <v>4037</v>
      </c>
      <c r="N464" s="3">
        <v>20185</v>
      </c>
      <c r="O464" s="3">
        <v>0</v>
      </c>
      <c r="P464" s="3" t="s">
        <v>24</v>
      </c>
      <c r="Q464" s="3">
        <v>1</v>
      </c>
      <c r="R464" s="3" t="str">
        <f t="shared" si="7"/>
        <v>Cancelled</v>
      </c>
      <c r="S464" s="3" t="s">
        <v>25</v>
      </c>
    </row>
    <row r="465" spans="1:19" x14ac:dyDescent="0.35">
      <c r="A465" s="3">
        <v>1464</v>
      </c>
      <c r="B465" s="3" t="s">
        <v>479</v>
      </c>
      <c r="C465" s="4">
        <v>45638</v>
      </c>
      <c r="D465" s="3" t="s">
        <v>86</v>
      </c>
      <c r="E465" s="4">
        <v>45679</v>
      </c>
      <c r="F465" s="4">
        <v>45680</v>
      </c>
      <c r="G465" s="3" t="s">
        <v>34</v>
      </c>
      <c r="H465" s="3" t="s">
        <v>35</v>
      </c>
      <c r="I465" s="3" t="s">
        <v>22</v>
      </c>
      <c r="J465" s="3" t="s">
        <v>23</v>
      </c>
      <c r="K465" s="3">
        <v>41</v>
      </c>
      <c r="L465" s="3">
        <v>1</v>
      </c>
      <c r="M465" s="3">
        <v>3254</v>
      </c>
      <c r="N465" s="3">
        <v>3254</v>
      </c>
      <c r="O465" s="3">
        <v>0</v>
      </c>
      <c r="P465" s="3" t="s">
        <v>24</v>
      </c>
      <c r="Q465" s="3">
        <v>1</v>
      </c>
      <c r="R465" s="3" t="str">
        <f t="shared" si="7"/>
        <v>Cancelled</v>
      </c>
      <c r="S465" s="3" t="s">
        <v>31</v>
      </c>
    </row>
    <row r="466" spans="1:19" x14ac:dyDescent="0.35">
      <c r="A466" s="3">
        <v>1465</v>
      </c>
      <c r="B466" s="3" t="s">
        <v>480</v>
      </c>
      <c r="C466" s="4">
        <v>45421</v>
      </c>
      <c r="D466" s="3" t="s">
        <v>109</v>
      </c>
      <c r="E466" s="4">
        <v>45440</v>
      </c>
      <c r="F466" s="4">
        <v>45445</v>
      </c>
      <c r="G466" s="3" t="s">
        <v>45</v>
      </c>
      <c r="H466" s="3" t="s">
        <v>35</v>
      </c>
      <c r="I466" s="3" t="s">
        <v>39</v>
      </c>
      <c r="J466" s="3" t="s">
        <v>30</v>
      </c>
      <c r="K466" s="3">
        <v>19</v>
      </c>
      <c r="L466" s="3">
        <v>5</v>
      </c>
      <c r="M466" s="3">
        <v>5868</v>
      </c>
      <c r="N466" s="3">
        <v>29340</v>
      </c>
      <c r="O466" s="3">
        <v>29340</v>
      </c>
      <c r="P466" s="3" t="s">
        <v>51</v>
      </c>
      <c r="Q466" s="3">
        <v>0</v>
      </c>
      <c r="R466" s="3" t="str">
        <f t="shared" si="7"/>
        <v>Not Cancelled</v>
      </c>
      <c r="S466" s="3" t="s">
        <v>31</v>
      </c>
    </row>
    <row r="467" spans="1:19" x14ac:dyDescent="0.35">
      <c r="A467" s="3">
        <v>1466</v>
      </c>
      <c r="B467" s="3" t="s">
        <v>481</v>
      </c>
      <c r="C467" s="4">
        <v>45497</v>
      </c>
      <c r="D467" s="3" t="s">
        <v>19</v>
      </c>
      <c r="E467" s="4">
        <v>45519</v>
      </c>
      <c r="F467" s="4">
        <v>45520</v>
      </c>
      <c r="G467" s="3" t="s">
        <v>34</v>
      </c>
      <c r="H467" s="3" t="s">
        <v>29</v>
      </c>
      <c r="I467" s="3" t="s">
        <v>22</v>
      </c>
      <c r="J467" s="3" t="s">
        <v>30</v>
      </c>
      <c r="K467" s="3">
        <v>22</v>
      </c>
      <c r="L467" s="3">
        <v>1</v>
      </c>
      <c r="M467" s="3">
        <v>4758</v>
      </c>
      <c r="N467" s="3">
        <v>4758</v>
      </c>
      <c r="O467" s="3">
        <v>4758</v>
      </c>
      <c r="P467" s="3" t="s">
        <v>24</v>
      </c>
      <c r="Q467" s="3">
        <v>0</v>
      </c>
      <c r="R467" s="3" t="str">
        <f t="shared" si="7"/>
        <v>Not Cancelled</v>
      </c>
      <c r="S467" s="3" t="s">
        <v>31</v>
      </c>
    </row>
    <row r="468" spans="1:19" x14ac:dyDescent="0.35">
      <c r="A468" s="3">
        <v>1467</v>
      </c>
      <c r="B468" s="3" t="s">
        <v>482</v>
      </c>
      <c r="C468" s="4">
        <v>45567</v>
      </c>
      <c r="D468" s="3" t="s">
        <v>45</v>
      </c>
      <c r="E468" s="4">
        <v>45572</v>
      </c>
      <c r="F468" s="4">
        <v>45576</v>
      </c>
      <c r="G468" s="3" t="s">
        <v>42</v>
      </c>
      <c r="H468" s="3" t="s">
        <v>21</v>
      </c>
      <c r="I468" s="3" t="s">
        <v>39</v>
      </c>
      <c r="J468" s="3" t="s">
        <v>23</v>
      </c>
      <c r="K468" s="3">
        <v>5</v>
      </c>
      <c r="L468" s="3">
        <v>4</v>
      </c>
      <c r="M468" s="3">
        <v>7742</v>
      </c>
      <c r="N468" s="3">
        <v>30968</v>
      </c>
      <c r="O468" s="3">
        <v>30968</v>
      </c>
      <c r="P468" s="3" t="s">
        <v>51</v>
      </c>
      <c r="Q468" s="3">
        <v>0</v>
      </c>
      <c r="R468" s="3" t="str">
        <f t="shared" si="7"/>
        <v>Not Cancelled</v>
      </c>
      <c r="S468" s="3" t="s">
        <v>31</v>
      </c>
    </row>
    <row r="469" spans="1:19" x14ac:dyDescent="0.35">
      <c r="A469" s="3">
        <v>1468</v>
      </c>
      <c r="B469" s="3" t="s">
        <v>333</v>
      </c>
      <c r="C469" s="4">
        <v>45547</v>
      </c>
      <c r="D469" s="3" t="s">
        <v>96</v>
      </c>
      <c r="E469" s="4">
        <v>45606</v>
      </c>
      <c r="F469" s="4">
        <v>45610</v>
      </c>
      <c r="G469" s="3" t="s">
        <v>42</v>
      </c>
      <c r="H469" s="3" t="s">
        <v>29</v>
      </c>
      <c r="I469" s="3" t="s">
        <v>22</v>
      </c>
      <c r="J469" s="3" t="s">
        <v>46</v>
      </c>
      <c r="K469" s="3">
        <v>59</v>
      </c>
      <c r="L469" s="3">
        <v>4</v>
      </c>
      <c r="M469" s="3">
        <v>6165</v>
      </c>
      <c r="N469" s="3">
        <v>24660</v>
      </c>
      <c r="O469" s="3">
        <v>0</v>
      </c>
      <c r="P469" s="3" t="s">
        <v>24</v>
      </c>
      <c r="Q469" s="3">
        <v>1</v>
      </c>
      <c r="R469" s="3" t="str">
        <f t="shared" si="7"/>
        <v>Cancelled</v>
      </c>
      <c r="S469" s="3" t="s">
        <v>25</v>
      </c>
    </row>
    <row r="470" spans="1:19" x14ac:dyDescent="0.35">
      <c r="A470" s="3">
        <v>1469</v>
      </c>
      <c r="B470" s="3" t="s">
        <v>483</v>
      </c>
      <c r="C470" s="4">
        <v>45557</v>
      </c>
      <c r="D470" s="3" t="s">
        <v>28</v>
      </c>
      <c r="E470" s="4">
        <v>45559</v>
      </c>
      <c r="F470" s="4">
        <v>45562</v>
      </c>
      <c r="G470" s="3" t="s">
        <v>20</v>
      </c>
      <c r="H470" s="3" t="s">
        <v>35</v>
      </c>
      <c r="I470" s="3" t="s">
        <v>39</v>
      </c>
      <c r="J470" s="3" t="s">
        <v>23</v>
      </c>
      <c r="K470" s="3">
        <v>2</v>
      </c>
      <c r="L470" s="3">
        <v>3</v>
      </c>
      <c r="M470" s="3">
        <v>8007</v>
      </c>
      <c r="N470" s="3">
        <v>24021</v>
      </c>
      <c r="O470" s="3">
        <v>24021</v>
      </c>
      <c r="P470" s="3" t="s">
        <v>51</v>
      </c>
      <c r="Q470" s="3">
        <v>0</v>
      </c>
      <c r="R470" s="3" t="str">
        <f t="shared" si="7"/>
        <v>Not Cancelled</v>
      </c>
      <c r="S470" s="3" t="s">
        <v>31</v>
      </c>
    </row>
    <row r="471" spans="1:19" x14ac:dyDescent="0.35">
      <c r="A471" s="3">
        <v>1470</v>
      </c>
      <c r="B471" s="3" t="s">
        <v>484</v>
      </c>
      <c r="C471" s="4">
        <v>45316</v>
      </c>
      <c r="D471" s="3" t="s">
        <v>50</v>
      </c>
      <c r="E471" s="4">
        <v>45346</v>
      </c>
      <c r="F471" s="4">
        <v>45347</v>
      </c>
      <c r="G471" s="3" t="s">
        <v>34</v>
      </c>
      <c r="H471" s="3" t="s">
        <v>21</v>
      </c>
      <c r="I471" s="3" t="s">
        <v>39</v>
      </c>
      <c r="J471" s="3" t="s">
        <v>46</v>
      </c>
      <c r="K471" s="3">
        <v>30</v>
      </c>
      <c r="L471" s="3">
        <v>1</v>
      </c>
      <c r="M471" s="3">
        <v>6735</v>
      </c>
      <c r="N471" s="3">
        <v>6735</v>
      </c>
      <c r="O471" s="3">
        <v>0</v>
      </c>
      <c r="P471" s="3" t="s">
        <v>24</v>
      </c>
      <c r="Q471" s="3">
        <v>1</v>
      </c>
      <c r="R471" s="3" t="str">
        <f t="shared" si="7"/>
        <v>Cancelled</v>
      </c>
      <c r="S471" s="3" t="s">
        <v>25</v>
      </c>
    </row>
    <row r="472" spans="1:19" x14ac:dyDescent="0.35">
      <c r="A472" s="3">
        <v>1471</v>
      </c>
      <c r="B472" s="3" t="s">
        <v>485</v>
      </c>
      <c r="C472" s="4">
        <v>45572</v>
      </c>
      <c r="D472" s="3" t="s">
        <v>148</v>
      </c>
      <c r="E472" s="4">
        <v>45619</v>
      </c>
      <c r="F472" s="4">
        <v>45621</v>
      </c>
      <c r="G472" s="3" t="s">
        <v>28</v>
      </c>
      <c r="H472" s="3" t="s">
        <v>60</v>
      </c>
      <c r="I472" s="3" t="s">
        <v>22</v>
      </c>
      <c r="J472" s="3" t="s">
        <v>23</v>
      </c>
      <c r="K472" s="3">
        <v>47</v>
      </c>
      <c r="L472" s="3">
        <v>2</v>
      </c>
      <c r="M472" s="3">
        <v>3040</v>
      </c>
      <c r="N472" s="3">
        <v>6080</v>
      </c>
      <c r="O472" s="3">
        <v>0</v>
      </c>
      <c r="P472" s="3" t="s">
        <v>24</v>
      </c>
      <c r="Q472" s="3">
        <v>1</v>
      </c>
      <c r="R472" s="3" t="str">
        <f t="shared" si="7"/>
        <v>Cancelled</v>
      </c>
      <c r="S472" s="3" t="s">
        <v>25</v>
      </c>
    </row>
    <row r="473" spans="1:19" x14ac:dyDescent="0.35">
      <c r="A473" s="3">
        <v>1472</v>
      </c>
      <c r="B473" s="3" t="s">
        <v>486</v>
      </c>
      <c r="C473" s="4">
        <v>45544</v>
      </c>
      <c r="D473" s="3" t="s">
        <v>153</v>
      </c>
      <c r="E473" s="4">
        <v>45583</v>
      </c>
      <c r="F473" s="4">
        <v>45586</v>
      </c>
      <c r="G473" s="3" t="s">
        <v>20</v>
      </c>
      <c r="H473" s="3" t="s">
        <v>29</v>
      </c>
      <c r="I473" s="3" t="s">
        <v>22</v>
      </c>
      <c r="J473" s="3" t="s">
        <v>23</v>
      </c>
      <c r="K473" s="3">
        <v>39</v>
      </c>
      <c r="L473" s="3">
        <v>3</v>
      </c>
      <c r="M473" s="3">
        <v>8010</v>
      </c>
      <c r="N473" s="3">
        <v>24030</v>
      </c>
      <c r="O473" s="3">
        <v>24030</v>
      </c>
      <c r="P473" s="3" t="s">
        <v>51</v>
      </c>
      <c r="Q473" s="3">
        <v>0</v>
      </c>
      <c r="R473" s="3" t="str">
        <f t="shared" si="7"/>
        <v>Not Cancelled</v>
      </c>
      <c r="S473" s="3" t="s">
        <v>31</v>
      </c>
    </row>
    <row r="474" spans="1:19" x14ac:dyDescent="0.35">
      <c r="A474" s="3">
        <v>1473</v>
      </c>
      <c r="B474" s="3" t="s">
        <v>487</v>
      </c>
      <c r="C474" s="4">
        <v>45601</v>
      </c>
      <c r="D474" s="3" t="s">
        <v>42</v>
      </c>
      <c r="E474" s="4">
        <v>45605</v>
      </c>
      <c r="F474" s="4">
        <v>45609</v>
      </c>
      <c r="G474" s="3" t="s">
        <v>42</v>
      </c>
      <c r="H474" s="3" t="s">
        <v>21</v>
      </c>
      <c r="I474" s="3" t="s">
        <v>22</v>
      </c>
      <c r="J474" s="3" t="s">
        <v>46</v>
      </c>
      <c r="K474" s="3">
        <v>4</v>
      </c>
      <c r="L474" s="3">
        <v>4</v>
      </c>
      <c r="M474" s="3">
        <v>2769</v>
      </c>
      <c r="N474" s="3">
        <v>11076</v>
      </c>
      <c r="O474" s="3">
        <v>0</v>
      </c>
      <c r="P474" s="3" t="s">
        <v>51</v>
      </c>
      <c r="Q474" s="3">
        <v>1</v>
      </c>
      <c r="R474" s="3" t="str">
        <f t="shared" si="7"/>
        <v>Cancelled</v>
      </c>
      <c r="S474" s="3" t="s">
        <v>25</v>
      </c>
    </row>
    <row r="475" spans="1:19" x14ac:dyDescent="0.35">
      <c r="A475" s="3">
        <v>1474</v>
      </c>
      <c r="B475" s="3" t="s">
        <v>488</v>
      </c>
      <c r="C475" s="4">
        <v>45580</v>
      </c>
      <c r="D475" s="3" t="s">
        <v>69</v>
      </c>
      <c r="E475" s="4">
        <v>45613</v>
      </c>
      <c r="F475" s="4">
        <v>45614</v>
      </c>
      <c r="G475" s="3" t="s">
        <v>34</v>
      </c>
      <c r="H475" s="3" t="s">
        <v>21</v>
      </c>
      <c r="I475" s="3" t="s">
        <v>22</v>
      </c>
      <c r="J475" s="3" t="s">
        <v>23</v>
      </c>
      <c r="K475" s="3">
        <v>33</v>
      </c>
      <c r="L475" s="3">
        <v>1</v>
      </c>
      <c r="M475" s="3">
        <v>7631</v>
      </c>
      <c r="N475" s="3">
        <v>7631</v>
      </c>
      <c r="O475" s="3">
        <v>0</v>
      </c>
      <c r="P475" s="3" t="s">
        <v>24</v>
      </c>
      <c r="Q475" s="3">
        <v>1</v>
      </c>
      <c r="R475" s="3" t="str">
        <f t="shared" si="7"/>
        <v>Cancelled</v>
      </c>
      <c r="S475" s="3" t="s">
        <v>31</v>
      </c>
    </row>
    <row r="476" spans="1:19" x14ac:dyDescent="0.35">
      <c r="A476" s="3">
        <v>1475</v>
      </c>
      <c r="B476" s="3" t="s">
        <v>32</v>
      </c>
      <c r="C476" s="4">
        <v>45455</v>
      </c>
      <c r="D476" s="3" t="s">
        <v>44</v>
      </c>
      <c r="E476" s="4">
        <v>45468</v>
      </c>
      <c r="F476" s="4">
        <v>45473</v>
      </c>
      <c r="G476" s="3" t="s">
        <v>45</v>
      </c>
      <c r="H476" s="3" t="s">
        <v>21</v>
      </c>
      <c r="I476" s="3" t="s">
        <v>22</v>
      </c>
      <c r="J476" s="3" t="s">
        <v>30</v>
      </c>
      <c r="K476" s="3">
        <v>13</v>
      </c>
      <c r="L476" s="3">
        <v>5</v>
      </c>
      <c r="M476" s="3">
        <v>8486</v>
      </c>
      <c r="N476" s="3">
        <v>42430</v>
      </c>
      <c r="O476" s="3">
        <v>0</v>
      </c>
      <c r="P476" s="3" t="s">
        <v>51</v>
      </c>
      <c r="Q476" s="3">
        <v>1</v>
      </c>
      <c r="R476" s="3" t="str">
        <f t="shared" si="7"/>
        <v>Cancelled</v>
      </c>
      <c r="S476" s="3" t="s">
        <v>31</v>
      </c>
    </row>
    <row r="477" spans="1:19" x14ac:dyDescent="0.35">
      <c r="A477" s="3">
        <v>1476</v>
      </c>
      <c r="B477" s="3" t="s">
        <v>295</v>
      </c>
      <c r="C477" s="4">
        <v>45386</v>
      </c>
      <c r="D477" s="3" t="s">
        <v>157</v>
      </c>
      <c r="E477" s="4">
        <v>45406</v>
      </c>
      <c r="F477" s="4">
        <v>45408</v>
      </c>
      <c r="G477" s="3" t="s">
        <v>28</v>
      </c>
      <c r="H477" s="3" t="s">
        <v>29</v>
      </c>
      <c r="I477" s="3" t="s">
        <v>39</v>
      </c>
      <c r="J477" s="3" t="s">
        <v>23</v>
      </c>
      <c r="K477" s="3">
        <v>20</v>
      </c>
      <c r="L477" s="3">
        <v>2</v>
      </c>
      <c r="M477" s="3">
        <v>5960</v>
      </c>
      <c r="N477" s="3">
        <v>11920</v>
      </c>
      <c r="O477" s="3">
        <v>0</v>
      </c>
      <c r="P477" s="3" t="s">
        <v>24</v>
      </c>
      <c r="Q477" s="3">
        <v>1</v>
      </c>
      <c r="R477" s="3" t="str">
        <f t="shared" si="7"/>
        <v>Cancelled</v>
      </c>
      <c r="S477" s="3" t="s">
        <v>25</v>
      </c>
    </row>
    <row r="478" spans="1:19" x14ac:dyDescent="0.35">
      <c r="A478" s="3">
        <v>1477</v>
      </c>
      <c r="B478" s="3" t="s">
        <v>489</v>
      </c>
      <c r="C478" s="4">
        <v>45561</v>
      </c>
      <c r="D478" s="3" t="s">
        <v>117</v>
      </c>
      <c r="E478" s="4">
        <v>45615</v>
      </c>
      <c r="F478" s="4">
        <v>45619</v>
      </c>
      <c r="G478" s="3" t="s">
        <v>42</v>
      </c>
      <c r="H478" s="3" t="s">
        <v>60</v>
      </c>
      <c r="I478" s="3" t="s">
        <v>22</v>
      </c>
      <c r="J478" s="3" t="s">
        <v>30</v>
      </c>
      <c r="K478" s="3">
        <v>54</v>
      </c>
      <c r="L478" s="3">
        <v>4</v>
      </c>
      <c r="M478" s="3">
        <v>5908</v>
      </c>
      <c r="N478" s="3">
        <v>23632</v>
      </c>
      <c r="O478" s="3">
        <v>0</v>
      </c>
      <c r="P478" s="3" t="s">
        <v>51</v>
      </c>
      <c r="Q478" s="3">
        <v>1</v>
      </c>
      <c r="R478" s="3" t="str">
        <f t="shared" si="7"/>
        <v>Cancelled</v>
      </c>
      <c r="S478" s="3" t="s">
        <v>31</v>
      </c>
    </row>
    <row r="479" spans="1:19" x14ac:dyDescent="0.35">
      <c r="A479" s="3">
        <v>1478</v>
      </c>
      <c r="B479" s="3" t="s">
        <v>490</v>
      </c>
      <c r="C479" s="4">
        <v>45612</v>
      </c>
      <c r="D479" s="3" t="s">
        <v>209</v>
      </c>
      <c r="E479" s="4">
        <v>45619</v>
      </c>
      <c r="F479" s="4">
        <v>45622</v>
      </c>
      <c r="G479" s="3" t="s">
        <v>20</v>
      </c>
      <c r="H479" s="3" t="s">
        <v>21</v>
      </c>
      <c r="I479" s="3" t="s">
        <v>22</v>
      </c>
      <c r="J479" s="3" t="s">
        <v>46</v>
      </c>
      <c r="K479" s="3">
        <v>7</v>
      </c>
      <c r="L479" s="3">
        <v>3</v>
      </c>
      <c r="M479" s="3">
        <v>3005</v>
      </c>
      <c r="N479" s="3">
        <v>9015</v>
      </c>
      <c r="O479" s="3">
        <v>9015</v>
      </c>
      <c r="P479" s="3" t="s">
        <v>51</v>
      </c>
      <c r="Q479" s="3">
        <v>0</v>
      </c>
      <c r="R479" s="3" t="str">
        <f t="shared" si="7"/>
        <v>Not Cancelled</v>
      </c>
      <c r="S479" s="3" t="s">
        <v>25</v>
      </c>
    </row>
    <row r="480" spans="1:19" x14ac:dyDescent="0.35">
      <c r="A480" s="3">
        <v>1479</v>
      </c>
      <c r="B480" s="3" t="s">
        <v>491</v>
      </c>
      <c r="C480" s="4">
        <v>45401</v>
      </c>
      <c r="D480" s="3" t="s">
        <v>277</v>
      </c>
      <c r="E480" s="4">
        <v>45416</v>
      </c>
      <c r="F480" s="4">
        <v>45417</v>
      </c>
      <c r="G480" s="3" t="s">
        <v>34</v>
      </c>
      <c r="H480" s="3" t="s">
        <v>29</v>
      </c>
      <c r="I480" s="3" t="s">
        <v>22</v>
      </c>
      <c r="J480" s="3" t="s">
        <v>46</v>
      </c>
      <c r="K480" s="3">
        <v>15</v>
      </c>
      <c r="L480" s="3">
        <v>1</v>
      </c>
      <c r="M480" s="3">
        <v>3629</v>
      </c>
      <c r="N480" s="3">
        <v>3629</v>
      </c>
      <c r="O480" s="3">
        <v>0</v>
      </c>
      <c r="P480" s="3" t="s">
        <v>24</v>
      </c>
      <c r="Q480" s="3">
        <v>1</v>
      </c>
      <c r="R480" s="3" t="str">
        <f t="shared" si="7"/>
        <v>Cancelled</v>
      </c>
      <c r="S480" s="3" t="s">
        <v>25</v>
      </c>
    </row>
    <row r="481" spans="1:19" x14ac:dyDescent="0.35">
      <c r="A481" s="3">
        <v>1480</v>
      </c>
      <c r="B481" s="3" t="s">
        <v>492</v>
      </c>
      <c r="C481" s="4">
        <v>45627</v>
      </c>
      <c r="D481" s="3" t="s">
        <v>111</v>
      </c>
      <c r="E481" s="4">
        <v>45650</v>
      </c>
      <c r="F481" s="4">
        <v>45652</v>
      </c>
      <c r="G481" s="3" t="s">
        <v>28</v>
      </c>
      <c r="H481" s="3" t="s">
        <v>35</v>
      </c>
      <c r="I481" s="3" t="s">
        <v>22</v>
      </c>
      <c r="J481" s="3" t="s">
        <v>30</v>
      </c>
      <c r="K481" s="3">
        <v>23</v>
      </c>
      <c r="L481" s="3">
        <v>2</v>
      </c>
      <c r="M481" s="3">
        <v>4579</v>
      </c>
      <c r="N481" s="3">
        <v>9158</v>
      </c>
      <c r="O481" s="3">
        <v>0</v>
      </c>
      <c r="P481" s="3" t="s">
        <v>24</v>
      </c>
      <c r="Q481" s="3">
        <v>1</v>
      </c>
      <c r="R481" s="3" t="str">
        <f t="shared" si="7"/>
        <v>Cancelled</v>
      </c>
      <c r="S481" s="3" t="s">
        <v>31</v>
      </c>
    </row>
    <row r="482" spans="1:19" x14ac:dyDescent="0.35">
      <c r="A482" s="3">
        <v>1481</v>
      </c>
      <c r="B482" s="3" t="s">
        <v>249</v>
      </c>
      <c r="C482" s="4">
        <v>45601</v>
      </c>
      <c r="D482" s="3" t="s">
        <v>33</v>
      </c>
      <c r="E482" s="4">
        <v>45615</v>
      </c>
      <c r="F482" s="4">
        <v>45616</v>
      </c>
      <c r="G482" s="3" t="s">
        <v>34</v>
      </c>
      <c r="H482" s="3" t="s">
        <v>29</v>
      </c>
      <c r="I482" s="3" t="s">
        <v>39</v>
      </c>
      <c r="J482" s="3" t="s">
        <v>23</v>
      </c>
      <c r="K482" s="3">
        <v>14</v>
      </c>
      <c r="L482" s="3">
        <v>1</v>
      </c>
      <c r="M482" s="3">
        <v>5645</v>
      </c>
      <c r="N482" s="3">
        <v>5645</v>
      </c>
      <c r="O482" s="3">
        <v>0</v>
      </c>
      <c r="P482" s="3" t="s">
        <v>51</v>
      </c>
      <c r="Q482" s="3">
        <v>1</v>
      </c>
      <c r="R482" s="3" t="str">
        <f t="shared" si="7"/>
        <v>Cancelled</v>
      </c>
      <c r="S482" s="3" t="s">
        <v>31</v>
      </c>
    </row>
    <row r="483" spans="1:19" x14ac:dyDescent="0.35">
      <c r="A483" s="3">
        <v>1482</v>
      </c>
      <c r="B483" s="3" t="s">
        <v>493</v>
      </c>
      <c r="C483" s="4">
        <v>45529</v>
      </c>
      <c r="D483" s="3" t="s">
        <v>111</v>
      </c>
      <c r="E483" s="4">
        <v>45552</v>
      </c>
      <c r="F483" s="4">
        <v>45557</v>
      </c>
      <c r="G483" s="3" t="s">
        <v>45</v>
      </c>
      <c r="H483" s="3" t="s">
        <v>29</v>
      </c>
      <c r="I483" s="3" t="s">
        <v>39</v>
      </c>
      <c r="J483" s="3" t="s">
        <v>30</v>
      </c>
      <c r="K483" s="3">
        <v>23</v>
      </c>
      <c r="L483" s="3">
        <v>5</v>
      </c>
      <c r="M483" s="3">
        <v>5742</v>
      </c>
      <c r="N483" s="3">
        <v>28710</v>
      </c>
      <c r="O483" s="3">
        <v>28710</v>
      </c>
      <c r="P483" s="3" t="s">
        <v>51</v>
      </c>
      <c r="Q483" s="3">
        <v>0</v>
      </c>
      <c r="R483" s="3" t="str">
        <f t="shared" si="7"/>
        <v>Not Cancelled</v>
      </c>
      <c r="S483" s="3" t="s">
        <v>31</v>
      </c>
    </row>
    <row r="484" spans="1:19" x14ac:dyDescent="0.35">
      <c r="A484" s="3">
        <v>1483</v>
      </c>
      <c r="B484" s="3" t="s">
        <v>494</v>
      </c>
      <c r="C484" s="4">
        <v>45316</v>
      </c>
      <c r="D484" s="3" t="s">
        <v>109</v>
      </c>
      <c r="E484" s="4">
        <v>45335</v>
      </c>
      <c r="F484" s="4">
        <v>45338</v>
      </c>
      <c r="G484" s="3" t="s">
        <v>20</v>
      </c>
      <c r="H484" s="3" t="s">
        <v>29</v>
      </c>
      <c r="I484" s="3" t="s">
        <v>39</v>
      </c>
      <c r="J484" s="3" t="s">
        <v>30</v>
      </c>
      <c r="K484" s="3">
        <v>19</v>
      </c>
      <c r="L484" s="3">
        <v>3</v>
      </c>
      <c r="M484" s="3">
        <v>8468</v>
      </c>
      <c r="N484" s="3">
        <v>25404</v>
      </c>
      <c r="O484" s="3">
        <v>25404</v>
      </c>
      <c r="P484" s="3" t="s">
        <v>51</v>
      </c>
      <c r="Q484" s="3">
        <v>0</v>
      </c>
      <c r="R484" s="3" t="str">
        <f t="shared" si="7"/>
        <v>Not Cancelled</v>
      </c>
      <c r="S484" s="3" t="s">
        <v>25</v>
      </c>
    </row>
    <row r="485" spans="1:19" x14ac:dyDescent="0.35">
      <c r="A485" s="3">
        <v>1484</v>
      </c>
      <c r="B485" s="3" t="s">
        <v>386</v>
      </c>
      <c r="C485" s="4">
        <v>45432</v>
      </c>
      <c r="D485" s="3" t="s">
        <v>117</v>
      </c>
      <c r="E485" s="4">
        <v>45486</v>
      </c>
      <c r="F485" s="4">
        <v>45487</v>
      </c>
      <c r="G485" s="3" t="s">
        <v>34</v>
      </c>
      <c r="H485" s="3" t="s">
        <v>21</v>
      </c>
      <c r="I485" s="3" t="s">
        <v>39</v>
      </c>
      <c r="J485" s="3" t="s">
        <v>46</v>
      </c>
      <c r="K485" s="3">
        <v>54</v>
      </c>
      <c r="L485" s="3">
        <v>1</v>
      </c>
      <c r="M485" s="3">
        <v>7688</v>
      </c>
      <c r="N485" s="3">
        <v>7688</v>
      </c>
      <c r="O485" s="3">
        <v>0</v>
      </c>
      <c r="P485" s="3" t="s">
        <v>51</v>
      </c>
      <c r="Q485" s="3">
        <v>1</v>
      </c>
      <c r="R485" s="3" t="str">
        <f t="shared" si="7"/>
        <v>Cancelled</v>
      </c>
      <c r="S485" s="3" t="s">
        <v>31</v>
      </c>
    </row>
    <row r="486" spans="1:19" x14ac:dyDescent="0.35">
      <c r="A486" s="3">
        <v>1485</v>
      </c>
      <c r="B486" s="3" t="s">
        <v>495</v>
      </c>
      <c r="C486" s="4">
        <v>45408</v>
      </c>
      <c r="D486" s="3" t="s">
        <v>57</v>
      </c>
      <c r="E486" s="4">
        <v>45437</v>
      </c>
      <c r="F486" s="4">
        <v>45441</v>
      </c>
      <c r="G486" s="3" t="s">
        <v>42</v>
      </c>
      <c r="H486" s="3" t="s">
        <v>29</v>
      </c>
      <c r="I486" s="3" t="s">
        <v>39</v>
      </c>
      <c r="J486" s="3" t="s">
        <v>30</v>
      </c>
      <c r="K486" s="3">
        <v>29</v>
      </c>
      <c r="L486" s="3">
        <v>4</v>
      </c>
      <c r="M486" s="3">
        <v>7408</v>
      </c>
      <c r="N486" s="3">
        <v>29632</v>
      </c>
      <c r="O486" s="3">
        <v>29632</v>
      </c>
      <c r="P486" s="3" t="s">
        <v>24</v>
      </c>
      <c r="Q486" s="3">
        <v>0</v>
      </c>
      <c r="R486" s="3" t="str">
        <f t="shared" si="7"/>
        <v>Not Cancelled</v>
      </c>
      <c r="S486" s="3" t="s">
        <v>25</v>
      </c>
    </row>
    <row r="487" spans="1:19" x14ac:dyDescent="0.35">
      <c r="A487" s="3">
        <v>1486</v>
      </c>
      <c r="B487" s="3" t="s">
        <v>496</v>
      </c>
      <c r="C487" s="4">
        <v>45316</v>
      </c>
      <c r="D487" s="3" t="s">
        <v>94</v>
      </c>
      <c r="E487" s="4">
        <v>45372</v>
      </c>
      <c r="F487" s="4">
        <v>45375</v>
      </c>
      <c r="G487" s="3" t="s">
        <v>20</v>
      </c>
      <c r="H487" s="3" t="s">
        <v>35</v>
      </c>
      <c r="I487" s="3" t="s">
        <v>22</v>
      </c>
      <c r="J487" s="3" t="s">
        <v>23</v>
      </c>
      <c r="K487" s="3">
        <v>56</v>
      </c>
      <c r="L487" s="3">
        <v>3</v>
      </c>
      <c r="M487" s="3">
        <v>2861</v>
      </c>
      <c r="N487" s="3">
        <v>8583</v>
      </c>
      <c r="O487" s="3">
        <v>0</v>
      </c>
      <c r="P487" s="3" t="s">
        <v>24</v>
      </c>
      <c r="Q487" s="3">
        <v>1</v>
      </c>
      <c r="R487" s="3" t="str">
        <f t="shared" si="7"/>
        <v>Cancelled</v>
      </c>
      <c r="S487" s="3" t="s">
        <v>25</v>
      </c>
    </row>
    <row r="488" spans="1:19" x14ac:dyDescent="0.35">
      <c r="A488" s="3">
        <v>1487</v>
      </c>
      <c r="B488" s="3" t="s">
        <v>497</v>
      </c>
      <c r="C488" s="4">
        <v>45370</v>
      </c>
      <c r="D488" s="3" t="s">
        <v>157</v>
      </c>
      <c r="E488" s="4">
        <v>45390</v>
      </c>
      <c r="F488" s="4">
        <v>45394</v>
      </c>
      <c r="G488" s="3" t="s">
        <v>42</v>
      </c>
      <c r="H488" s="3" t="s">
        <v>21</v>
      </c>
      <c r="I488" s="3" t="s">
        <v>39</v>
      </c>
      <c r="J488" s="3" t="s">
        <v>30</v>
      </c>
      <c r="K488" s="3">
        <v>20</v>
      </c>
      <c r="L488" s="3">
        <v>4</v>
      </c>
      <c r="M488" s="3">
        <v>6220</v>
      </c>
      <c r="N488" s="3">
        <v>24880</v>
      </c>
      <c r="O488" s="3">
        <v>0</v>
      </c>
      <c r="P488" s="3" t="s">
        <v>51</v>
      </c>
      <c r="Q488" s="3">
        <v>1</v>
      </c>
      <c r="R488" s="3" t="str">
        <f t="shared" si="7"/>
        <v>Cancelled</v>
      </c>
      <c r="S488" s="3" t="s">
        <v>31</v>
      </c>
    </row>
    <row r="489" spans="1:19" x14ac:dyDescent="0.35">
      <c r="A489" s="3">
        <v>1488</v>
      </c>
      <c r="B489" s="3" t="s">
        <v>498</v>
      </c>
      <c r="C489" s="4">
        <v>45359</v>
      </c>
      <c r="D489" s="3" t="s">
        <v>57</v>
      </c>
      <c r="E489" s="4">
        <v>45388</v>
      </c>
      <c r="F489" s="4">
        <v>45389</v>
      </c>
      <c r="G489" s="3" t="s">
        <v>34</v>
      </c>
      <c r="H489" s="3" t="s">
        <v>35</v>
      </c>
      <c r="I489" s="3" t="s">
        <v>39</v>
      </c>
      <c r="J489" s="3" t="s">
        <v>46</v>
      </c>
      <c r="K489" s="3">
        <v>29</v>
      </c>
      <c r="L489" s="3">
        <v>1</v>
      </c>
      <c r="M489" s="3">
        <v>3956</v>
      </c>
      <c r="N489" s="3">
        <v>3956</v>
      </c>
      <c r="O489" s="3">
        <v>0</v>
      </c>
      <c r="P489" s="3" t="s">
        <v>24</v>
      </c>
      <c r="Q489" s="3">
        <v>1</v>
      </c>
      <c r="R489" s="3" t="str">
        <f t="shared" si="7"/>
        <v>Cancelled</v>
      </c>
      <c r="S489" s="3" t="s">
        <v>31</v>
      </c>
    </row>
    <row r="490" spans="1:19" x14ac:dyDescent="0.35">
      <c r="A490" s="3">
        <v>1489</v>
      </c>
      <c r="B490" s="3" t="s">
        <v>104</v>
      </c>
      <c r="C490" s="4">
        <v>45464</v>
      </c>
      <c r="D490" s="3" t="s">
        <v>159</v>
      </c>
      <c r="E490" s="4">
        <v>45488</v>
      </c>
      <c r="F490" s="4">
        <v>45491</v>
      </c>
      <c r="G490" s="3" t="s">
        <v>20</v>
      </c>
      <c r="H490" s="3" t="s">
        <v>38</v>
      </c>
      <c r="I490" s="3" t="s">
        <v>22</v>
      </c>
      <c r="J490" s="3" t="s">
        <v>23</v>
      </c>
      <c r="K490" s="3">
        <v>24</v>
      </c>
      <c r="L490" s="3">
        <v>3</v>
      </c>
      <c r="M490" s="3">
        <v>7524</v>
      </c>
      <c r="N490" s="3">
        <v>22572</v>
      </c>
      <c r="O490" s="3">
        <v>0</v>
      </c>
      <c r="P490" s="3" t="s">
        <v>51</v>
      </c>
      <c r="Q490" s="3">
        <v>1</v>
      </c>
      <c r="R490" s="3" t="str">
        <f t="shared" si="7"/>
        <v>Cancelled</v>
      </c>
      <c r="S490" s="3" t="s">
        <v>31</v>
      </c>
    </row>
    <row r="491" spans="1:19" x14ac:dyDescent="0.35">
      <c r="A491" s="3">
        <v>1490</v>
      </c>
      <c r="B491" s="3" t="s">
        <v>499</v>
      </c>
      <c r="C491" s="4">
        <v>45303</v>
      </c>
      <c r="D491" s="3" t="s">
        <v>27</v>
      </c>
      <c r="E491" s="4">
        <v>45321</v>
      </c>
      <c r="F491" s="4">
        <v>45325</v>
      </c>
      <c r="G491" s="3" t="s">
        <v>42</v>
      </c>
      <c r="H491" s="3" t="s">
        <v>29</v>
      </c>
      <c r="I491" s="3" t="s">
        <v>22</v>
      </c>
      <c r="J491" s="3" t="s">
        <v>46</v>
      </c>
      <c r="K491" s="3">
        <v>18</v>
      </c>
      <c r="L491" s="3">
        <v>4</v>
      </c>
      <c r="M491" s="3">
        <v>6567</v>
      </c>
      <c r="N491" s="3">
        <v>26268</v>
      </c>
      <c r="O491" s="3">
        <v>0</v>
      </c>
      <c r="P491" s="3" t="s">
        <v>51</v>
      </c>
      <c r="Q491" s="3">
        <v>1</v>
      </c>
      <c r="R491" s="3" t="str">
        <f t="shared" si="7"/>
        <v>Cancelled</v>
      </c>
      <c r="S491" s="3" t="s">
        <v>25</v>
      </c>
    </row>
    <row r="492" spans="1:19" x14ac:dyDescent="0.35">
      <c r="A492" s="3">
        <v>1491</v>
      </c>
      <c r="B492" s="3" t="s">
        <v>336</v>
      </c>
      <c r="C492" s="4">
        <v>45579</v>
      </c>
      <c r="D492" s="3" t="s">
        <v>37</v>
      </c>
      <c r="E492" s="4">
        <v>45589</v>
      </c>
      <c r="F492" s="4">
        <v>45594</v>
      </c>
      <c r="G492" s="3" t="s">
        <v>45</v>
      </c>
      <c r="H492" s="3" t="s">
        <v>21</v>
      </c>
      <c r="I492" s="3" t="s">
        <v>39</v>
      </c>
      <c r="J492" s="3" t="s">
        <v>30</v>
      </c>
      <c r="K492" s="3">
        <v>10</v>
      </c>
      <c r="L492" s="3">
        <v>5</v>
      </c>
      <c r="M492" s="3">
        <v>6695</v>
      </c>
      <c r="N492" s="3">
        <v>33475</v>
      </c>
      <c r="O492" s="3">
        <v>33475</v>
      </c>
      <c r="P492" s="3" t="s">
        <v>51</v>
      </c>
      <c r="Q492" s="3">
        <v>0</v>
      </c>
      <c r="R492" s="3" t="str">
        <f t="shared" si="7"/>
        <v>Not Cancelled</v>
      </c>
      <c r="S492" s="3" t="s">
        <v>31</v>
      </c>
    </row>
    <row r="493" spans="1:19" x14ac:dyDescent="0.35">
      <c r="A493" s="3">
        <v>1492</v>
      </c>
      <c r="B493" s="3" t="s">
        <v>500</v>
      </c>
      <c r="C493" s="4">
        <v>45419</v>
      </c>
      <c r="D493" s="3" t="s">
        <v>86</v>
      </c>
      <c r="E493" s="4">
        <v>45460</v>
      </c>
      <c r="F493" s="4">
        <v>45465</v>
      </c>
      <c r="G493" s="3" t="s">
        <v>45</v>
      </c>
      <c r="H493" s="3" t="s">
        <v>21</v>
      </c>
      <c r="I493" s="3" t="s">
        <v>39</v>
      </c>
      <c r="J493" s="3" t="s">
        <v>30</v>
      </c>
      <c r="K493" s="3">
        <v>41</v>
      </c>
      <c r="L493" s="3">
        <v>5</v>
      </c>
      <c r="M493" s="3">
        <v>4181</v>
      </c>
      <c r="N493" s="3">
        <v>20905</v>
      </c>
      <c r="O493" s="3">
        <v>0</v>
      </c>
      <c r="P493" s="3" t="s">
        <v>24</v>
      </c>
      <c r="Q493" s="3">
        <v>1</v>
      </c>
      <c r="R493" s="3" t="str">
        <f t="shared" si="7"/>
        <v>Cancelled</v>
      </c>
      <c r="S493" s="3" t="s">
        <v>25</v>
      </c>
    </row>
    <row r="494" spans="1:19" x14ac:dyDescent="0.35">
      <c r="A494" s="3">
        <v>1493</v>
      </c>
      <c r="B494" s="3" t="s">
        <v>501</v>
      </c>
      <c r="C494" s="4">
        <v>45387</v>
      </c>
      <c r="D494" s="3" t="s">
        <v>100</v>
      </c>
      <c r="E494" s="4">
        <v>45444</v>
      </c>
      <c r="F494" s="4">
        <v>45445</v>
      </c>
      <c r="G494" s="3" t="s">
        <v>34</v>
      </c>
      <c r="H494" s="3" t="s">
        <v>29</v>
      </c>
      <c r="I494" s="3" t="s">
        <v>22</v>
      </c>
      <c r="J494" s="3" t="s">
        <v>46</v>
      </c>
      <c r="K494" s="3">
        <v>57</v>
      </c>
      <c r="L494" s="3">
        <v>1</v>
      </c>
      <c r="M494" s="3">
        <v>8652</v>
      </c>
      <c r="N494" s="3">
        <v>8652</v>
      </c>
      <c r="O494" s="3">
        <v>0</v>
      </c>
      <c r="P494" s="3" t="s">
        <v>51</v>
      </c>
      <c r="Q494" s="3">
        <v>1</v>
      </c>
      <c r="R494" s="3" t="str">
        <f t="shared" si="7"/>
        <v>Cancelled</v>
      </c>
      <c r="S494" s="3" t="s">
        <v>31</v>
      </c>
    </row>
    <row r="495" spans="1:19" x14ac:dyDescent="0.35">
      <c r="A495" s="3">
        <v>1494</v>
      </c>
      <c r="B495" s="3" t="s">
        <v>502</v>
      </c>
      <c r="C495" s="4">
        <v>45383</v>
      </c>
      <c r="D495" s="3" t="s">
        <v>59</v>
      </c>
      <c r="E495" s="4">
        <v>45391</v>
      </c>
      <c r="F495" s="4">
        <v>45394</v>
      </c>
      <c r="G495" s="3" t="s">
        <v>20</v>
      </c>
      <c r="H495" s="3" t="s">
        <v>60</v>
      </c>
      <c r="I495" s="3" t="s">
        <v>39</v>
      </c>
      <c r="J495" s="3" t="s">
        <v>46</v>
      </c>
      <c r="K495" s="3">
        <v>8</v>
      </c>
      <c r="L495" s="3">
        <v>3</v>
      </c>
      <c r="M495" s="3">
        <v>3552</v>
      </c>
      <c r="N495" s="3">
        <v>10656</v>
      </c>
      <c r="O495" s="3">
        <v>0</v>
      </c>
      <c r="P495" s="3" t="s">
        <v>24</v>
      </c>
      <c r="Q495" s="3">
        <v>1</v>
      </c>
      <c r="R495" s="3" t="str">
        <f t="shared" si="7"/>
        <v>Cancelled</v>
      </c>
      <c r="S495" s="3" t="s">
        <v>31</v>
      </c>
    </row>
    <row r="496" spans="1:19" x14ac:dyDescent="0.35">
      <c r="A496" s="3">
        <v>1495</v>
      </c>
      <c r="B496" s="3" t="s">
        <v>503</v>
      </c>
      <c r="C496" s="4">
        <v>45432</v>
      </c>
      <c r="D496" s="3" t="s">
        <v>98</v>
      </c>
      <c r="E496" s="4">
        <v>45458</v>
      </c>
      <c r="F496" s="4">
        <v>45460</v>
      </c>
      <c r="G496" s="3" t="s">
        <v>28</v>
      </c>
      <c r="H496" s="3" t="s">
        <v>60</v>
      </c>
      <c r="I496" s="3" t="s">
        <v>22</v>
      </c>
      <c r="J496" s="3" t="s">
        <v>23</v>
      </c>
      <c r="K496" s="3">
        <v>26</v>
      </c>
      <c r="L496" s="3">
        <v>2</v>
      </c>
      <c r="M496" s="3">
        <v>5009</v>
      </c>
      <c r="N496" s="3">
        <v>10018</v>
      </c>
      <c r="O496" s="3">
        <v>0</v>
      </c>
      <c r="P496" s="3" t="s">
        <v>24</v>
      </c>
      <c r="Q496" s="3">
        <v>1</v>
      </c>
      <c r="R496" s="3" t="str">
        <f t="shared" si="7"/>
        <v>Cancelled</v>
      </c>
      <c r="S496" s="3" t="s">
        <v>25</v>
      </c>
    </row>
    <row r="497" spans="1:19" x14ac:dyDescent="0.35">
      <c r="A497" s="3">
        <v>1496</v>
      </c>
      <c r="B497" s="3" t="s">
        <v>504</v>
      </c>
      <c r="C497" s="4">
        <v>45322</v>
      </c>
      <c r="D497" s="3" t="s">
        <v>57</v>
      </c>
      <c r="E497" s="4">
        <v>45351</v>
      </c>
      <c r="F497" s="4">
        <v>45354</v>
      </c>
      <c r="G497" s="3" t="s">
        <v>20</v>
      </c>
      <c r="H497" s="3" t="s">
        <v>35</v>
      </c>
      <c r="I497" s="3" t="s">
        <v>22</v>
      </c>
      <c r="J497" s="3" t="s">
        <v>46</v>
      </c>
      <c r="K497" s="3">
        <v>29</v>
      </c>
      <c r="L497" s="3">
        <v>3</v>
      </c>
      <c r="M497" s="3">
        <v>7516</v>
      </c>
      <c r="N497" s="3">
        <v>22548</v>
      </c>
      <c r="O497" s="3">
        <v>0</v>
      </c>
      <c r="P497" s="3" t="s">
        <v>51</v>
      </c>
      <c r="Q497" s="3">
        <v>1</v>
      </c>
      <c r="R497" s="3" t="str">
        <f t="shared" si="7"/>
        <v>Cancelled</v>
      </c>
      <c r="S497" s="3" t="s">
        <v>25</v>
      </c>
    </row>
    <row r="498" spans="1:19" x14ac:dyDescent="0.35">
      <c r="A498" s="3">
        <v>1497</v>
      </c>
      <c r="B498" s="3" t="s">
        <v>505</v>
      </c>
      <c r="C498" s="4">
        <v>45625</v>
      </c>
      <c r="D498" s="3" t="s">
        <v>37</v>
      </c>
      <c r="E498" s="4">
        <v>45635</v>
      </c>
      <c r="F498" s="4">
        <v>45640</v>
      </c>
      <c r="G498" s="3" t="s">
        <v>45</v>
      </c>
      <c r="H498" s="3" t="s">
        <v>29</v>
      </c>
      <c r="I498" s="3" t="s">
        <v>39</v>
      </c>
      <c r="J498" s="3" t="s">
        <v>46</v>
      </c>
      <c r="K498" s="3">
        <v>10</v>
      </c>
      <c r="L498" s="3">
        <v>5</v>
      </c>
      <c r="M498" s="3">
        <v>7227</v>
      </c>
      <c r="N498" s="3">
        <v>36135</v>
      </c>
      <c r="O498" s="3">
        <v>36135</v>
      </c>
      <c r="P498" s="3" t="s">
        <v>24</v>
      </c>
      <c r="Q498" s="3">
        <v>0</v>
      </c>
      <c r="R498" s="3" t="str">
        <f t="shared" si="7"/>
        <v>Not Cancelled</v>
      </c>
      <c r="S498" s="3" t="s">
        <v>31</v>
      </c>
    </row>
    <row r="499" spans="1:19" x14ac:dyDescent="0.35">
      <c r="A499" s="3">
        <v>1498</v>
      </c>
      <c r="B499" s="3" t="s">
        <v>323</v>
      </c>
      <c r="C499" s="4">
        <v>45311</v>
      </c>
      <c r="D499" s="3" t="s">
        <v>71</v>
      </c>
      <c r="E499" s="4">
        <v>45328</v>
      </c>
      <c r="F499" s="4">
        <v>45332</v>
      </c>
      <c r="G499" s="3" t="s">
        <v>42</v>
      </c>
      <c r="H499" s="3" t="s">
        <v>29</v>
      </c>
      <c r="I499" s="3" t="s">
        <v>39</v>
      </c>
      <c r="J499" s="3" t="s">
        <v>30</v>
      </c>
      <c r="K499" s="3">
        <v>17</v>
      </c>
      <c r="L499" s="3">
        <v>4</v>
      </c>
      <c r="M499" s="3">
        <v>3181</v>
      </c>
      <c r="N499" s="3">
        <v>12724</v>
      </c>
      <c r="O499" s="3">
        <v>12724</v>
      </c>
      <c r="P499" s="3" t="s">
        <v>51</v>
      </c>
      <c r="Q499" s="3">
        <v>0</v>
      </c>
      <c r="R499" s="3" t="str">
        <f t="shared" si="7"/>
        <v>Not Cancelled</v>
      </c>
      <c r="S499" s="3" t="s">
        <v>31</v>
      </c>
    </row>
    <row r="500" spans="1:19" x14ac:dyDescent="0.35">
      <c r="A500" s="3">
        <v>1499</v>
      </c>
      <c r="B500" s="3" t="s">
        <v>506</v>
      </c>
      <c r="C500" s="4">
        <v>45437</v>
      </c>
      <c r="D500" s="3" t="s">
        <v>28</v>
      </c>
      <c r="E500" s="4">
        <v>45439</v>
      </c>
      <c r="F500" s="4">
        <v>45441</v>
      </c>
      <c r="G500" s="3" t="s">
        <v>28</v>
      </c>
      <c r="H500" s="3" t="s">
        <v>38</v>
      </c>
      <c r="I500" s="3" t="s">
        <v>39</v>
      </c>
      <c r="J500" s="3" t="s">
        <v>30</v>
      </c>
      <c r="K500" s="3">
        <v>2</v>
      </c>
      <c r="L500" s="3">
        <v>2</v>
      </c>
      <c r="M500" s="3">
        <v>8800</v>
      </c>
      <c r="N500" s="3">
        <v>17600</v>
      </c>
      <c r="O500" s="3">
        <v>17600</v>
      </c>
      <c r="P500" s="3" t="s">
        <v>51</v>
      </c>
      <c r="Q500" s="3">
        <v>0</v>
      </c>
      <c r="R500" s="3" t="str">
        <f t="shared" si="7"/>
        <v>Not Cancelled</v>
      </c>
      <c r="S500" s="3" t="s">
        <v>31</v>
      </c>
    </row>
    <row r="501" spans="1:19" x14ac:dyDescent="0.35">
      <c r="A501" s="3">
        <v>1500</v>
      </c>
      <c r="B501" s="3" t="s">
        <v>507</v>
      </c>
      <c r="C501" s="4">
        <v>45607</v>
      </c>
      <c r="D501" s="3" t="s">
        <v>55</v>
      </c>
      <c r="E501" s="4">
        <v>45613</v>
      </c>
      <c r="F501" s="4">
        <v>45614</v>
      </c>
      <c r="G501" s="3" t="s">
        <v>34</v>
      </c>
      <c r="H501" s="3" t="s">
        <v>60</v>
      </c>
      <c r="I501" s="3" t="s">
        <v>22</v>
      </c>
      <c r="J501" s="3" t="s">
        <v>46</v>
      </c>
      <c r="K501" s="3">
        <v>6</v>
      </c>
      <c r="L501" s="3">
        <v>1</v>
      </c>
      <c r="M501" s="3">
        <v>8978</v>
      </c>
      <c r="N501" s="3">
        <v>8978</v>
      </c>
      <c r="O501" s="3">
        <v>0</v>
      </c>
      <c r="P501" s="3" t="s">
        <v>24</v>
      </c>
      <c r="Q501" s="3">
        <v>1</v>
      </c>
      <c r="R501" s="3" t="str">
        <f t="shared" si="7"/>
        <v>Cancelled</v>
      </c>
      <c r="S501" s="3" t="s">
        <v>31</v>
      </c>
    </row>
    <row r="502" spans="1:19" x14ac:dyDescent="0.35">
      <c r="A502" s="3">
        <v>1501</v>
      </c>
      <c r="B502" s="3" t="s">
        <v>508</v>
      </c>
      <c r="C502" s="4">
        <v>45451</v>
      </c>
      <c r="D502" s="3" t="s">
        <v>237</v>
      </c>
      <c r="E502" s="4">
        <v>45509</v>
      </c>
      <c r="F502" s="4">
        <v>45511</v>
      </c>
      <c r="G502" s="3" t="s">
        <v>28</v>
      </c>
      <c r="H502" s="3" t="s">
        <v>60</v>
      </c>
      <c r="I502" s="3" t="s">
        <v>22</v>
      </c>
      <c r="J502" s="3" t="s">
        <v>46</v>
      </c>
      <c r="K502" s="3">
        <v>58</v>
      </c>
      <c r="L502" s="3">
        <v>2</v>
      </c>
      <c r="M502" s="3">
        <v>6432</v>
      </c>
      <c r="N502" s="3">
        <v>12864</v>
      </c>
      <c r="O502" s="3">
        <v>0</v>
      </c>
      <c r="P502" s="3" t="s">
        <v>51</v>
      </c>
      <c r="Q502" s="3">
        <v>1</v>
      </c>
      <c r="R502" s="3" t="str">
        <f t="shared" si="7"/>
        <v>Cancelled</v>
      </c>
      <c r="S502" s="3" t="s">
        <v>31</v>
      </c>
    </row>
    <row r="503" spans="1:19" x14ac:dyDescent="0.35">
      <c r="A503" s="3">
        <v>1502</v>
      </c>
      <c r="B503" s="3" t="s">
        <v>509</v>
      </c>
      <c r="C503" s="4">
        <v>45640</v>
      </c>
      <c r="D503" s="3" t="s">
        <v>45</v>
      </c>
      <c r="E503" s="4">
        <v>45645</v>
      </c>
      <c r="F503" s="4">
        <v>45646</v>
      </c>
      <c r="G503" s="3" t="s">
        <v>34</v>
      </c>
      <c r="H503" s="3" t="s">
        <v>29</v>
      </c>
      <c r="I503" s="3" t="s">
        <v>39</v>
      </c>
      <c r="J503" s="3" t="s">
        <v>30</v>
      </c>
      <c r="K503" s="3">
        <v>5</v>
      </c>
      <c r="L503" s="3">
        <v>1</v>
      </c>
      <c r="M503" s="3">
        <v>8903</v>
      </c>
      <c r="N503" s="3">
        <v>8903</v>
      </c>
      <c r="O503" s="3">
        <v>0</v>
      </c>
      <c r="P503" s="3" t="s">
        <v>24</v>
      </c>
      <c r="Q503" s="3">
        <v>1</v>
      </c>
      <c r="R503" s="3" t="str">
        <f t="shared" si="7"/>
        <v>Cancelled</v>
      </c>
      <c r="S503" s="3" t="s">
        <v>25</v>
      </c>
    </row>
    <row r="504" spans="1:19" x14ac:dyDescent="0.35">
      <c r="A504" s="3">
        <v>1503</v>
      </c>
      <c r="B504" s="3" t="s">
        <v>510</v>
      </c>
      <c r="C504" s="4">
        <v>45334</v>
      </c>
      <c r="D504" s="3" t="s">
        <v>82</v>
      </c>
      <c r="E504" s="4">
        <v>45362</v>
      </c>
      <c r="F504" s="4">
        <v>45364</v>
      </c>
      <c r="G504" s="3" t="s">
        <v>28</v>
      </c>
      <c r="H504" s="3" t="s">
        <v>35</v>
      </c>
      <c r="I504" s="3" t="s">
        <v>39</v>
      </c>
      <c r="J504" s="3" t="s">
        <v>23</v>
      </c>
      <c r="K504" s="3">
        <v>28</v>
      </c>
      <c r="L504" s="3">
        <v>2</v>
      </c>
      <c r="M504" s="3">
        <v>4629</v>
      </c>
      <c r="N504" s="3">
        <v>9258</v>
      </c>
      <c r="O504" s="3">
        <v>0</v>
      </c>
      <c r="P504" s="3" t="s">
        <v>24</v>
      </c>
      <c r="Q504" s="3">
        <v>1</v>
      </c>
      <c r="R504" s="3" t="str">
        <f t="shared" si="7"/>
        <v>Cancelled</v>
      </c>
      <c r="S504" s="3" t="s">
        <v>25</v>
      </c>
    </row>
    <row r="505" spans="1:19" x14ac:dyDescent="0.35">
      <c r="A505" s="3">
        <v>1504</v>
      </c>
      <c r="B505" s="3" t="s">
        <v>63</v>
      </c>
      <c r="C505" s="4">
        <v>45545</v>
      </c>
      <c r="D505" s="3" t="s">
        <v>86</v>
      </c>
      <c r="E505" s="4">
        <v>45586</v>
      </c>
      <c r="F505" s="4">
        <v>45587</v>
      </c>
      <c r="G505" s="3" t="s">
        <v>34</v>
      </c>
      <c r="H505" s="3" t="s">
        <v>29</v>
      </c>
      <c r="I505" s="3" t="s">
        <v>39</v>
      </c>
      <c r="J505" s="3" t="s">
        <v>23</v>
      </c>
      <c r="K505" s="3">
        <v>41</v>
      </c>
      <c r="L505" s="3">
        <v>1</v>
      </c>
      <c r="M505" s="3">
        <v>7349</v>
      </c>
      <c r="N505" s="3">
        <v>7349</v>
      </c>
      <c r="O505" s="3">
        <v>0</v>
      </c>
      <c r="P505" s="3" t="s">
        <v>24</v>
      </c>
      <c r="Q505" s="3">
        <v>1</v>
      </c>
      <c r="R505" s="3" t="str">
        <f t="shared" si="7"/>
        <v>Cancelled</v>
      </c>
      <c r="S505" s="3" t="s">
        <v>25</v>
      </c>
    </row>
    <row r="506" spans="1:19" x14ac:dyDescent="0.35">
      <c r="A506" s="3">
        <v>1505</v>
      </c>
      <c r="B506" s="3" t="s">
        <v>477</v>
      </c>
      <c r="C506" s="4">
        <v>45421</v>
      </c>
      <c r="D506" s="3" t="s">
        <v>45</v>
      </c>
      <c r="E506" s="4">
        <v>45426</v>
      </c>
      <c r="F506" s="4">
        <v>45427</v>
      </c>
      <c r="G506" s="3" t="s">
        <v>34</v>
      </c>
      <c r="H506" s="3" t="s">
        <v>35</v>
      </c>
      <c r="I506" s="3" t="s">
        <v>22</v>
      </c>
      <c r="J506" s="3" t="s">
        <v>23</v>
      </c>
      <c r="K506" s="3">
        <v>5</v>
      </c>
      <c r="L506" s="3">
        <v>1</v>
      </c>
      <c r="M506" s="3">
        <v>8060</v>
      </c>
      <c r="N506" s="3">
        <v>8060</v>
      </c>
      <c r="O506" s="3">
        <v>0</v>
      </c>
      <c r="P506" s="3" t="s">
        <v>51</v>
      </c>
      <c r="Q506" s="3">
        <v>1</v>
      </c>
      <c r="R506" s="3" t="str">
        <f t="shared" si="7"/>
        <v>Cancelled</v>
      </c>
      <c r="S506" s="3" t="s">
        <v>25</v>
      </c>
    </row>
    <row r="507" spans="1:19" x14ac:dyDescent="0.35">
      <c r="A507" s="3">
        <v>1506</v>
      </c>
      <c r="B507" s="3" t="s">
        <v>511</v>
      </c>
      <c r="C507" s="4">
        <v>45351</v>
      </c>
      <c r="D507" s="3" t="s">
        <v>27</v>
      </c>
      <c r="E507" s="4">
        <v>45369</v>
      </c>
      <c r="F507" s="4">
        <v>45371</v>
      </c>
      <c r="G507" s="3" t="s">
        <v>28</v>
      </c>
      <c r="H507" s="3" t="s">
        <v>60</v>
      </c>
      <c r="I507" s="3" t="s">
        <v>22</v>
      </c>
      <c r="J507" s="3" t="s">
        <v>23</v>
      </c>
      <c r="K507" s="3">
        <v>18</v>
      </c>
      <c r="L507" s="3">
        <v>2</v>
      </c>
      <c r="M507" s="3">
        <v>6516</v>
      </c>
      <c r="N507" s="3">
        <v>13032</v>
      </c>
      <c r="O507" s="3">
        <v>13032</v>
      </c>
      <c r="P507" s="3" t="s">
        <v>24</v>
      </c>
      <c r="Q507" s="3">
        <v>0</v>
      </c>
      <c r="R507" s="3" t="str">
        <f t="shared" si="7"/>
        <v>Not Cancelled</v>
      </c>
      <c r="S507" s="3" t="s">
        <v>31</v>
      </c>
    </row>
    <row r="508" spans="1:19" x14ac:dyDescent="0.35">
      <c r="A508" s="3">
        <v>1507</v>
      </c>
      <c r="B508" s="3" t="s">
        <v>512</v>
      </c>
      <c r="C508" s="4">
        <v>45442</v>
      </c>
      <c r="D508" s="3" t="s">
        <v>98</v>
      </c>
      <c r="E508" s="4">
        <v>45468</v>
      </c>
      <c r="F508" s="4">
        <v>45470</v>
      </c>
      <c r="G508" s="3" t="s">
        <v>28</v>
      </c>
      <c r="H508" s="3" t="s">
        <v>38</v>
      </c>
      <c r="I508" s="3" t="s">
        <v>22</v>
      </c>
      <c r="J508" s="3" t="s">
        <v>30</v>
      </c>
      <c r="K508" s="3">
        <v>26</v>
      </c>
      <c r="L508" s="3">
        <v>2</v>
      </c>
      <c r="M508" s="3">
        <v>5802</v>
      </c>
      <c r="N508" s="3">
        <v>11604</v>
      </c>
      <c r="O508" s="3">
        <v>0</v>
      </c>
      <c r="P508" s="3" t="s">
        <v>51</v>
      </c>
      <c r="Q508" s="3">
        <v>1</v>
      </c>
      <c r="R508" s="3" t="str">
        <f t="shared" si="7"/>
        <v>Cancelled</v>
      </c>
      <c r="S508" s="3" t="s">
        <v>25</v>
      </c>
    </row>
    <row r="509" spans="1:19" x14ac:dyDescent="0.35">
      <c r="A509" s="3">
        <v>1508</v>
      </c>
      <c r="B509" s="3" t="s">
        <v>513</v>
      </c>
      <c r="C509" s="4">
        <v>45578</v>
      </c>
      <c r="D509" s="3" t="s">
        <v>157</v>
      </c>
      <c r="E509" s="4">
        <v>45598</v>
      </c>
      <c r="F509" s="4">
        <v>45599</v>
      </c>
      <c r="G509" s="3" t="s">
        <v>34</v>
      </c>
      <c r="H509" s="3" t="s">
        <v>21</v>
      </c>
      <c r="I509" s="3" t="s">
        <v>39</v>
      </c>
      <c r="J509" s="3" t="s">
        <v>46</v>
      </c>
      <c r="K509" s="3">
        <v>20</v>
      </c>
      <c r="L509" s="3">
        <v>1</v>
      </c>
      <c r="M509" s="3">
        <v>3219</v>
      </c>
      <c r="N509" s="3">
        <v>3219</v>
      </c>
      <c r="O509" s="3">
        <v>3219</v>
      </c>
      <c r="P509" s="3" t="s">
        <v>51</v>
      </c>
      <c r="Q509" s="3">
        <v>0</v>
      </c>
      <c r="R509" s="3" t="str">
        <f t="shared" si="7"/>
        <v>Not Cancelled</v>
      </c>
      <c r="S509" s="3" t="s">
        <v>25</v>
      </c>
    </row>
    <row r="510" spans="1:19" x14ac:dyDescent="0.35">
      <c r="A510" s="3">
        <v>1509</v>
      </c>
      <c r="B510" s="3" t="s">
        <v>280</v>
      </c>
      <c r="C510" s="4">
        <v>45296</v>
      </c>
      <c r="D510" s="3" t="s">
        <v>86</v>
      </c>
      <c r="E510" s="4">
        <v>45337</v>
      </c>
      <c r="F510" s="4">
        <v>45342</v>
      </c>
      <c r="G510" s="3" t="s">
        <v>45</v>
      </c>
      <c r="H510" s="3" t="s">
        <v>60</v>
      </c>
      <c r="I510" s="3" t="s">
        <v>22</v>
      </c>
      <c r="J510" s="3" t="s">
        <v>23</v>
      </c>
      <c r="K510" s="3">
        <v>41</v>
      </c>
      <c r="L510" s="3">
        <v>5</v>
      </c>
      <c r="M510" s="3">
        <v>2574</v>
      </c>
      <c r="N510" s="3">
        <v>12870</v>
      </c>
      <c r="O510" s="3">
        <v>0</v>
      </c>
      <c r="P510" s="3" t="s">
        <v>24</v>
      </c>
      <c r="Q510" s="3">
        <v>1</v>
      </c>
      <c r="R510" s="3" t="str">
        <f t="shared" si="7"/>
        <v>Cancelled</v>
      </c>
      <c r="S510" s="3" t="s">
        <v>25</v>
      </c>
    </row>
    <row r="511" spans="1:19" x14ac:dyDescent="0.35">
      <c r="A511" s="3">
        <v>1510</v>
      </c>
      <c r="B511" s="3" t="s">
        <v>514</v>
      </c>
      <c r="C511" s="4">
        <v>45557</v>
      </c>
      <c r="D511" s="3" t="s">
        <v>211</v>
      </c>
      <c r="E511" s="4">
        <v>45606</v>
      </c>
      <c r="F511" s="4">
        <v>45608</v>
      </c>
      <c r="G511" s="3" t="s">
        <v>28</v>
      </c>
      <c r="H511" s="3" t="s">
        <v>35</v>
      </c>
      <c r="I511" s="3" t="s">
        <v>22</v>
      </c>
      <c r="J511" s="3" t="s">
        <v>30</v>
      </c>
      <c r="K511" s="3">
        <v>49</v>
      </c>
      <c r="L511" s="3">
        <v>2</v>
      </c>
      <c r="M511" s="3">
        <v>3793</v>
      </c>
      <c r="N511" s="3">
        <v>7586</v>
      </c>
      <c r="O511" s="3">
        <v>0</v>
      </c>
      <c r="P511" s="3" t="s">
        <v>24</v>
      </c>
      <c r="Q511" s="3">
        <v>1</v>
      </c>
      <c r="R511" s="3" t="str">
        <f t="shared" si="7"/>
        <v>Cancelled</v>
      </c>
      <c r="S511" s="3" t="s">
        <v>31</v>
      </c>
    </row>
    <row r="512" spans="1:19" x14ac:dyDescent="0.35">
      <c r="A512" s="3">
        <v>1511</v>
      </c>
      <c r="B512" s="3" t="s">
        <v>515</v>
      </c>
      <c r="C512" s="4">
        <v>45636</v>
      </c>
      <c r="D512" s="3" t="s">
        <v>185</v>
      </c>
      <c r="E512" s="4">
        <v>45663</v>
      </c>
      <c r="F512" s="4">
        <v>45666</v>
      </c>
      <c r="G512" s="3" t="s">
        <v>20</v>
      </c>
      <c r="H512" s="3" t="s">
        <v>29</v>
      </c>
      <c r="I512" s="3" t="s">
        <v>39</v>
      </c>
      <c r="J512" s="3" t="s">
        <v>46</v>
      </c>
      <c r="K512" s="3">
        <v>27</v>
      </c>
      <c r="L512" s="3">
        <v>3</v>
      </c>
      <c r="M512" s="3">
        <v>4422</v>
      </c>
      <c r="N512" s="3">
        <v>13266</v>
      </c>
      <c r="O512" s="3">
        <v>13266</v>
      </c>
      <c r="P512" s="3" t="s">
        <v>51</v>
      </c>
      <c r="Q512" s="3">
        <v>0</v>
      </c>
      <c r="R512" s="3" t="str">
        <f t="shared" si="7"/>
        <v>Not Cancelled</v>
      </c>
      <c r="S512" s="3" t="s">
        <v>25</v>
      </c>
    </row>
    <row r="513" spans="1:19" x14ac:dyDescent="0.35">
      <c r="A513" s="3">
        <v>1512</v>
      </c>
      <c r="B513" s="3" t="s">
        <v>516</v>
      </c>
      <c r="C513" s="4">
        <v>45421</v>
      </c>
      <c r="D513" s="3" t="s">
        <v>211</v>
      </c>
      <c r="E513" s="4">
        <v>45470</v>
      </c>
      <c r="F513" s="4">
        <v>45474</v>
      </c>
      <c r="G513" s="3" t="s">
        <v>42</v>
      </c>
      <c r="H513" s="3" t="s">
        <v>60</v>
      </c>
      <c r="I513" s="3" t="s">
        <v>22</v>
      </c>
      <c r="J513" s="3" t="s">
        <v>23</v>
      </c>
      <c r="K513" s="3">
        <v>49</v>
      </c>
      <c r="L513" s="3">
        <v>4</v>
      </c>
      <c r="M513" s="3">
        <v>6657</v>
      </c>
      <c r="N513" s="3">
        <v>26628</v>
      </c>
      <c r="O513" s="3">
        <v>0</v>
      </c>
      <c r="P513" s="3" t="s">
        <v>24</v>
      </c>
      <c r="Q513" s="3">
        <v>1</v>
      </c>
      <c r="R513" s="3" t="str">
        <f t="shared" si="7"/>
        <v>Cancelled</v>
      </c>
      <c r="S513" s="3" t="s">
        <v>31</v>
      </c>
    </row>
    <row r="514" spans="1:19" x14ac:dyDescent="0.35">
      <c r="A514" s="3">
        <v>1513</v>
      </c>
      <c r="B514" s="3" t="s">
        <v>517</v>
      </c>
      <c r="C514" s="4">
        <v>45558</v>
      </c>
      <c r="D514" s="3" t="s">
        <v>102</v>
      </c>
      <c r="E514" s="4">
        <v>45570</v>
      </c>
      <c r="F514" s="4">
        <v>45571</v>
      </c>
      <c r="G514" s="3" t="s">
        <v>34</v>
      </c>
      <c r="H514" s="3" t="s">
        <v>38</v>
      </c>
      <c r="I514" s="3" t="s">
        <v>39</v>
      </c>
      <c r="J514" s="3" t="s">
        <v>46</v>
      </c>
      <c r="K514" s="3">
        <v>12</v>
      </c>
      <c r="L514" s="3">
        <v>1</v>
      </c>
      <c r="M514" s="3">
        <v>7469</v>
      </c>
      <c r="N514" s="3">
        <v>7469</v>
      </c>
      <c r="O514" s="3">
        <v>0</v>
      </c>
      <c r="P514" s="3" t="s">
        <v>24</v>
      </c>
      <c r="Q514" s="3">
        <v>1</v>
      </c>
      <c r="R514" s="3" t="str">
        <f t="shared" si="7"/>
        <v>Cancelled</v>
      </c>
      <c r="S514" s="3" t="s">
        <v>25</v>
      </c>
    </row>
    <row r="515" spans="1:19" x14ac:dyDescent="0.35">
      <c r="A515" s="3">
        <v>1514</v>
      </c>
      <c r="B515" s="3" t="s">
        <v>518</v>
      </c>
      <c r="C515" s="4">
        <v>45469</v>
      </c>
      <c r="D515" s="3" t="s">
        <v>209</v>
      </c>
      <c r="E515" s="4">
        <v>45476</v>
      </c>
      <c r="F515" s="4">
        <v>45477</v>
      </c>
      <c r="G515" s="3" t="s">
        <v>34</v>
      </c>
      <c r="H515" s="3" t="s">
        <v>35</v>
      </c>
      <c r="I515" s="3" t="s">
        <v>22</v>
      </c>
      <c r="J515" s="3" t="s">
        <v>23</v>
      </c>
      <c r="K515" s="3">
        <v>7</v>
      </c>
      <c r="L515" s="3">
        <v>1</v>
      </c>
      <c r="M515" s="3">
        <v>2819</v>
      </c>
      <c r="N515" s="3">
        <v>2819</v>
      </c>
      <c r="O515" s="3">
        <v>2819</v>
      </c>
      <c r="P515" s="3" t="s">
        <v>24</v>
      </c>
      <c r="Q515" s="3">
        <v>0</v>
      </c>
      <c r="R515" s="3" t="str">
        <f t="shared" ref="R515:R578" si="8">IF(Q515=0,"Not Cancelled","Cancelled")</f>
        <v>Not Cancelled</v>
      </c>
      <c r="S515" s="3" t="s">
        <v>31</v>
      </c>
    </row>
    <row r="516" spans="1:19" x14ac:dyDescent="0.35">
      <c r="A516" s="3">
        <v>1515</v>
      </c>
      <c r="B516" s="3" t="s">
        <v>176</v>
      </c>
      <c r="C516" s="4">
        <v>45544</v>
      </c>
      <c r="D516" s="3" t="s">
        <v>96</v>
      </c>
      <c r="E516" s="4">
        <v>45603</v>
      </c>
      <c r="F516" s="4">
        <v>45607</v>
      </c>
      <c r="G516" s="3" t="s">
        <v>42</v>
      </c>
      <c r="H516" s="3" t="s">
        <v>29</v>
      </c>
      <c r="I516" s="3" t="s">
        <v>39</v>
      </c>
      <c r="J516" s="3" t="s">
        <v>46</v>
      </c>
      <c r="K516" s="3">
        <v>59</v>
      </c>
      <c r="L516" s="3">
        <v>4</v>
      </c>
      <c r="M516" s="3">
        <v>4649</v>
      </c>
      <c r="N516" s="3">
        <v>18596</v>
      </c>
      <c r="O516" s="3">
        <v>18596</v>
      </c>
      <c r="P516" s="3" t="s">
        <v>51</v>
      </c>
      <c r="Q516" s="3">
        <v>0</v>
      </c>
      <c r="R516" s="3" t="str">
        <f t="shared" si="8"/>
        <v>Not Cancelled</v>
      </c>
      <c r="S516" s="3" t="s">
        <v>25</v>
      </c>
    </row>
    <row r="517" spans="1:19" x14ac:dyDescent="0.35">
      <c r="A517" s="3">
        <v>1516</v>
      </c>
      <c r="B517" s="3" t="s">
        <v>519</v>
      </c>
      <c r="C517" s="4">
        <v>45347</v>
      </c>
      <c r="D517" s="3" t="s">
        <v>20</v>
      </c>
      <c r="E517" s="4">
        <v>45350</v>
      </c>
      <c r="F517" s="4">
        <v>45355</v>
      </c>
      <c r="G517" s="3" t="s">
        <v>45</v>
      </c>
      <c r="H517" s="3" t="s">
        <v>21</v>
      </c>
      <c r="I517" s="3" t="s">
        <v>39</v>
      </c>
      <c r="J517" s="3" t="s">
        <v>23</v>
      </c>
      <c r="K517" s="3">
        <v>3</v>
      </c>
      <c r="L517" s="3">
        <v>5</v>
      </c>
      <c r="M517" s="3">
        <v>3952</v>
      </c>
      <c r="N517" s="3">
        <v>19760</v>
      </c>
      <c r="O517" s="3">
        <v>0</v>
      </c>
      <c r="P517" s="3" t="s">
        <v>24</v>
      </c>
      <c r="Q517" s="3">
        <v>1</v>
      </c>
      <c r="R517" s="3" t="str">
        <f t="shared" si="8"/>
        <v>Cancelled</v>
      </c>
      <c r="S517" s="3" t="s">
        <v>31</v>
      </c>
    </row>
    <row r="518" spans="1:19" x14ac:dyDescent="0.35">
      <c r="A518" s="3">
        <v>1517</v>
      </c>
      <c r="B518" s="3" t="s">
        <v>520</v>
      </c>
      <c r="C518" s="4">
        <v>45374</v>
      </c>
      <c r="D518" s="3" t="s">
        <v>37</v>
      </c>
      <c r="E518" s="4">
        <v>45384</v>
      </c>
      <c r="F518" s="4">
        <v>45388</v>
      </c>
      <c r="G518" s="3" t="s">
        <v>42</v>
      </c>
      <c r="H518" s="3" t="s">
        <v>35</v>
      </c>
      <c r="I518" s="3" t="s">
        <v>22</v>
      </c>
      <c r="J518" s="3" t="s">
        <v>23</v>
      </c>
      <c r="K518" s="3">
        <v>10</v>
      </c>
      <c r="L518" s="3">
        <v>4</v>
      </c>
      <c r="M518" s="3">
        <v>7469</v>
      </c>
      <c r="N518" s="3">
        <v>29876</v>
      </c>
      <c r="O518" s="3">
        <v>0</v>
      </c>
      <c r="P518" s="3" t="s">
        <v>51</v>
      </c>
      <c r="Q518" s="3">
        <v>1</v>
      </c>
      <c r="R518" s="3" t="str">
        <f t="shared" si="8"/>
        <v>Cancelled</v>
      </c>
      <c r="S518" s="3" t="s">
        <v>25</v>
      </c>
    </row>
    <row r="519" spans="1:19" x14ac:dyDescent="0.35">
      <c r="A519" s="3">
        <v>1518</v>
      </c>
      <c r="B519" s="3" t="s">
        <v>391</v>
      </c>
      <c r="C519" s="4">
        <v>45390</v>
      </c>
      <c r="D519" s="3" t="s">
        <v>128</v>
      </c>
      <c r="E519" s="4">
        <v>45424</v>
      </c>
      <c r="F519" s="4">
        <v>45426</v>
      </c>
      <c r="G519" s="3" t="s">
        <v>28</v>
      </c>
      <c r="H519" s="3" t="s">
        <v>29</v>
      </c>
      <c r="I519" s="3" t="s">
        <v>39</v>
      </c>
      <c r="J519" s="3" t="s">
        <v>46</v>
      </c>
      <c r="K519" s="3">
        <v>34</v>
      </c>
      <c r="L519" s="3">
        <v>2</v>
      </c>
      <c r="M519" s="3">
        <v>8341</v>
      </c>
      <c r="N519" s="3">
        <v>16682</v>
      </c>
      <c r="O519" s="3">
        <v>16682</v>
      </c>
      <c r="P519" s="3" t="s">
        <v>51</v>
      </c>
      <c r="Q519" s="3">
        <v>0</v>
      </c>
      <c r="R519" s="3" t="str">
        <f t="shared" si="8"/>
        <v>Not Cancelled</v>
      </c>
      <c r="S519" s="3" t="s">
        <v>31</v>
      </c>
    </row>
    <row r="520" spans="1:19" x14ac:dyDescent="0.35">
      <c r="A520" s="3">
        <v>1519</v>
      </c>
      <c r="B520" s="3" t="s">
        <v>521</v>
      </c>
      <c r="C520" s="4">
        <v>45440</v>
      </c>
      <c r="D520" s="3" t="s">
        <v>107</v>
      </c>
      <c r="E520" s="4">
        <v>45465</v>
      </c>
      <c r="F520" s="4">
        <v>45469</v>
      </c>
      <c r="G520" s="3" t="s">
        <v>42</v>
      </c>
      <c r="H520" s="3" t="s">
        <v>21</v>
      </c>
      <c r="I520" s="3" t="s">
        <v>22</v>
      </c>
      <c r="J520" s="3" t="s">
        <v>46</v>
      </c>
      <c r="K520" s="3">
        <v>25</v>
      </c>
      <c r="L520" s="3">
        <v>4</v>
      </c>
      <c r="M520" s="3">
        <v>8898</v>
      </c>
      <c r="N520" s="3">
        <v>35592</v>
      </c>
      <c r="O520" s="3">
        <v>0</v>
      </c>
      <c r="P520" s="3" t="s">
        <v>24</v>
      </c>
      <c r="Q520" s="3">
        <v>1</v>
      </c>
      <c r="R520" s="3" t="str">
        <f t="shared" si="8"/>
        <v>Cancelled</v>
      </c>
      <c r="S520" s="3" t="s">
        <v>31</v>
      </c>
    </row>
    <row r="521" spans="1:19" x14ac:dyDescent="0.35">
      <c r="A521" s="3">
        <v>1520</v>
      </c>
      <c r="B521" s="3" t="s">
        <v>522</v>
      </c>
      <c r="C521" s="4">
        <v>45620</v>
      </c>
      <c r="D521" s="3" t="s">
        <v>91</v>
      </c>
      <c r="E521" s="4">
        <v>45655</v>
      </c>
      <c r="F521" s="4">
        <v>45656</v>
      </c>
      <c r="G521" s="3" t="s">
        <v>34</v>
      </c>
      <c r="H521" s="3" t="s">
        <v>29</v>
      </c>
      <c r="I521" s="3" t="s">
        <v>39</v>
      </c>
      <c r="J521" s="3" t="s">
        <v>46</v>
      </c>
      <c r="K521" s="3">
        <v>35</v>
      </c>
      <c r="L521" s="3">
        <v>1</v>
      </c>
      <c r="M521" s="3">
        <v>4055</v>
      </c>
      <c r="N521" s="3">
        <v>4055</v>
      </c>
      <c r="O521" s="3">
        <v>0</v>
      </c>
      <c r="P521" s="3" t="s">
        <v>24</v>
      </c>
      <c r="Q521" s="3">
        <v>1</v>
      </c>
      <c r="R521" s="3" t="str">
        <f t="shared" si="8"/>
        <v>Cancelled</v>
      </c>
      <c r="S521" s="3" t="s">
        <v>25</v>
      </c>
    </row>
    <row r="522" spans="1:19" x14ac:dyDescent="0.35">
      <c r="A522" s="3">
        <v>1521</v>
      </c>
      <c r="B522" s="3" t="s">
        <v>523</v>
      </c>
      <c r="C522" s="4">
        <v>45447</v>
      </c>
      <c r="D522" s="3" t="s">
        <v>88</v>
      </c>
      <c r="E522" s="4">
        <v>45463</v>
      </c>
      <c r="F522" s="4">
        <v>45467</v>
      </c>
      <c r="G522" s="3" t="s">
        <v>42</v>
      </c>
      <c r="H522" s="3" t="s">
        <v>21</v>
      </c>
      <c r="I522" s="3" t="s">
        <v>39</v>
      </c>
      <c r="J522" s="3" t="s">
        <v>30</v>
      </c>
      <c r="K522" s="3">
        <v>16</v>
      </c>
      <c r="L522" s="3">
        <v>4</v>
      </c>
      <c r="M522" s="3">
        <v>6707</v>
      </c>
      <c r="N522" s="3">
        <v>26828</v>
      </c>
      <c r="O522" s="3">
        <v>0</v>
      </c>
      <c r="P522" s="3" t="s">
        <v>51</v>
      </c>
      <c r="Q522" s="3">
        <v>1</v>
      </c>
      <c r="R522" s="3" t="str">
        <f t="shared" si="8"/>
        <v>Cancelled</v>
      </c>
      <c r="S522" s="3" t="s">
        <v>31</v>
      </c>
    </row>
    <row r="523" spans="1:19" x14ac:dyDescent="0.35">
      <c r="A523" s="3">
        <v>1522</v>
      </c>
      <c r="B523" s="3" t="s">
        <v>524</v>
      </c>
      <c r="C523" s="4">
        <v>45481</v>
      </c>
      <c r="D523" s="3" t="s">
        <v>28</v>
      </c>
      <c r="E523" s="4">
        <v>45483</v>
      </c>
      <c r="F523" s="4">
        <v>45486</v>
      </c>
      <c r="G523" s="3" t="s">
        <v>20</v>
      </c>
      <c r="H523" s="3" t="s">
        <v>21</v>
      </c>
      <c r="I523" s="3" t="s">
        <v>39</v>
      </c>
      <c r="J523" s="3" t="s">
        <v>30</v>
      </c>
      <c r="K523" s="3">
        <v>2</v>
      </c>
      <c r="L523" s="3">
        <v>3</v>
      </c>
      <c r="M523" s="3">
        <v>5532</v>
      </c>
      <c r="N523" s="3">
        <v>16596</v>
      </c>
      <c r="O523" s="3">
        <v>0</v>
      </c>
      <c r="P523" s="3" t="s">
        <v>51</v>
      </c>
      <c r="Q523" s="3">
        <v>1</v>
      </c>
      <c r="R523" s="3" t="str">
        <f t="shared" si="8"/>
        <v>Cancelled</v>
      </c>
      <c r="S523" s="3" t="s">
        <v>31</v>
      </c>
    </row>
    <row r="524" spans="1:19" x14ac:dyDescent="0.35">
      <c r="A524" s="3">
        <v>1523</v>
      </c>
      <c r="B524" s="3" t="s">
        <v>525</v>
      </c>
      <c r="C524" s="4">
        <v>45554</v>
      </c>
      <c r="D524" s="3" t="s">
        <v>159</v>
      </c>
      <c r="E524" s="4">
        <v>45578</v>
      </c>
      <c r="F524" s="4">
        <v>45580</v>
      </c>
      <c r="G524" s="3" t="s">
        <v>28</v>
      </c>
      <c r="H524" s="3" t="s">
        <v>21</v>
      </c>
      <c r="I524" s="3" t="s">
        <v>22</v>
      </c>
      <c r="J524" s="3" t="s">
        <v>46</v>
      </c>
      <c r="K524" s="3">
        <v>24</v>
      </c>
      <c r="L524" s="3">
        <v>2</v>
      </c>
      <c r="M524" s="3">
        <v>2960</v>
      </c>
      <c r="N524" s="3">
        <v>5920</v>
      </c>
      <c r="O524" s="3">
        <v>5920</v>
      </c>
      <c r="P524" s="3" t="s">
        <v>24</v>
      </c>
      <c r="Q524" s="3">
        <v>0</v>
      </c>
      <c r="R524" s="3" t="str">
        <f t="shared" si="8"/>
        <v>Not Cancelled</v>
      </c>
      <c r="S524" s="3" t="s">
        <v>25</v>
      </c>
    </row>
    <row r="525" spans="1:19" x14ac:dyDescent="0.35">
      <c r="A525" s="3">
        <v>1524</v>
      </c>
      <c r="B525" s="3" t="s">
        <v>181</v>
      </c>
      <c r="C525" s="4">
        <v>45371</v>
      </c>
      <c r="D525" s="3" t="s">
        <v>37</v>
      </c>
      <c r="E525" s="4">
        <v>45381</v>
      </c>
      <c r="F525" s="4">
        <v>45385</v>
      </c>
      <c r="G525" s="3" t="s">
        <v>42</v>
      </c>
      <c r="H525" s="3" t="s">
        <v>29</v>
      </c>
      <c r="I525" s="3" t="s">
        <v>39</v>
      </c>
      <c r="J525" s="3" t="s">
        <v>30</v>
      </c>
      <c r="K525" s="3">
        <v>10</v>
      </c>
      <c r="L525" s="3">
        <v>4</v>
      </c>
      <c r="M525" s="3">
        <v>3386</v>
      </c>
      <c r="N525" s="3">
        <v>13544</v>
      </c>
      <c r="O525" s="3">
        <v>13544</v>
      </c>
      <c r="P525" s="3" t="s">
        <v>51</v>
      </c>
      <c r="Q525" s="3">
        <v>0</v>
      </c>
      <c r="R525" s="3" t="str">
        <f t="shared" si="8"/>
        <v>Not Cancelled</v>
      </c>
      <c r="S525" s="3" t="s">
        <v>25</v>
      </c>
    </row>
    <row r="526" spans="1:19" x14ac:dyDescent="0.35">
      <c r="A526" s="3">
        <v>1525</v>
      </c>
      <c r="B526" s="3" t="s">
        <v>358</v>
      </c>
      <c r="C526" s="4">
        <v>45543</v>
      </c>
      <c r="D526" s="3" t="s">
        <v>115</v>
      </c>
      <c r="E526" s="4">
        <v>45581</v>
      </c>
      <c r="F526" s="4">
        <v>45582</v>
      </c>
      <c r="G526" s="3" t="s">
        <v>34</v>
      </c>
      <c r="H526" s="3" t="s">
        <v>21</v>
      </c>
      <c r="I526" s="3" t="s">
        <v>39</v>
      </c>
      <c r="J526" s="3" t="s">
        <v>23</v>
      </c>
      <c r="K526" s="3">
        <v>38</v>
      </c>
      <c r="L526" s="3">
        <v>1</v>
      </c>
      <c r="M526" s="3">
        <v>6033</v>
      </c>
      <c r="N526" s="3">
        <v>6033</v>
      </c>
      <c r="O526" s="3">
        <v>0</v>
      </c>
      <c r="P526" s="3" t="s">
        <v>24</v>
      </c>
      <c r="Q526" s="3">
        <v>1</v>
      </c>
      <c r="R526" s="3" t="str">
        <f t="shared" si="8"/>
        <v>Cancelled</v>
      </c>
      <c r="S526" s="3" t="s">
        <v>31</v>
      </c>
    </row>
    <row r="527" spans="1:19" x14ac:dyDescent="0.35">
      <c r="A527" s="3">
        <v>1526</v>
      </c>
      <c r="B527" s="3" t="s">
        <v>526</v>
      </c>
      <c r="C527" s="4">
        <v>45388</v>
      </c>
      <c r="D527" s="3" t="s">
        <v>19</v>
      </c>
      <c r="E527" s="4">
        <v>45410</v>
      </c>
      <c r="F527" s="4">
        <v>45412</v>
      </c>
      <c r="G527" s="3" t="s">
        <v>28</v>
      </c>
      <c r="H527" s="3" t="s">
        <v>35</v>
      </c>
      <c r="I527" s="3" t="s">
        <v>22</v>
      </c>
      <c r="J527" s="3" t="s">
        <v>46</v>
      </c>
      <c r="K527" s="3">
        <v>22</v>
      </c>
      <c r="L527" s="3">
        <v>2</v>
      </c>
      <c r="M527" s="3">
        <v>6436</v>
      </c>
      <c r="N527" s="3">
        <v>12872</v>
      </c>
      <c r="O527" s="3">
        <v>0</v>
      </c>
      <c r="P527" s="3" t="s">
        <v>51</v>
      </c>
      <c r="Q527" s="3">
        <v>1</v>
      </c>
      <c r="R527" s="3" t="str">
        <f t="shared" si="8"/>
        <v>Cancelled</v>
      </c>
      <c r="S527" s="3" t="s">
        <v>25</v>
      </c>
    </row>
    <row r="528" spans="1:19" x14ac:dyDescent="0.35">
      <c r="A528" s="3">
        <v>1527</v>
      </c>
      <c r="B528" s="3" t="s">
        <v>527</v>
      </c>
      <c r="C528" s="4">
        <v>45551</v>
      </c>
      <c r="D528" s="3" t="s">
        <v>98</v>
      </c>
      <c r="E528" s="4">
        <v>45577</v>
      </c>
      <c r="F528" s="4">
        <v>45578</v>
      </c>
      <c r="G528" s="3" t="s">
        <v>34</v>
      </c>
      <c r="H528" s="3" t="s">
        <v>38</v>
      </c>
      <c r="I528" s="3" t="s">
        <v>39</v>
      </c>
      <c r="J528" s="3" t="s">
        <v>30</v>
      </c>
      <c r="K528" s="3">
        <v>26</v>
      </c>
      <c r="L528" s="3">
        <v>1</v>
      </c>
      <c r="M528" s="3">
        <v>3615</v>
      </c>
      <c r="N528" s="3">
        <v>3615</v>
      </c>
      <c r="O528" s="3">
        <v>3615</v>
      </c>
      <c r="P528" s="3" t="s">
        <v>24</v>
      </c>
      <c r="Q528" s="3">
        <v>0</v>
      </c>
      <c r="R528" s="3" t="str">
        <f t="shared" si="8"/>
        <v>Not Cancelled</v>
      </c>
      <c r="S528" s="3" t="s">
        <v>25</v>
      </c>
    </row>
    <row r="529" spans="1:19" x14ac:dyDescent="0.35">
      <c r="A529" s="3">
        <v>1528</v>
      </c>
      <c r="B529" s="3" t="s">
        <v>281</v>
      </c>
      <c r="C529" s="4">
        <v>45551</v>
      </c>
      <c r="D529" s="3" t="s">
        <v>66</v>
      </c>
      <c r="E529" s="4">
        <v>45594</v>
      </c>
      <c r="F529" s="4">
        <v>45599</v>
      </c>
      <c r="G529" s="3" t="s">
        <v>45</v>
      </c>
      <c r="H529" s="3" t="s">
        <v>38</v>
      </c>
      <c r="I529" s="3" t="s">
        <v>39</v>
      </c>
      <c r="J529" s="3" t="s">
        <v>46</v>
      </c>
      <c r="K529" s="3">
        <v>43</v>
      </c>
      <c r="L529" s="3">
        <v>5</v>
      </c>
      <c r="M529" s="3">
        <v>3575</v>
      </c>
      <c r="N529" s="3">
        <v>17875</v>
      </c>
      <c r="O529" s="3">
        <v>0</v>
      </c>
      <c r="P529" s="3" t="s">
        <v>51</v>
      </c>
      <c r="Q529" s="3">
        <v>1</v>
      </c>
      <c r="R529" s="3" t="str">
        <f t="shared" si="8"/>
        <v>Cancelled</v>
      </c>
      <c r="S529" s="3" t="s">
        <v>25</v>
      </c>
    </row>
    <row r="530" spans="1:19" x14ac:dyDescent="0.35">
      <c r="A530" s="3">
        <v>1529</v>
      </c>
      <c r="B530" s="3" t="s">
        <v>528</v>
      </c>
      <c r="C530" s="4">
        <v>45394</v>
      </c>
      <c r="D530" s="3" t="s">
        <v>113</v>
      </c>
      <c r="E530" s="4">
        <v>45449</v>
      </c>
      <c r="F530" s="4">
        <v>45452</v>
      </c>
      <c r="G530" s="3" t="s">
        <v>20</v>
      </c>
      <c r="H530" s="3" t="s">
        <v>21</v>
      </c>
      <c r="I530" s="3" t="s">
        <v>39</v>
      </c>
      <c r="J530" s="3" t="s">
        <v>23</v>
      </c>
      <c r="K530" s="3">
        <v>55</v>
      </c>
      <c r="L530" s="3">
        <v>3</v>
      </c>
      <c r="M530" s="3">
        <v>6376</v>
      </c>
      <c r="N530" s="3">
        <v>19128</v>
      </c>
      <c r="O530" s="3">
        <v>0</v>
      </c>
      <c r="P530" s="3" t="s">
        <v>24</v>
      </c>
      <c r="Q530" s="3">
        <v>1</v>
      </c>
      <c r="R530" s="3" t="str">
        <f t="shared" si="8"/>
        <v>Cancelled</v>
      </c>
      <c r="S530" s="3" t="s">
        <v>31</v>
      </c>
    </row>
    <row r="531" spans="1:19" x14ac:dyDescent="0.35">
      <c r="A531" s="3">
        <v>1530</v>
      </c>
      <c r="B531" s="3" t="s">
        <v>529</v>
      </c>
      <c r="C531" s="4">
        <v>45331</v>
      </c>
      <c r="D531" s="3" t="s">
        <v>153</v>
      </c>
      <c r="E531" s="4">
        <v>45370</v>
      </c>
      <c r="F531" s="4">
        <v>45375</v>
      </c>
      <c r="G531" s="3" t="s">
        <v>45</v>
      </c>
      <c r="H531" s="3" t="s">
        <v>38</v>
      </c>
      <c r="I531" s="3" t="s">
        <v>39</v>
      </c>
      <c r="J531" s="3" t="s">
        <v>23</v>
      </c>
      <c r="K531" s="3">
        <v>39</v>
      </c>
      <c r="L531" s="3">
        <v>5</v>
      </c>
      <c r="M531" s="3">
        <v>7115</v>
      </c>
      <c r="N531" s="3">
        <v>35575</v>
      </c>
      <c r="O531" s="3">
        <v>0</v>
      </c>
      <c r="P531" s="3" t="s">
        <v>24</v>
      </c>
      <c r="Q531" s="3">
        <v>1</v>
      </c>
      <c r="R531" s="3" t="str">
        <f t="shared" si="8"/>
        <v>Cancelled</v>
      </c>
      <c r="S531" s="3" t="s">
        <v>31</v>
      </c>
    </row>
    <row r="532" spans="1:19" x14ac:dyDescent="0.35">
      <c r="A532" s="3">
        <v>1531</v>
      </c>
      <c r="B532" s="3" t="s">
        <v>530</v>
      </c>
      <c r="C532" s="4">
        <v>45564</v>
      </c>
      <c r="D532" s="3" t="s">
        <v>185</v>
      </c>
      <c r="E532" s="4">
        <v>45591</v>
      </c>
      <c r="F532" s="4">
        <v>45594</v>
      </c>
      <c r="G532" s="3" t="s">
        <v>20</v>
      </c>
      <c r="H532" s="3" t="s">
        <v>38</v>
      </c>
      <c r="I532" s="3" t="s">
        <v>22</v>
      </c>
      <c r="J532" s="3" t="s">
        <v>30</v>
      </c>
      <c r="K532" s="3">
        <v>27</v>
      </c>
      <c r="L532" s="3">
        <v>3</v>
      </c>
      <c r="M532" s="3">
        <v>7407</v>
      </c>
      <c r="N532" s="3">
        <v>22221</v>
      </c>
      <c r="O532" s="3">
        <v>22221</v>
      </c>
      <c r="P532" s="3" t="s">
        <v>51</v>
      </c>
      <c r="Q532" s="3">
        <v>0</v>
      </c>
      <c r="R532" s="3" t="str">
        <f t="shared" si="8"/>
        <v>Not Cancelled</v>
      </c>
      <c r="S532" s="3" t="s">
        <v>31</v>
      </c>
    </row>
    <row r="533" spans="1:19" x14ac:dyDescent="0.35">
      <c r="A533" s="3">
        <v>1532</v>
      </c>
      <c r="B533" s="3" t="s">
        <v>531</v>
      </c>
      <c r="C533" s="4">
        <v>45392</v>
      </c>
      <c r="D533" s="3" t="s">
        <v>57</v>
      </c>
      <c r="E533" s="4">
        <v>45421</v>
      </c>
      <c r="F533" s="4">
        <v>45425</v>
      </c>
      <c r="G533" s="3" t="s">
        <v>42</v>
      </c>
      <c r="H533" s="3" t="s">
        <v>21</v>
      </c>
      <c r="I533" s="3" t="s">
        <v>39</v>
      </c>
      <c r="J533" s="3" t="s">
        <v>23</v>
      </c>
      <c r="K533" s="3">
        <v>29</v>
      </c>
      <c r="L533" s="3">
        <v>4</v>
      </c>
      <c r="M533" s="3">
        <v>8879</v>
      </c>
      <c r="N533" s="3">
        <v>35516</v>
      </c>
      <c r="O533" s="3">
        <v>35516</v>
      </c>
      <c r="P533" s="3" t="s">
        <v>24</v>
      </c>
      <c r="Q533" s="3">
        <v>0</v>
      </c>
      <c r="R533" s="3" t="str">
        <f t="shared" si="8"/>
        <v>Not Cancelled</v>
      </c>
      <c r="S533" s="3" t="s">
        <v>31</v>
      </c>
    </row>
    <row r="534" spans="1:19" x14ac:dyDescent="0.35">
      <c r="A534" s="3">
        <v>1533</v>
      </c>
      <c r="B534" s="3" t="s">
        <v>532</v>
      </c>
      <c r="C534" s="4">
        <v>45650</v>
      </c>
      <c r="D534" s="3" t="s">
        <v>148</v>
      </c>
      <c r="E534" s="4">
        <v>45697</v>
      </c>
      <c r="F534" s="4">
        <v>45699</v>
      </c>
      <c r="G534" s="3" t="s">
        <v>28</v>
      </c>
      <c r="H534" s="3" t="s">
        <v>21</v>
      </c>
      <c r="I534" s="3" t="s">
        <v>39</v>
      </c>
      <c r="J534" s="3" t="s">
        <v>46</v>
      </c>
      <c r="K534" s="3">
        <v>47</v>
      </c>
      <c r="L534" s="3">
        <v>2</v>
      </c>
      <c r="M534" s="3">
        <v>4424</v>
      </c>
      <c r="N534" s="3">
        <v>8848</v>
      </c>
      <c r="O534" s="3">
        <v>0</v>
      </c>
      <c r="P534" s="3" t="s">
        <v>51</v>
      </c>
      <c r="Q534" s="3">
        <v>1</v>
      </c>
      <c r="R534" s="3" t="str">
        <f t="shared" si="8"/>
        <v>Cancelled</v>
      </c>
      <c r="S534" s="3" t="s">
        <v>31</v>
      </c>
    </row>
    <row r="535" spans="1:19" x14ac:dyDescent="0.35">
      <c r="A535" s="3">
        <v>1534</v>
      </c>
      <c r="B535" s="3" t="s">
        <v>533</v>
      </c>
      <c r="C535" s="4">
        <v>45599</v>
      </c>
      <c r="D535" s="3" t="s">
        <v>115</v>
      </c>
      <c r="E535" s="4">
        <v>45637</v>
      </c>
      <c r="F535" s="4">
        <v>45641</v>
      </c>
      <c r="G535" s="3" t="s">
        <v>42</v>
      </c>
      <c r="H535" s="3" t="s">
        <v>35</v>
      </c>
      <c r="I535" s="3" t="s">
        <v>22</v>
      </c>
      <c r="J535" s="3" t="s">
        <v>30</v>
      </c>
      <c r="K535" s="3">
        <v>38</v>
      </c>
      <c r="L535" s="3">
        <v>4</v>
      </c>
      <c r="M535" s="3">
        <v>8200</v>
      </c>
      <c r="N535" s="3">
        <v>32800</v>
      </c>
      <c r="O535" s="3">
        <v>0</v>
      </c>
      <c r="P535" s="3" t="s">
        <v>51</v>
      </c>
      <c r="Q535" s="3">
        <v>1</v>
      </c>
      <c r="R535" s="3" t="str">
        <f t="shared" si="8"/>
        <v>Cancelled</v>
      </c>
      <c r="S535" s="3" t="s">
        <v>31</v>
      </c>
    </row>
    <row r="536" spans="1:19" x14ac:dyDescent="0.35">
      <c r="A536" s="3">
        <v>1535</v>
      </c>
      <c r="B536" s="3" t="s">
        <v>534</v>
      </c>
      <c r="C536" s="4">
        <v>45512</v>
      </c>
      <c r="D536" s="3" t="s">
        <v>157</v>
      </c>
      <c r="E536" s="4">
        <v>45532</v>
      </c>
      <c r="F536" s="4">
        <v>45535</v>
      </c>
      <c r="G536" s="3" t="s">
        <v>20</v>
      </c>
      <c r="H536" s="3" t="s">
        <v>60</v>
      </c>
      <c r="I536" s="3" t="s">
        <v>39</v>
      </c>
      <c r="J536" s="3" t="s">
        <v>46</v>
      </c>
      <c r="K536" s="3">
        <v>20</v>
      </c>
      <c r="L536" s="3">
        <v>3</v>
      </c>
      <c r="M536" s="3">
        <v>3426</v>
      </c>
      <c r="N536" s="3">
        <v>10278</v>
      </c>
      <c r="O536" s="3">
        <v>10278</v>
      </c>
      <c r="P536" s="3" t="s">
        <v>51</v>
      </c>
      <c r="Q536" s="3">
        <v>0</v>
      </c>
      <c r="R536" s="3" t="str">
        <f t="shared" si="8"/>
        <v>Not Cancelled</v>
      </c>
      <c r="S536" s="3" t="s">
        <v>31</v>
      </c>
    </row>
    <row r="537" spans="1:19" x14ac:dyDescent="0.35">
      <c r="A537" s="3">
        <v>1536</v>
      </c>
      <c r="B537" s="3" t="s">
        <v>535</v>
      </c>
      <c r="C537" s="4">
        <v>45599</v>
      </c>
      <c r="D537" s="3" t="s">
        <v>185</v>
      </c>
      <c r="E537" s="4">
        <v>45626</v>
      </c>
      <c r="F537" s="4">
        <v>45629</v>
      </c>
      <c r="G537" s="3" t="s">
        <v>20</v>
      </c>
      <c r="H537" s="3" t="s">
        <v>29</v>
      </c>
      <c r="I537" s="3" t="s">
        <v>39</v>
      </c>
      <c r="J537" s="3" t="s">
        <v>46</v>
      </c>
      <c r="K537" s="3">
        <v>27</v>
      </c>
      <c r="L537" s="3">
        <v>3</v>
      </c>
      <c r="M537" s="3">
        <v>7152</v>
      </c>
      <c r="N537" s="3">
        <v>21456</v>
      </c>
      <c r="O537" s="3">
        <v>21456</v>
      </c>
      <c r="P537" s="3" t="s">
        <v>51</v>
      </c>
      <c r="Q537" s="3">
        <v>0</v>
      </c>
      <c r="R537" s="3" t="str">
        <f t="shared" si="8"/>
        <v>Not Cancelled</v>
      </c>
      <c r="S537" s="3" t="s">
        <v>25</v>
      </c>
    </row>
    <row r="538" spans="1:19" x14ac:dyDescent="0.35">
      <c r="A538" s="3">
        <v>1537</v>
      </c>
      <c r="B538" s="3" t="s">
        <v>536</v>
      </c>
      <c r="C538" s="4">
        <v>45415</v>
      </c>
      <c r="D538" s="3" t="s">
        <v>86</v>
      </c>
      <c r="E538" s="4">
        <v>45456</v>
      </c>
      <c r="F538" s="4">
        <v>45459</v>
      </c>
      <c r="G538" s="3" t="s">
        <v>20</v>
      </c>
      <c r="H538" s="3" t="s">
        <v>21</v>
      </c>
      <c r="I538" s="3" t="s">
        <v>22</v>
      </c>
      <c r="J538" s="3" t="s">
        <v>46</v>
      </c>
      <c r="K538" s="3">
        <v>41</v>
      </c>
      <c r="L538" s="3">
        <v>3</v>
      </c>
      <c r="M538" s="3">
        <v>4781</v>
      </c>
      <c r="N538" s="3">
        <v>14343</v>
      </c>
      <c r="O538" s="3">
        <v>0</v>
      </c>
      <c r="P538" s="3" t="s">
        <v>24</v>
      </c>
      <c r="Q538" s="3">
        <v>1</v>
      </c>
      <c r="R538" s="3" t="str">
        <f t="shared" si="8"/>
        <v>Cancelled</v>
      </c>
      <c r="S538" s="3" t="s">
        <v>31</v>
      </c>
    </row>
    <row r="539" spans="1:19" x14ac:dyDescent="0.35">
      <c r="A539" s="3">
        <v>1538</v>
      </c>
      <c r="B539" s="3" t="s">
        <v>537</v>
      </c>
      <c r="C539" s="4">
        <v>45522</v>
      </c>
      <c r="D539" s="3" t="s">
        <v>117</v>
      </c>
      <c r="E539" s="4">
        <v>45576</v>
      </c>
      <c r="F539" s="4">
        <v>45577</v>
      </c>
      <c r="G539" s="3" t="s">
        <v>34</v>
      </c>
      <c r="H539" s="3" t="s">
        <v>21</v>
      </c>
      <c r="I539" s="3" t="s">
        <v>22</v>
      </c>
      <c r="J539" s="3" t="s">
        <v>23</v>
      </c>
      <c r="K539" s="3">
        <v>54</v>
      </c>
      <c r="L539" s="3">
        <v>1</v>
      </c>
      <c r="M539" s="3">
        <v>3555</v>
      </c>
      <c r="N539" s="3">
        <v>3555</v>
      </c>
      <c r="O539" s="3">
        <v>0</v>
      </c>
      <c r="P539" s="3" t="s">
        <v>51</v>
      </c>
      <c r="Q539" s="3">
        <v>1</v>
      </c>
      <c r="R539" s="3" t="str">
        <f t="shared" si="8"/>
        <v>Cancelled</v>
      </c>
      <c r="S539" s="3" t="s">
        <v>31</v>
      </c>
    </row>
    <row r="540" spans="1:19" x14ac:dyDescent="0.35">
      <c r="A540" s="3">
        <v>1539</v>
      </c>
      <c r="B540" s="3" t="s">
        <v>142</v>
      </c>
      <c r="C540" s="4">
        <v>45469</v>
      </c>
      <c r="D540" s="3" t="s">
        <v>157</v>
      </c>
      <c r="E540" s="4">
        <v>45489</v>
      </c>
      <c r="F540" s="4">
        <v>45491</v>
      </c>
      <c r="G540" s="3" t="s">
        <v>28</v>
      </c>
      <c r="H540" s="3" t="s">
        <v>38</v>
      </c>
      <c r="I540" s="3" t="s">
        <v>22</v>
      </c>
      <c r="J540" s="3" t="s">
        <v>46</v>
      </c>
      <c r="K540" s="3">
        <v>20</v>
      </c>
      <c r="L540" s="3">
        <v>2</v>
      </c>
      <c r="M540" s="3">
        <v>7174</v>
      </c>
      <c r="N540" s="3">
        <v>14348</v>
      </c>
      <c r="O540" s="3">
        <v>0</v>
      </c>
      <c r="P540" s="3" t="s">
        <v>51</v>
      </c>
      <c r="Q540" s="3">
        <v>1</v>
      </c>
      <c r="R540" s="3" t="str">
        <f t="shared" si="8"/>
        <v>Cancelled</v>
      </c>
      <c r="S540" s="3" t="s">
        <v>25</v>
      </c>
    </row>
    <row r="541" spans="1:19" x14ac:dyDescent="0.35">
      <c r="A541" s="3">
        <v>1540</v>
      </c>
      <c r="B541" s="3" t="s">
        <v>437</v>
      </c>
      <c r="C541" s="4">
        <v>45354</v>
      </c>
      <c r="D541" s="3" t="s">
        <v>62</v>
      </c>
      <c r="E541" s="4">
        <v>45398</v>
      </c>
      <c r="F541" s="4">
        <v>45402</v>
      </c>
      <c r="G541" s="3" t="s">
        <v>42</v>
      </c>
      <c r="H541" s="3" t="s">
        <v>35</v>
      </c>
      <c r="I541" s="3" t="s">
        <v>22</v>
      </c>
      <c r="J541" s="3" t="s">
        <v>23</v>
      </c>
      <c r="K541" s="3">
        <v>44</v>
      </c>
      <c r="L541" s="3">
        <v>4</v>
      </c>
      <c r="M541" s="3">
        <v>3041</v>
      </c>
      <c r="N541" s="3">
        <v>12164</v>
      </c>
      <c r="O541" s="3">
        <v>0</v>
      </c>
      <c r="P541" s="3" t="s">
        <v>51</v>
      </c>
      <c r="Q541" s="3">
        <v>1</v>
      </c>
      <c r="R541" s="3" t="str">
        <f t="shared" si="8"/>
        <v>Cancelled</v>
      </c>
      <c r="S541" s="3" t="s">
        <v>25</v>
      </c>
    </row>
    <row r="542" spans="1:19" x14ac:dyDescent="0.35">
      <c r="A542" s="3">
        <v>1541</v>
      </c>
      <c r="B542" s="3" t="s">
        <v>538</v>
      </c>
      <c r="C542" s="4">
        <v>45407</v>
      </c>
      <c r="D542" s="3" t="s">
        <v>109</v>
      </c>
      <c r="E542" s="4">
        <v>45426</v>
      </c>
      <c r="F542" s="4">
        <v>45430</v>
      </c>
      <c r="G542" s="3" t="s">
        <v>42</v>
      </c>
      <c r="H542" s="3" t="s">
        <v>38</v>
      </c>
      <c r="I542" s="3" t="s">
        <v>39</v>
      </c>
      <c r="J542" s="3" t="s">
        <v>46</v>
      </c>
      <c r="K542" s="3">
        <v>19</v>
      </c>
      <c r="L542" s="3">
        <v>4</v>
      </c>
      <c r="M542" s="3">
        <v>4661</v>
      </c>
      <c r="N542" s="3">
        <v>18644</v>
      </c>
      <c r="O542" s="3">
        <v>0</v>
      </c>
      <c r="P542" s="3" t="s">
        <v>24</v>
      </c>
      <c r="Q542" s="3">
        <v>1</v>
      </c>
      <c r="R542" s="3" t="str">
        <f t="shared" si="8"/>
        <v>Cancelled</v>
      </c>
      <c r="S542" s="3" t="s">
        <v>25</v>
      </c>
    </row>
    <row r="543" spans="1:19" x14ac:dyDescent="0.35">
      <c r="A543" s="3">
        <v>1542</v>
      </c>
      <c r="B543" s="3" t="s">
        <v>539</v>
      </c>
      <c r="C543" s="4">
        <v>45482</v>
      </c>
      <c r="D543" s="3" t="s">
        <v>157</v>
      </c>
      <c r="E543" s="4">
        <v>45502</v>
      </c>
      <c r="F543" s="4">
        <v>45507</v>
      </c>
      <c r="G543" s="3" t="s">
        <v>45</v>
      </c>
      <c r="H543" s="3" t="s">
        <v>21</v>
      </c>
      <c r="I543" s="3" t="s">
        <v>22</v>
      </c>
      <c r="J543" s="3" t="s">
        <v>23</v>
      </c>
      <c r="K543" s="3">
        <v>20</v>
      </c>
      <c r="L543" s="3">
        <v>5</v>
      </c>
      <c r="M543" s="3">
        <v>4751</v>
      </c>
      <c r="N543" s="3">
        <v>23755</v>
      </c>
      <c r="O543" s="3">
        <v>23755</v>
      </c>
      <c r="P543" s="3" t="s">
        <v>51</v>
      </c>
      <c r="Q543" s="3">
        <v>0</v>
      </c>
      <c r="R543" s="3" t="str">
        <f t="shared" si="8"/>
        <v>Not Cancelled</v>
      </c>
      <c r="S543" s="3" t="s">
        <v>31</v>
      </c>
    </row>
    <row r="544" spans="1:19" x14ac:dyDescent="0.35">
      <c r="A544" s="3">
        <v>1543</v>
      </c>
      <c r="B544" s="3" t="s">
        <v>141</v>
      </c>
      <c r="C544" s="4">
        <v>45353</v>
      </c>
      <c r="D544" s="3" t="s">
        <v>91</v>
      </c>
      <c r="E544" s="4">
        <v>45388</v>
      </c>
      <c r="F544" s="4">
        <v>45391</v>
      </c>
      <c r="G544" s="3" t="s">
        <v>20</v>
      </c>
      <c r="H544" s="3" t="s">
        <v>21</v>
      </c>
      <c r="I544" s="3" t="s">
        <v>39</v>
      </c>
      <c r="J544" s="3" t="s">
        <v>23</v>
      </c>
      <c r="K544" s="3">
        <v>35</v>
      </c>
      <c r="L544" s="3">
        <v>3</v>
      </c>
      <c r="M544" s="3">
        <v>3552</v>
      </c>
      <c r="N544" s="3">
        <v>10656</v>
      </c>
      <c r="O544" s="3">
        <v>10656</v>
      </c>
      <c r="P544" s="3" t="s">
        <v>24</v>
      </c>
      <c r="Q544" s="3">
        <v>0</v>
      </c>
      <c r="R544" s="3" t="str">
        <f t="shared" si="8"/>
        <v>Not Cancelled</v>
      </c>
      <c r="S544" s="3" t="s">
        <v>25</v>
      </c>
    </row>
    <row r="545" spans="1:19" x14ac:dyDescent="0.35">
      <c r="A545" s="3">
        <v>1544</v>
      </c>
      <c r="B545" s="3" t="s">
        <v>540</v>
      </c>
      <c r="C545" s="4">
        <v>45547</v>
      </c>
      <c r="D545" s="3" t="s">
        <v>148</v>
      </c>
      <c r="E545" s="4">
        <v>45594</v>
      </c>
      <c r="F545" s="4">
        <v>45597</v>
      </c>
      <c r="G545" s="3" t="s">
        <v>20</v>
      </c>
      <c r="H545" s="3" t="s">
        <v>38</v>
      </c>
      <c r="I545" s="3" t="s">
        <v>22</v>
      </c>
      <c r="J545" s="3" t="s">
        <v>23</v>
      </c>
      <c r="K545" s="3">
        <v>47</v>
      </c>
      <c r="L545" s="3">
        <v>3</v>
      </c>
      <c r="M545" s="3">
        <v>7069</v>
      </c>
      <c r="N545" s="3">
        <v>21207</v>
      </c>
      <c r="O545" s="3">
        <v>21207</v>
      </c>
      <c r="P545" s="3" t="s">
        <v>24</v>
      </c>
      <c r="Q545" s="3">
        <v>0</v>
      </c>
      <c r="R545" s="3" t="str">
        <f t="shared" si="8"/>
        <v>Not Cancelled</v>
      </c>
      <c r="S545" s="3" t="s">
        <v>31</v>
      </c>
    </row>
    <row r="546" spans="1:19" x14ac:dyDescent="0.35">
      <c r="A546" s="3">
        <v>1545</v>
      </c>
      <c r="B546" s="3" t="s">
        <v>541</v>
      </c>
      <c r="C546" s="4">
        <v>45298</v>
      </c>
      <c r="D546" s="3" t="s">
        <v>28</v>
      </c>
      <c r="E546" s="4">
        <v>45300</v>
      </c>
      <c r="F546" s="4">
        <v>45303</v>
      </c>
      <c r="G546" s="3" t="s">
        <v>20</v>
      </c>
      <c r="H546" s="3" t="s">
        <v>21</v>
      </c>
      <c r="I546" s="3" t="s">
        <v>39</v>
      </c>
      <c r="J546" s="3" t="s">
        <v>46</v>
      </c>
      <c r="K546" s="3">
        <v>2</v>
      </c>
      <c r="L546" s="3">
        <v>3</v>
      </c>
      <c r="M546" s="3">
        <v>5244</v>
      </c>
      <c r="N546" s="3">
        <v>15732</v>
      </c>
      <c r="O546" s="3">
        <v>15732</v>
      </c>
      <c r="P546" s="3" t="s">
        <v>51</v>
      </c>
      <c r="Q546" s="3">
        <v>0</v>
      </c>
      <c r="R546" s="3" t="str">
        <f t="shared" si="8"/>
        <v>Not Cancelled</v>
      </c>
      <c r="S546" s="3" t="s">
        <v>31</v>
      </c>
    </row>
    <row r="547" spans="1:19" x14ac:dyDescent="0.35">
      <c r="A547" s="3">
        <v>1546</v>
      </c>
      <c r="B547" s="3" t="s">
        <v>150</v>
      </c>
      <c r="C547" s="4">
        <v>45446</v>
      </c>
      <c r="D547" s="3" t="s">
        <v>50</v>
      </c>
      <c r="E547" s="4">
        <v>45476</v>
      </c>
      <c r="F547" s="4">
        <v>45480</v>
      </c>
      <c r="G547" s="3" t="s">
        <v>42</v>
      </c>
      <c r="H547" s="3" t="s">
        <v>60</v>
      </c>
      <c r="I547" s="3" t="s">
        <v>22</v>
      </c>
      <c r="J547" s="3" t="s">
        <v>46</v>
      </c>
      <c r="K547" s="3">
        <v>30</v>
      </c>
      <c r="L547" s="3">
        <v>4</v>
      </c>
      <c r="M547" s="3">
        <v>8896</v>
      </c>
      <c r="N547" s="3">
        <v>35584</v>
      </c>
      <c r="O547" s="3">
        <v>35584</v>
      </c>
      <c r="P547" s="3" t="s">
        <v>24</v>
      </c>
      <c r="Q547" s="3">
        <v>0</v>
      </c>
      <c r="R547" s="3" t="str">
        <f t="shared" si="8"/>
        <v>Not Cancelled</v>
      </c>
      <c r="S547" s="3" t="s">
        <v>31</v>
      </c>
    </row>
    <row r="548" spans="1:19" x14ac:dyDescent="0.35">
      <c r="A548" s="3">
        <v>1547</v>
      </c>
      <c r="B548" s="3" t="s">
        <v>542</v>
      </c>
      <c r="C548" s="4">
        <v>45383</v>
      </c>
      <c r="D548" s="3" t="s">
        <v>133</v>
      </c>
      <c r="E548" s="4">
        <v>45436</v>
      </c>
      <c r="F548" s="4">
        <v>45441</v>
      </c>
      <c r="G548" s="3" t="s">
        <v>45</v>
      </c>
      <c r="H548" s="3" t="s">
        <v>29</v>
      </c>
      <c r="I548" s="3" t="s">
        <v>22</v>
      </c>
      <c r="J548" s="3" t="s">
        <v>23</v>
      </c>
      <c r="K548" s="3">
        <v>53</v>
      </c>
      <c r="L548" s="3">
        <v>5</v>
      </c>
      <c r="M548" s="3">
        <v>6369</v>
      </c>
      <c r="N548" s="3">
        <v>31845</v>
      </c>
      <c r="O548" s="3">
        <v>0</v>
      </c>
      <c r="P548" s="3" t="s">
        <v>51</v>
      </c>
      <c r="Q548" s="3">
        <v>1</v>
      </c>
      <c r="R548" s="3" t="str">
        <f t="shared" si="8"/>
        <v>Cancelled</v>
      </c>
      <c r="S548" s="3" t="s">
        <v>25</v>
      </c>
    </row>
    <row r="549" spans="1:19" x14ac:dyDescent="0.35">
      <c r="A549" s="3">
        <v>1548</v>
      </c>
      <c r="B549" s="3" t="s">
        <v>543</v>
      </c>
      <c r="C549" s="4">
        <v>45305</v>
      </c>
      <c r="D549" s="3" t="s">
        <v>128</v>
      </c>
      <c r="E549" s="4">
        <v>45339</v>
      </c>
      <c r="F549" s="4">
        <v>45340</v>
      </c>
      <c r="G549" s="3" t="s">
        <v>34</v>
      </c>
      <c r="H549" s="3" t="s">
        <v>29</v>
      </c>
      <c r="I549" s="3" t="s">
        <v>39</v>
      </c>
      <c r="J549" s="3" t="s">
        <v>46</v>
      </c>
      <c r="K549" s="3">
        <v>34</v>
      </c>
      <c r="L549" s="3">
        <v>1</v>
      </c>
      <c r="M549" s="3">
        <v>7500</v>
      </c>
      <c r="N549" s="3">
        <v>7500</v>
      </c>
      <c r="O549" s="3">
        <v>7500</v>
      </c>
      <c r="P549" s="3" t="s">
        <v>24</v>
      </c>
      <c r="Q549" s="3">
        <v>0</v>
      </c>
      <c r="R549" s="3" t="str">
        <f t="shared" si="8"/>
        <v>Not Cancelled</v>
      </c>
      <c r="S549" s="3" t="s">
        <v>25</v>
      </c>
    </row>
    <row r="550" spans="1:19" x14ac:dyDescent="0.35">
      <c r="A550" s="3">
        <v>1549</v>
      </c>
      <c r="B550" s="3" t="s">
        <v>544</v>
      </c>
      <c r="C550" s="4">
        <v>45520</v>
      </c>
      <c r="D550" s="3" t="s">
        <v>19</v>
      </c>
      <c r="E550" s="4">
        <v>45542</v>
      </c>
      <c r="F550" s="4">
        <v>45544</v>
      </c>
      <c r="G550" s="3" t="s">
        <v>28</v>
      </c>
      <c r="H550" s="3" t="s">
        <v>29</v>
      </c>
      <c r="I550" s="3" t="s">
        <v>22</v>
      </c>
      <c r="J550" s="3" t="s">
        <v>23</v>
      </c>
      <c r="K550" s="3">
        <v>22</v>
      </c>
      <c r="L550" s="3">
        <v>2</v>
      </c>
      <c r="M550" s="3">
        <v>8541</v>
      </c>
      <c r="N550" s="3">
        <v>17082</v>
      </c>
      <c r="O550" s="3">
        <v>0</v>
      </c>
      <c r="P550" s="3" t="s">
        <v>24</v>
      </c>
      <c r="Q550" s="3">
        <v>1</v>
      </c>
      <c r="R550" s="3" t="str">
        <f t="shared" si="8"/>
        <v>Cancelled</v>
      </c>
      <c r="S550" s="3" t="s">
        <v>31</v>
      </c>
    </row>
    <row r="551" spans="1:19" x14ac:dyDescent="0.35">
      <c r="A551" s="3">
        <v>1550</v>
      </c>
      <c r="B551" s="3" t="s">
        <v>453</v>
      </c>
      <c r="C551" s="4">
        <v>45377</v>
      </c>
      <c r="D551" s="3" t="s">
        <v>20</v>
      </c>
      <c r="E551" s="4">
        <v>45380</v>
      </c>
      <c r="F551" s="4">
        <v>45381</v>
      </c>
      <c r="G551" s="3" t="s">
        <v>34</v>
      </c>
      <c r="H551" s="3" t="s">
        <v>60</v>
      </c>
      <c r="I551" s="3" t="s">
        <v>22</v>
      </c>
      <c r="J551" s="3" t="s">
        <v>46</v>
      </c>
      <c r="K551" s="3">
        <v>3</v>
      </c>
      <c r="L551" s="3">
        <v>1</v>
      </c>
      <c r="M551" s="3">
        <v>6981</v>
      </c>
      <c r="N551" s="3">
        <v>6981</v>
      </c>
      <c r="O551" s="3">
        <v>6981</v>
      </c>
      <c r="P551" s="3" t="s">
        <v>51</v>
      </c>
      <c r="Q551" s="3">
        <v>0</v>
      </c>
      <c r="R551" s="3" t="str">
        <f t="shared" si="8"/>
        <v>Not Cancelled</v>
      </c>
      <c r="S551" s="3" t="s">
        <v>31</v>
      </c>
    </row>
    <row r="552" spans="1:19" x14ac:dyDescent="0.35">
      <c r="A552" s="3">
        <v>1551</v>
      </c>
      <c r="B552" s="3" t="s">
        <v>545</v>
      </c>
      <c r="C552" s="4">
        <v>45424</v>
      </c>
      <c r="D552" s="3" t="s">
        <v>55</v>
      </c>
      <c r="E552" s="4">
        <v>45430</v>
      </c>
      <c r="F552" s="4">
        <v>45434</v>
      </c>
      <c r="G552" s="3" t="s">
        <v>42</v>
      </c>
      <c r="H552" s="3" t="s">
        <v>21</v>
      </c>
      <c r="I552" s="3" t="s">
        <v>22</v>
      </c>
      <c r="J552" s="3" t="s">
        <v>23</v>
      </c>
      <c r="K552" s="3">
        <v>6</v>
      </c>
      <c r="L552" s="3">
        <v>4</v>
      </c>
      <c r="M552" s="3">
        <v>6657</v>
      </c>
      <c r="N552" s="3">
        <v>26628</v>
      </c>
      <c r="O552" s="3">
        <v>0</v>
      </c>
      <c r="P552" s="3" t="s">
        <v>24</v>
      </c>
      <c r="Q552" s="3">
        <v>1</v>
      </c>
      <c r="R552" s="3" t="str">
        <f t="shared" si="8"/>
        <v>Cancelled</v>
      </c>
      <c r="S552" s="3" t="s">
        <v>31</v>
      </c>
    </row>
    <row r="553" spans="1:19" x14ac:dyDescent="0.35">
      <c r="A553" s="3">
        <v>1552</v>
      </c>
      <c r="B553" s="3" t="s">
        <v>546</v>
      </c>
      <c r="C553" s="4">
        <v>45474</v>
      </c>
      <c r="D553" s="3" t="s">
        <v>277</v>
      </c>
      <c r="E553" s="4">
        <v>45489</v>
      </c>
      <c r="F553" s="4">
        <v>45492</v>
      </c>
      <c r="G553" s="3" t="s">
        <v>20</v>
      </c>
      <c r="H553" s="3" t="s">
        <v>38</v>
      </c>
      <c r="I553" s="3" t="s">
        <v>39</v>
      </c>
      <c r="J553" s="3" t="s">
        <v>23</v>
      </c>
      <c r="K553" s="3">
        <v>15</v>
      </c>
      <c r="L553" s="3">
        <v>3</v>
      </c>
      <c r="M553" s="3">
        <v>7110</v>
      </c>
      <c r="N553" s="3">
        <v>21330</v>
      </c>
      <c r="O553" s="3">
        <v>21330</v>
      </c>
      <c r="P553" s="3" t="s">
        <v>51</v>
      </c>
      <c r="Q553" s="3">
        <v>0</v>
      </c>
      <c r="R553" s="3" t="str">
        <f t="shared" si="8"/>
        <v>Not Cancelled</v>
      </c>
      <c r="S553" s="3" t="s">
        <v>25</v>
      </c>
    </row>
    <row r="554" spans="1:19" x14ac:dyDescent="0.35">
      <c r="A554" s="3">
        <v>1553</v>
      </c>
      <c r="B554" s="3" t="s">
        <v>547</v>
      </c>
      <c r="C554" s="4">
        <v>45353</v>
      </c>
      <c r="D554" s="3" t="s">
        <v>185</v>
      </c>
      <c r="E554" s="4">
        <v>45380</v>
      </c>
      <c r="F554" s="4">
        <v>45382</v>
      </c>
      <c r="G554" s="3" t="s">
        <v>28</v>
      </c>
      <c r="H554" s="3" t="s">
        <v>35</v>
      </c>
      <c r="I554" s="3" t="s">
        <v>22</v>
      </c>
      <c r="J554" s="3" t="s">
        <v>30</v>
      </c>
      <c r="K554" s="3">
        <v>27</v>
      </c>
      <c r="L554" s="3">
        <v>2</v>
      </c>
      <c r="M554" s="3">
        <v>7025</v>
      </c>
      <c r="N554" s="3">
        <v>14050</v>
      </c>
      <c r="O554" s="3">
        <v>14050</v>
      </c>
      <c r="P554" s="3" t="s">
        <v>24</v>
      </c>
      <c r="Q554" s="3">
        <v>0</v>
      </c>
      <c r="R554" s="3" t="str">
        <f t="shared" si="8"/>
        <v>Not Cancelled</v>
      </c>
      <c r="S554" s="3" t="s">
        <v>31</v>
      </c>
    </row>
    <row r="555" spans="1:19" x14ac:dyDescent="0.35">
      <c r="A555" s="3">
        <v>1554</v>
      </c>
      <c r="B555" s="3" t="s">
        <v>548</v>
      </c>
      <c r="C555" s="4">
        <v>45510</v>
      </c>
      <c r="D555" s="3" t="s">
        <v>37</v>
      </c>
      <c r="E555" s="4">
        <v>45520</v>
      </c>
      <c r="F555" s="4">
        <v>45524</v>
      </c>
      <c r="G555" s="3" t="s">
        <v>42</v>
      </c>
      <c r="H555" s="3" t="s">
        <v>21</v>
      </c>
      <c r="I555" s="3" t="s">
        <v>22</v>
      </c>
      <c r="J555" s="3" t="s">
        <v>46</v>
      </c>
      <c r="K555" s="3">
        <v>10</v>
      </c>
      <c r="L555" s="3">
        <v>4</v>
      </c>
      <c r="M555" s="3">
        <v>7175</v>
      </c>
      <c r="N555" s="3">
        <v>28700</v>
      </c>
      <c r="O555" s="3">
        <v>28700</v>
      </c>
      <c r="P555" s="3" t="s">
        <v>51</v>
      </c>
      <c r="Q555" s="3">
        <v>0</v>
      </c>
      <c r="R555" s="3" t="str">
        <f t="shared" si="8"/>
        <v>Not Cancelled</v>
      </c>
      <c r="S555" s="3" t="s">
        <v>25</v>
      </c>
    </row>
    <row r="556" spans="1:19" x14ac:dyDescent="0.35">
      <c r="A556" s="3">
        <v>1555</v>
      </c>
      <c r="B556" s="3" t="s">
        <v>347</v>
      </c>
      <c r="C556" s="4">
        <v>45537</v>
      </c>
      <c r="D556" s="3" t="s">
        <v>165</v>
      </c>
      <c r="E556" s="4">
        <v>45546</v>
      </c>
      <c r="F556" s="4">
        <v>45550</v>
      </c>
      <c r="G556" s="3" t="s">
        <v>42</v>
      </c>
      <c r="H556" s="3" t="s">
        <v>60</v>
      </c>
      <c r="I556" s="3" t="s">
        <v>39</v>
      </c>
      <c r="J556" s="3" t="s">
        <v>46</v>
      </c>
      <c r="K556" s="3">
        <v>9</v>
      </c>
      <c r="L556" s="3">
        <v>4</v>
      </c>
      <c r="M556" s="3">
        <v>4060</v>
      </c>
      <c r="N556" s="3">
        <v>16240</v>
      </c>
      <c r="O556" s="3">
        <v>0</v>
      </c>
      <c r="P556" s="3" t="s">
        <v>51</v>
      </c>
      <c r="Q556" s="3">
        <v>1</v>
      </c>
      <c r="R556" s="3" t="str">
        <f t="shared" si="8"/>
        <v>Cancelled</v>
      </c>
      <c r="S556" s="3" t="s">
        <v>31</v>
      </c>
    </row>
    <row r="557" spans="1:19" x14ac:dyDescent="0.35">
      <c r="A557" s="3">
        <v>1556</v>
      </c>
      <c r="B557" s="3" t="s">
        <v>549</v>
      </c>
      <c r="C557" s="4">
        <v>45521</v>
      </c>
      <c r="D557" s="3" t="s">
        <v>69</v>
      </c>
      <c r="E557" s="4">
        <v>45554</v>
      </c>
      <c r="F557" s="4">
        <v>45558</v>
      </c>
      <c r="G557" s="3" t="s">
        <v>42</v>
      </c>
      <c r="H557" s="3" t="s">
        <v>60</v>
      </c>
      <c r="I557" s="3" t="s">
        <v>39</v>
      </c>
      <c r="J557" s="3" t="s">
        <v>30</v>
      </c>
      <c r="K557" s="3">
        <v>33</v>
      </c>
      <c r="L557" s="3">
        <v>4</v>
      </c>
      <c r="M557" s="3">
        <v>6262</v>
      </c>
      <c r="N557" s="3">
        <v>25048</v>
      </c>
      <c r="O557" s="3">
        <v>0</v>
      </c>
      <c r="P557" s="3" t="s">
        <v>51</v>
      </c>
      <c r="Q557" s="3">
        <v>1</v>
      </c>
      <c r="R557" s="3" t="str">
        <f t="shared" si="8"/>
        <v>Cancelled</v>
      </c>
      <c r="S557" s="3" t="s">
        <v>25</v>
      </c>
    </row>
    <row r="558" spans="1:19" x14ac:dyDescent="0.35">
      <c r="A558" s="3">
        <v>1557</v>
      </c>
      <c r="B558" s="3" t="s">
        <v>361</v>
      </c>
      <c r="C558" s="4">
        <v>45370</v>
      </c>
      <c r="D558" s="3" t="s">
        <v>144</v>
      </c>
      <c r="E558" s="4">
        <v>45402</v>
      </c>
      <c r="F558" s="4">
        <v>45404</v>
      </c>
      <c r="G558" s="3" t="s">
        <v>28</v>
      </c>
      <c r="H558" s="3" t="s">
        <v>29</v>
      </c>
      <c r="I558" s="3" t="s">
        <v>22</v>
      </c>
      <c r="J558" s="3" t="s">
        <v>23</v>
      </c>
      <c r="K558" s="3">
        <v>32</v>
      </c>
      <c r="L558" s="3">
        <v>2</v>
      </c>
      <c r="M558" s="3">
        <v>3664</v>
      </c>
      <c r="N558" s="3">
        <v>7328</v>
      </c>
      <c r="O558" s="3">
        <v>7328</v>
      </c>
      <c r="P558" s="3" t="s">
        <v>51</v>
      </c>
      <c r="Q558" s="3">
        <v>0</v>
      </c>
      <c r="R558" s="3" t="str">
        <f t="shared" si="8"/>
        <v>Not Cancelled</v>
      </c>
      <c r="S558" s="3" t="s">
        <v>31</v>
      </c>
    </row>
    <row r="559" spans="1:19" x14ac:dyDescent="0.35">
      <c r="A559" s="3">
        <v>1558</v>
      </c>
      <c r="B559" s="3" t="s">
        <v>238</v>
      </c>
      <c r="C559" s="4">
        <v>45440</v>
      </c>
      <c r="D559" s="3" t="s">
        <v>73</v>
      </c>
      <c r="E559" s="4">
        <v>45488</v>
      </c>
      <c r="F559" s="4">
        <v>45490</v>
      </c>
      <c r="G559" s="3" t="s">
        <v>28</v>
      </c>
      <c r="H559" s="3" t="s">
        <v>21</v>
      </c>
      <c r="I559" s="3" t="s">
        <v>39</v>
      </c>
      <c r="J559" s="3" t="s">
        <v>23</v>
      </c>
      <c r="K559" s="3">
        <v>48</v>
      </c>
      <c r="L559" s="3">
        <v>2</v>
      </c>
      <c r="M559" s="3">
        <v>7919</v>
      </c>
      <c r="N559" s="3">
        <v>15838</v>
      </c>
      <c r="O559" s="3">
        <v>0</v>
      </c>
      <c r="P559" s="3" t="s">
        <v>24</v>
      </c>
      <c r="Q559" s="3">
        <v>1</v>
      </c>
      <c r="R559" s="3" t="str">
        <f t="shared" si="8"/>
        <v>Cancelled</v>
      </c>
      <c r="S559" s="3" t="s">
        <v>25</v>
      </c>
    </row>
    <row r="560" spans="1:19" x14ac:dyDescent="0.35">
      <c r="A560" s="3">
        <v>1559</v>
      </c>
      <c r="B560" s="3" t="s">
        <v>550</v>
      </c>
      <c r="C560" s="4">
        <v>45429</v>
      </c>
      <c r="D560" s="3" t="s">
        <v>55</v>
      </c>
      <c r="E560" s="4">
        <v>45435</v>
      </c>
      <c r="F560" s="4">
        <v>45440</v>
      </c>
      <c r="G560" s="3" t="s">
        <v>45</v>
      </c>
      <c r="H560" s="3" t="s">
        <v>29</v>
      </c>
      <c r="I560" s="3" t="s">
        <v>39</v>
      </c>
      <c r="J560" s="3" t="s">
        <v>30</v>
      </c>
      <c r="K560" s="3">
        <v>6</v>
      </c>
      <c r="L560" s="3">
        <v>5</v>
      </c>
      <c r="M560" s="3">
        <v>5222</v>
      </c>
      <c r="N560" s="3">
        <v>26110</v>
      </c>
      <c r="O560" s="3">
        <v>26110</v>
      </c>
      <c r="P560" s="3" t="s">
        <v>51</v>
      </c>
      <c r="Q560" s="3">
        <v>0</v>
      </c>
      <c r="R560" s="3" t="str">
        <f t="shared" si="8"/>
        <v>Not Cancelled</v>
      </c>
      <c r="S560" s="3" t="s">
        <v>25</v>
      </c>
    </row>
    <row r="561" spans="1:19" x14ac:dyDescent="0.35">
      <c r="A561" s="3">
        <v>1560</v>
      </c>
      <c r="B561" s="3" t="s">
        <v>551</v>
      </c>
      <c r="C561" s="4">
        <v>45605</v>
      </c>
      <c r="D561" s="3" t="s">
        <v>86</v>
      </c>
      <c r="E561" s="4">
        <v>45646</v>
      </c>
      <c r="F561" s="4">
        <v>45651</v>
      </c>
      <c r="G561" s="3" t="s">
        <v>45</v>
      </c>
      <c r="H561" s="3" t="s">
        <v>35</v>
      </c>
      <c r="I561" s="3" t="s">
        <v>39</v>
      </c>
      <c r="J561" s="3" t="s">
        <v>30</v>
      </c>
      <c r="K561" s="3">
        <v>41</v>
      </c>
      <c r="L561" s="3">
        <v>5</v>
      </c>
      <c r="M561" s="3">
        <v>4858</v>
      </c>
      <c r="N561" s="3">
        <v>24290</v>
      </c>
      <c r="O561" s="3">
        <v>0</v>
      </c>
      <c r="P561" s="3" t="s">
        <v>51</v>
      </c>
      <c r="Q561" s="3">
        <v>1</v>
      </c>
      <c r="R561" s="3" t="str">
        <f t="shared" si="8"/>
        <v>Cancelled</v>
      </c>
      <c r="S561" s="3" t="s">
        <v>25</v>
      </c>
    </row>
    <row r="562" spans="1:19" x14ac:dyDescent="0.35">
      <c r="A562" s="3">
        <v>1561</v>
      </c>
      <c r="B562" s="3" t="s">
        <v>552</v>
      </c>
      <c r="C562" s="4">
        <v>45356</v>
      </c>
      <c r="D562" s="3" t="s">
        <v>96</v>
      </c>
      <c r="E562" s="4">
        <v>45415</v>
      </c>
      <c r="F562" s="4">
        <v>45416</v>
      </c>
      <c r="G562" s="3" t="s">
        <v>34</v>
      </c>
      <c r="H562" s="3" t="s">
        <v>29</v>
      </c>
      <c r="I562" s="3" t="s">
        <v>22</v>
      </c>
      <c r="J562" s="3" t="s">
        <v>23</v>
      </c>
      <c r="K562" s="3">
        <v>59</v>
      </c>
      <c r="L562" s="3">
        <v>1</v>
      </c>
      <c r="M562" s="3">
        <v>2970</v>
      </c>
      <c r="N562" s="3">
        <v>2970</v>
      </c>
      <c r="O562" s="3">
        <v>0</v>
      </c>
      <c r="P562" s="3" t="s">
        <v>51</v>
      </c>
      <c r="Q562" s="3">
        <v>1</v>
      </c>
      <c r="R562" s="3" t="str">
        <f t="shared" si="8"/>
        <v>Cancelled</v>
      </c>
      <c r="S562" s="3" t="s">
        <v>25</v>
      </c>
    </row>
    <row r="563" spans="1:19" x14ac:dyDescent="0.35">
      <c r="A563" s="3">
        <v>1562</v>
      </c>
      <c r="B563" s="3" t="s">
        <v>553</v>
      </c>
      <c r="C563" s="4">
        <v>45304</v>
      </c>
      <c r="D563" s="3" t="s">
        <v>146</v>
      </c>
      <c r="E563" s="4">
        <v>45340</v>
      </c>
      <c r="F563" s="4">
        <v>45342</v>
      </c>
      <c r="G563" s="3" t="s">
        <v>28</v>
      </c>
      <c r="H563" s="3" t="s">
        <v>35</v>
      </c>
      <c r="I563" s="3" t="s">
        <v>22</v>
      </c>
      <c r="J563" s="3" t="s">
        <v>46</v>
      </c>
      <c r="K563" s="3">
        <v>36</v>
      </c>
      <c r="L563" s="3">
        <v>2</v>
      </c>
      <c r="M563" s="3">
        <v>3916</v>
      </c>
      <c r="N563" s="3">
        <v>7832</v>
      </c>
      <c r="O563" s="3">
        <v>0</v>
      </c>
      <c r="P563" s="3" t="s">
        <v>51</v>
      </c>
      <c r="Q563" s="3">
        <v>1</v>
      </c>
      <c r="R563" s="3" t="str">
        <f t="shared" si="8"/>
        <v>Cancelled</v>
      </c>
      <c r="S563" s="3" t="s">
        <v>25</v>
      </c>
    </row>
    <row r="564" spans="1:19" x14ac:dyDescent="0.35">
      <c r="A564" s="3">
        <v>1563</v>
      </c>
      <c r="B564" s="3" t="s">
        <v>554</v>
      </c>
      <c r="C564" s="4">
        <v>45504</v>
      </c>
      <c r="D564" s="3" t="s">
        <v>96</v>
      </c>
      <c r="E564" s="4">
        <v>45563</v>
      </c>
      <c r="F564" s="4">
        <v>45565</v>
      </c>
      <c r="G564" s="3" t="s">
        <v>28</v>
      </c>
      <c r="H564" s="3" t="s">
        <v>60</v>
      </c>
      <c r="I564" s="3" t="s">
        <v>39</v>
      </c>
      <c r="J564" s="3" t="s">
        <v>30</v>
      </c>
      <c r="K564" s="3">
        <v>59</v>
      </c>
      <c r="L564" s="3">
        <v>2</v>
      </c>
      <c r="M564" s="3">
        <v>8261</v>
      </c>
      <c r="N564" s="3">
        <v>16522</v>
      </c>
      <c r="O564" s="3">
        <v>0</v>
      </c>
      <c r="P564" s="3" t="s">
        <v>24</v>
      </c>
      <c r="Q564" s="3">
        <v>1</v>
      </c>
      <c r="R564" s="3" t="str">
        <f t="shared" si="8"/>
        <v>Cancelled</v>
      </c>
      <c r="S564" s="3" t="s">
        <v>25</v>
      </c>
    </row>
    <row r="565" spans="1:19" x14ac:dyDescent="0.35">
      <c r="A565" s="3">
        <v>1564</v>
      </c>
      <c r="B565" s="3" t="s">
        <v>555</v>
      </c>
      <c r="C565" s="4">
        <v>45533</v>
      </c>
      <c r="D565" s="3" t="s">
        <v>28</v>
      </c>
      <c r="E565" s="4">
        <v>45535</v>
      </c>
      <c r="F565" s="4">
        <v>45537</v>
      </c>
      <c r="G565" s="3" t="s">
        <v>28</v>
      </c>
      <c r="H565" s="3" t="s">
        <v>29</v>
      </c>
      <c r="I565" s="3" t="s">
        <v>22</v>
      </c>
      <c r="J565" s="3" t="s">
        <v>30</v>
      </c>
      <c r="K565" s="3">
        <v>2</v>
      </c>
      <c r="L565" s="3">
        <v>2</v>
      </c>
      <c r="M565" s="3">
        <v>3968</v>
      </c>
      <c r="N565" s="3">
        <v>7936</v>
      </c>
      <c r="O565" s="3">
        <v>7936</v>
      </c>
      <c r="P565" s="3" t="s">
        <v>51</v>
      </c>
      <c r="Q565" s="3">
        <v>0</v>
      </c>
      <c r="R565" s="3" t="str">
        <f t="shared" si="8"/>
        <v>Not Cancelled</v>
      </c>
      <c r="S565" s="3" t="s">
        <v>31</v>
      </c>
    </row>
    <row r="566" spans="1:19" x14ac:dyDescent="0.35">
      <c r="A566" s="3">
        <v>1565</v>
      </c>
      <c r="B566" s="3" t="s">
        <v>556</v>
      </c>
      <c r="C566" s="4">
        <v>45504</v>
      </c>
      <c r="D566" s="3" t="s">
        <v>57</v>
      </c>
      <c r="E566" s="4">
        <v>45533</v>
      </c>
      <c r="F566" s="4">
        <v>45538</v>
      </c>
      <c r="G566" s="3" t="s">
        <v>45</v>
      </c>
      <c r="H566" s="3" t="s">
        <v>29</v>
      </c>
      <c r="I566" s="3" t="s">
        <v>39</v>
      </c>
      <c r="J566" s="3" t="s">
        <v>30</v>
      </c>
      <c r="K566" s="3">
        <v>29</v>
      </c>
      <c r="L566" s="3">
        <v>5</v>
      </c>
      <c r="M566" s="3">
        <v>3308</v>
      </c>
      <c r="N566" s="3">
        <v>16540</v>
      </c>
      <c r="O566" s="3">
        <v>0</v>
      </c>
      <c r="P566" s="3" t="s">
        <v>24</v>
      </c>
      <c r="Q566" s="3">
        <v>1</v>
      </c>
      <c r="R566" s="3" t="str">
        <f t="shared" si="8"/>
        <v>Cancelled</v>
      </c>
      <c r="S566" s="3" t="s">
        <v>31</v>
      </c>
    </row>
    <row r="567" spans="1:19" x14ac:dyDescent="0.35">
      <c r="A567" s="3">
        <v>1566</v>
      </c>
      <c r="B567" s="3" t="s">
        <v>340</v>
      </c>
      <c r="C567" s="4">
        <v>45472</v>
      </c>
      <c r="D567" s="3" t="s">
        <v>42</v>
      </c>
      <c r="E567" s="4">
        <v>45476</v>
      </c>
      <c r="F567" s="4">
        <v>45480</v>
      </c>
      <c r="G567" s="3" t="s">
        <v>42</v>
      </c>
      <c r="H567" s="3" t="s">
        <v>38</v>
      </c>
      <c r="I567" s="3" t="s">
        <v>22</v>
      </c>
      <c r="J567" s="3" t="s">
        <v>30</v>
      </c>
      <c r="K567" s="3">
        <v>4</v>
      </c>
      <c r="L567" s="3">
        <v>4</v>
      </c>
      <c r="M567" s="3">
        <v>2671</v>
      </c>
      <c r="N567" s="3">
        <v>10684</v>
      </c>
      <c r="O567" s="3">
        <v>0</v>
      </c>
      <c r="P567" s="3" t="s">
        <v>51</v>
      </c>
      <c r="Q567" s="3">
        <v>1</v>
      </c>
      <c r="R567" s="3" t="str">
        <f t="shared" si="8"/>
        <v>Cancelled</v>
      </c>
      <c r="S567" s="3" t="s">
        <v>31</v>
      </c>
    </row>
    <row r="568" spans="1:19" x14ac:dyDescent="0.35">
      <c r="A568" s="3">
        <v>1567</v>
      </c>
      <c r="B568" s="3" t="s">
        <v>557</v>
      </c>
      <c r="C568" s="4">
        <v>45629</v>
      </c>
      <c r="D568" s="3" t="s">
        <v>34</v>
      </c>
      <c r="E568" s="4">
        <v>45630</v>
      </c>
      <c r="F568" s="4">
        <v>45633</v>
      </c>
      <c r="G568" s="3" t="s">
        <v>20</v>
      </c>
      <c r="H568" s="3" t="s">
        <v>60</v>
      </c>
      <c r="I568" s="3" t="s">
        <v>39</v>
      </c>
      <c r="J568" s="3" t="s">
        <v>30</v>
      </c>
      <c r="K568" s="3">
        <v>1</v>
      </c>
      <c r="L568" s="3">
        <v>3</v>
      </c>
      <c r="M568" s="3">
        <v>6626</v>
      </c>
      <c r="N568" s="3">
        <v>19878</v>
      </c>
      <c r="O568" s="3">
        <v>0</v>
      </c>
      <c r="P568" s="3" t="s">
        <v>51</v>
      </c>
      <c r="Q568" s="3">
        <v>1</v>
      </c>
      <c r="R568" s="3" t="str">
        <f t="shared" si="8"/>
        <v>Cancelled</v>
      </c>
      <c r="S568" s="3" t="s">
        <v>31</v>
      </c>
    </row>
    <row r="569" spans="1:19" x14ac:dyDescent="0.35">
      <c r="A569" s="3">
        <v>1568</v>
      </c>
      <c r="B569" s="3" t="s">
        <v>497</v>
      </c>
      <c r="C569" s="4">
        <v>45464</v>
      </c>
      <c r="D569" s="3" t="s">
        <v>109</v>
      </c>
      <c r="E569" s="4">
        <v>45483</v>
      </c>
      <c r="F569" s="4">
        <v>45488</v>
      </c>
      <c r="G569" s="3" t="s">
        <v>45</v>
      </c>
      <c r="H569" s="3" t="s">
        <v>38</v>
      </c>
      <c r="I569" s="3" t="s">
        <v>22</v>
      </c>
      <c r="J569" s="3" t="s">
        <v>30</v>
      </c>
      <c r="K569" s="3">
        <v>19</v>
      </c>
      <c r="L569" s="3">
        <v>5</v>
      </c>
      <c r="M569" s="3">
        <v>6642</v>
      </c>
      <c r="N569" s="3">
        <v>33210</v>
      </c>
      <c r="O569" s="3">
        <v>33210</v>
      </c>
      <c r="P569" s="3" t="s">
        <v>51</v>
      </c>
      <c r="Q569" s="3">
        <v>0</v>
      </c>
      <c r="R569" s="3" t="str">
        <f t="shared" si="8"/>
        <v>Not Cancelled</v>
      </c>
      <c r="S569" s="3" t="s">
        <v>25</v>
      </c>
    </row>
    <row r="570" spans="1:19" x14ac:dyDescent="0.35">
      <c r="A570" s="3">
        <v>1569</v>
      </c>
      <c r="B570" s="3" t="s">
        <v>239</v>
      </c>
      <c r="C570" s="4">
        <v>45451</v>
      </c>
      <c r="D570" s="3" t="s">
        <v>98</v>
      </c>
      <c r="E570" s="4">
        <v>45477</v>
      </c>
      <c r="F570" s="4">
        <v>45479</v>
      </c>
      <c r="G570" s="3" t="s">
        <v>28</v>
      </c>
      <c r="H570" s="3" t="s">
        <v>35</v>
      </c>
      <c r="I570" s="3" t="s">
        <v>39</v>
      </c>
      <c r="J570" s="3" t="s">
        <v>23</v>
      </c>
      <c r="K570" s="3">
        <v>26</v>
      </c>
      <c r="L570" s="3">
        <v>2</v>
      </c>
      <c r="M570" s="3">
        <v>6725</v>
      </c>
      <c r="N570" s="3">
        <v>13450</v>
      </c>
      <c r="O570" s="3">
        <v>13450</v>
      </c>
      <c r="P570" s="3" t="s">
        <v>51</v>
      </c>
      <c r="Q570" s="3">
        <v>0</v>
      </c>
      <c r="R570" s="3" t="str">
        <f t="shared" si="8"/>
        <v>Not Cancelled</v>
      </c>
      <c r="S570" s="3" t="s">
        <v>31</v>
      </c>
    </row>
    <row r="571" spans="1:19" x14ac:dyDescent="0.35">
      <c r="A571" s="3">
        <v>1570</v>
      </c>
      <c r="B571" s="3" t="s">
        <v>558</v>
      </c>
      <c r="C571" s="4">
        <v>45455</v>
      </c>
      <c r="D571" s="3" t="s">
        <v>107</v>
      </c>
      <c r="E571" s="4">
        <v>45480</v>
      </c>
      <c r="F571" s="4">
        <v>45485</v>
      </c>
      <c r="G571" s="3" t="s">
        <v>45</v>
      </c>
      <c r="H571" s="3" t="s">
        <v>35</v>
      </c>
      <c r="I571" s="3" t="s">
        <v>22</v>
      </c>
      <c r="J571" s="3" t="s">
        <v>23</v>
      </c>
      <c r="K571" s="3">
        <v>25</v>
      </c>
      <c r="L571" s="3">
        <v>5</v>
      </c>
      <c r="M571" s="3">
        <v>4899</v>
      </c>
      <c r="N571" s="3">
        <v>24495</v>
      </c>
      <c r="O571" s="3">
        <v>24495</v>
      </c>
      <c r="P571" s="3" t="s">
        <v>51</v>
      </c>
      <c r="Q571" s="3">
        <v>0</v>
      </c>
      <c r="R571" s="3" t="str">
        <f t="shared" si="8"/>
        <v>Not Cancelled</v>
      </c>
      <c r="S571" s="3" t="s">
        <v>25</v>
      </c>
    </row>
    <row r="572" spans="1:19" x14ac:dyDescent="0.35">
      <c r="A572" s="3">
        <v>1571</v>
      </c>
      <c r="B572" s="3" t="s">
        <v>440</v>
      </c>
      <c r="C572" s="4">
        <v>45479</v>
      </c>
      <c r="D572" s="3" t="s">
        <v>37</v>
      </c>
      <c r="E572" s="4">
        <v>45489</v>
      </c>
      <c r="F572" s="4">
        <v>45490</v>
      </c>
      <c r="G572" s="3" t="s">
        <v>34</v>
      </c>
      <c r="H572" s="3" t="s">
        <v>60</v>
      </c>
      <c r="I572" s="3" t="s">
        <v>22</v>
      </c>
      <c r="J572" s="3" t="s">
        <v>30</v>
      </c>
      <c r="K572" s="3">
        <v>10</v>
      </c>
      <c r="L572" s="3">
        <v>1</v>
      </c>
      <c r="M572" s="3">
        <v>7573</v>
      </c>
      <c r="N572" s="3">
        <v>7573</v>
      </c>
      <c r="O572" s="3">
        <v>7573</v>
      </c>
      <c r="P572" s="3" t="s">
        <v>51</v>
      </c>
      <c r="Q572" s="3">
        <v>0</v>
      </c>
      <c r="R572" s="3" t="str">
        <f t="shared" si="8"/>
        <v>Not Cancelled</v>
      </c>
      <c r="S572" s="3" t="s">
        <v>25</v>
      </c>
    </row>
    <row r="573" spans="1:19" x14ac:dyDescent="0.35">
      <c r="A573" s="3">
        <v>1572</v>
      </c>
      <c r="B573" s="3" t="s">
        <v>559</v>
      </c>
      <c r="C573" s="4">
        <v>45482</v>
      </c>
      <c r="D573" s="3" t="s">
        <v>133</v>
      </c>
      <c r="E573" s="4">
        <v>45535</v>
      </c>
      <c r="F573" s="4">
        <v>45537</v>
      </c>
      <c r="G573" s="3" t="s">
        <v>28</v>
      </c>
      <c r="H573" s="3" t="s">
        <v>35</v>
      </c>
      <c r="I573" s="3" t="s">
        <v>39</v>
      </c>
      <c r="J573" s="3" t="s">
        <v>23</v>
      </c>
      <c r="K573" s="3">
        <v>53</v>
      </c>
      <c r="L573" s="3">
        <v>2</v>
      </c>
      <c r="M573" s="3">
        <v>4145</v>
      </c>
      <c r="N573" s="3">
        <v>8290</v>
      </c>
      <c r="O573" s="3">
        <v>0</v>
      </c>
      <c r="P573" s="3" t="s">
        <v>24</v>
      </c>
      <c r="Q573" s="3">
        <v>1</v>
      </c>
      <c r="R573" s="3" t="str">
        <f t="shared" si="8"/>
        <v>Cancelled</v>
      </c>
      <c r="S573" s="3" t="s">
        <v>25</v>
      </c>
    </row>
    <row r="574" spans="1:19" x14ac:dyDescent="0.35">
      <c r="A574" s="3">
        <v>1573</v>
      </c>
      <c r="B574" s="3" t="s">
        <v>560</v>
      </c>
      <c r="C574" s="4">
        <v>45599</v>
      </c>
      <c r="D574" s="3" t="s">
        <v>277</v>
      </c>
      <c r="E574" s="4">
        <v>45614</v>
      </c>
      <c r="F574" s="4">
        <v>45615</v>
      </c>
      <c r="G574" s="3" t="s">
        <v>34</v>
      </c>
      <c r="H574" s="3" t="s">
        <v>60</v>
      </c>
      <c r="I574" s="3" t="s">
        <v>22</v>
      </c>
      <c r="J574" s="3" t="s">
        <v>46</v>
      </c>
      <c r="K574" s="3">
        <v>15</v>
      </c>
      <c r="L574" s="3">
        <v>1</v>
      </c>
      <c r="M574" s="3">
        <v>8200</v>
      </c>
      <c r="N574" s="3">
        <v>8200</v>
      </c>
      <c r="O574" s="3">
        <v>8200</v>
      </c>
      <c r="P574" s="3" t="s">
        <v>24</v>
      </c>
      <c r="Q574" s="3">
        <v>0</v>
      </c>
      <c r="R574" s="3" t="str">
        <f t="shared" si="8"/>
        <v>Not Cancelled</v>
      </c>
      <c r="S574" s="3" t="s">
        <v>31</v>
      </c>
    </row>
    <row r="575" spans="1:19" x14ac:dyDescent="0.35">
      <c r="A575" s="3">
        <v>1574</v>
      </c>
      <c r="B575" s="3" t="s">
        <v>561</v>
      </c>
      <c r="C575" s="4">
        <v>45547</v>
      </c>
      <c r="D575" s="3" t="s">
        <v>96</v>
      </c>
      <c r="E575" s="4">
        <v>45606</v>
      </c>
      <c r="F575" s="4">
        <v>45608</v>
      </c>
      <c r="G575" s="3" t="s">
        <v>28</v>
      </c>
      <c r="H575" s="3" t="s">
        <v>35</v>
      </c>
      <c r="I575" s="3" t="s">
        <v>22</v>
      </c>
      <c r="J575" s="3" t="s">
        <v>46</v>
      </c>
      <c r="K575" s="3">
        <v>59</v>
      </c>
      <c r="L575" s="3">
        <v>2</v>
      </c>
      <c r="M575" s="3">
        <v>2557</v>
      </c>
      <c r="N575" s="3">
        <v>5114</v>
      </c>
      <c r="O575" s="3">
        <v>0</v>
      </c>
      <c r="P575" s="3" t="s">
        <v>51</v>
      </c>
      <c r="Q575" s="3">
        <v>1</v>
      </c>
      <c r="R575" s="3" t="str">
        <f t="shared" si="8"/>
        <v>Cancelled</v>
      </c>
      <c r="S575" s="3" t="s">
        <v>25</v>
      </c>
    </row>
    <row r="576" spans="1:19" x14ac:dyDescent="0.35">
      <c r="A576" s="3">
        <v>1575</v>
      </c>
      <c r="B576" s="3" t="s">
        <v>177</v>
      </c>
      <c r="C576" s="4">
        <v>45474</v>
      </c>
      <c r="D576" s="3" t="s">
        <v>19</v>
      </c>
      <c r="E576" s="4">
        <v>45496</v>
      </c>
      <c r="F576" s="4">
        <v>45501</v>
      </c>
      <c r="G576" s="3" t="s">
        <v>45</v>
      </c>
      <c r="H576" s="3" t="s">
        <v>21</v>
      </c>
      <c r="I576" s="3" t="s">
        <v>22</v>
      </c>
      <c r="J576" s="3" t="s">
        <v>30</v>
      </c>
      <c r="K576" s="3">
        <v>22</v>
      </c>
      <c r="L576" s="3">
        <v>5</v>
      </c>
      <c r="M576" s="3">
        <v>3629</v>
      </c>
      <c r="N576" s="3">
        <v>18145</v>
      </c>
      <c r="O576" s="3">
        <v>0</v>
      </c>
      <c r="P576" s="3" t="s">
        <v>51</v>
      </c>
      <c r="Q576" s="3">
        <v>1</v>
      </c>
      <c r="R576" s="3" t="str">
        <f t="shared" si="8"/>
        <v>Cancelled</v>
      </c>
      <c r="S576" s="3" t="s">
        <v>31</v>
      </c>
    </row>
    <row r="577" spans="1:19" x14ac:dyDescent="0.35">
      <c r="A577" s="3">
        <v>1576</v>
      </c>
      <c r="B577" s="3" t="s">
        <v>459</v>
      </c>
      <c r="C577" s="4">
        <v>45408</v>
      </c>
      <c r="D577" s="3" t="s">
        <v>124</v>
      </c>
      <c r="E577" s="4">
        <v>45459</v>
      </c>
      <c r="F577" s="4">
        <v>45463</v>
      </c>
      <c r="G577" s="3" t="s">
        <v>42</v>
      </c>
      <c r="H577" s="3" t="s">
        <v>29</v>
      </c>
      <c r="I577" s="3" t="s">
        <v>22</v>
      </c>
      <c r="J577" s="3" t="s">
        <v>46</v>
      </c>
      <c r="K577" s="3">
        <v>51</v>
      </c>
      <c r="L577" s="3">
        <v>4</v>
      </c>
      <c r="M577" s="3">
        <v>3853</v>
      </c>
      <c r="N577" s="3">
        <v>15412</v>
      </c>
      <c r="O577" s="3">
        <v>15412</v>
      </c>
      <c r="P577" s="3" t="s">
        <v>51</v>
      </c>
      <c r="Q577" s="3">
        <v>0</v>
      </c>
      <c r="R577" s="3" t="str">
        <f t="shared" si="8"/>
        <v>Not Cancelled</v>
      </c>
      <c r="S577" s="3" t="s">
        <v>31</v>
      </c>
    </row>
    <row r="578" spans="1:19" x14ac:dyDescent="0.35">
      <c r="A578" s="3">
        <v>1577</v>
      </c>
      <c r="B578" s="3" t="s">
        <v>562</v>
      </c>
      <c r="C578" s="4">
        <v>45573</v>
      </c>
      <c r="D578" s="3" t="s">
        <v>73</v>
      </c>
      <c r="E578" s="4">
        <v>45621</v>
      </c>
      <c r="F578" s="4">
        <v>45624</v>
      </c>
      <c r="G578" s="3" t="s">
        <v>20</v>
      </c>
      <c r="H578" s="3" t="s">
        <v>21</v>
      </c>
      <c r="I578" s="3" t="s">
        <v>22</v>
      </c>
      <c r="J578" s="3" t="s">
        <v>46</v>
      </c>
      <c r="K578" s="3">
        <v>48</v>
      </c>
      <c r="L578" s="3">
        <v>3</v>
      </c>
      <c r="M578" s="3">
        <v>3267</v>
      </c>
      <c r="N578" s="3">
        <v>9801</v>
      </c>
      <c r="O578" s="3">
        <v>9801</v>
      </c>
      <c r="P578" s="3" t="s">
        <v>24</v>
      </c>
      <c r="Q578" s="3">
        <v>0</v>
      </c>
      <c r="R578" s="3" t="str">
        <f t="shared" si="8"/>
        <v>Not Cancelled</v>
      </c>
      <c r="S578" s="3" t="s">
        <v>31</v>
      </c>
    </row>
    <row r="579" spans="1:19" x14ac:dyDescent="0.35">
      <c r="A579" s="3">
        <v>1578</v>
      </c>
      <c r="B579" s="3" t="s">
        <v>563</v>
      </c>
      <c r="C579" s="4">
        <v>45487</v>
      </c>
      <c r="D579" s="3" t="s">
        <v>175</v>
      </c>
      <c r="E579" s="4">
        <v>45508</v>
      </c>
      <c r="F579" s="4">
        <v>45509</v>
      </c>
      <c r="G579" s="3" t="s">
        <v>34</v>
      </c>
      <c r="H579" s="3" t="s">
        <v>60</v>
      </c>
      <c r="I579" s="3" t="s">
        <v>22</v>
      </c>
      <c r="J579" s="3" t="s">
        <v>23</v>
      </c>
      <c r="K579" s="3">
        <v>21</v>
      </c>
      <c r="L579" s="3">
        <v>1</v>
      </c>
      <c r="M579" s="3">
        <v>6395</v>
      </c>
      <c r="N579" s="3">
        <v>6395</v>
      </c>
      <c r="O579" s="3">
        <v>0</v>
      </c>
      <c r="P579" s="3" t="s">
        <v>51</v>
      </c>
      <c r="Q579" s="3">
        <v>1</v>
      </c>
      <c r="R579" s="3" t="str">
        <f t="shared" ref="R579:R642" si="9">IF(Q579=0,"Not Cancelled","Cancelled")</f>
        <v>Cancelled</v>
      </c>
      <c r="S579" s="3" t="s">
        <v>31</v>
      </c>
    </row>
    <row r="580" spans="1:19" x14ac:dyDescent="0.35">
      <c r="A580" s="3">
        <v>1579</v>
      </c>
      <c r="B580" s="3" t="s">
        <v>564</v>
      </c>
      <c r="C580" s="4">
        <v>45325</v>
      </c>
      <c r="D580" s="3" t="s">
        <v>96</v>
      </c>
      <c r="E580" s="4">
        <v>45384</v>
      </c>
      <c r="F580" s="4">
        <v>45389</v>
      </c>
      <c r="G580" s="3" t="s">
        <v>45</v>
      </c>
      <c r="H580" s="3" t="s">
        <v>60</v>
      </c>
      <c r="I580" s="3" t="s">
        <v>22</v>
      </c>
      <c r="J580" s="3" t="s">
        <v>23</v>
      </c>
      <c r="K580" s="3">
        <v>59</v>
      </c>
      <c r="L580" s="3">
        <v>5</v>
      </c>
      <c r="M580" s="3">
        <v>3182</v>
      </c>
      <c r="N580" s="3">
        <v>15910</v>
      </c>
      <c r="O580" s="3">
        <v>0</v>
      </c>
      <c r="P580" s="3" t="s">
        <v>24</v>
      </c>
      <c r="Q580" s="3">
        <v>1</v>
      </c>
      <c r="R580" s="3" t="str">
        <f t="shared" si="9"/>
        <v>Cancelled</v>
      </c>
      <c r="S580" s="3" t="s">
        <v>31</v>
      </c>
    </row>
    <row r="581" spans="1:19" x14ac:dyDescent="0.35">
      <c r="A581" s="3">
        <v>1580</v>
      </c>
      <c r="B581" s="3" t="s">
        <v>565</v>
      </c>
      <c r="C581" s="4">
        <v>45343</v>
      </c>
      <c r="D581" s="3" t="s">
        <v>94</v>
      </c>
      <c r="E581" s="4">
        <v>45399</v>
      </c>
      <c r="F581" s="4">
        <v>45403</v>
      </c>
      <c r="G581" s="3" t="s">
        <v>42</v>
      </c>
      <c r="H581" s="3" t="s">
        <v>21</v>
      </c>
      <c r="I581" s="3" t="s">
        <v>22</v>
      </c>
      <c r="J581" s="3" t="s">
        <v>23</v>
      </c>
      <c r="K581" s="3">
        <v>56</v>
      </c>
      <c r="L581" s="3">
        <v>4</v>
      </c>
      <c r="M581" s="3">
        <v>5954</v>
      </c>
      <c r="N581" s="3">
        <v>23816</v>
      </c>
      <c r="O581" s="3">
        <v>23816</v>
      </c>
      <c r="P581" s="3" t="s">
        <v>24</v>
      </c>
      <c r="Q581" s="3">
        <v>0</v>
      </c>
      <c r="R581" s="3" t="str">
        <f t="shared" si="9"/>
        <v>Not Cancelled</v>
      </c>
      <c r="S581" s="3" t="s">
        <v>25</v>
      </c>
    </row>
    <row r="582" spans="1:19" x14ac:dyDescent="0.35">
      <c r="A582" s="3">
        <v>1581</v>
      </c>
      <c r="B582" s="3" t="s">
        <v>549</v>
      </c>
      <c r="C582" s="4">
        <v>45403</v>
      </c>
      <c r="D582" s="3" t="s">
        <v>19</v>
      </c>
      <c r="E582" s="4">
        <v>45425</v>
      </c>
      <c r="F582" s="4">
        <v>45430</v>
      </c>
      <c r="G582" s="3" t="s">
        <v>45</v>
      </c>
      <c r="H582" s="3" t="s">
        <v>29</v>
      </c>
      <c r="I582" s="3" t="s">
        <v>39</v>
      </c>
      <c r="J582" s="3" t="s">
        <v>23</v>
      </c>
      <c r="K582" s="3">
        <v>22</v>
      </c>
      <c r="L582" s="3">
        <v>5</v>
      </c>
      <c r="M582" s="3">
        <v>4508</v>
      </c>
      <c r="N582" s="3">
        <v>22540</v>
      </c>
      <c r="O582" s="3">
        <v>0</v>
      </c>
      <c r="P582" s="3" t="s">
        <v>24</v>
      </c>
      <c r="Q582" s="3">
        <v>1</v>
      </c>
      <c r="R582" s="3" t="str">
        <f t="shared" si="9"/>
        <v>Cancelled</v>
      </c>
      <c r="S582" s="3" t="s">
        <v>25</v>
      </c>
    </row>
    <row r="583" spans="1:19" x14ac:dyDescent="0.35">
      <c r="A583" s="3">
        <v>1582</v>
      </c>
      <c r="B583" s="3" t="s">
        <v>444</v>
      </c>
      <c r="C583" s="4">
        <v>45543</v>
      </c>
      <c r="D583" s="3" t="s">
        <v>146</v>
      </c>
      <c r="E583" s="4">
        <v>45579</v>
      </c>
      <c r="F583" s="4">
        <v>45580</v>
      </c>
      <c r="G583" s="3" t="s">
        <v>34</v>
      </c>
      <c r="H583" s="3" t="s">
        <v>29</v>
      </c>
      <c r="I583" s="3" t="s">
        <v>22</v>
      </c>
      <c r="J583" s="3" t="s">
        <v>46</v>
      </c>
      <c r="K583" s="3">
        <v>36</v>
      </c>
      <c r="L583" s="3">
        <v>1</v>
      </c>
      <c r="M583" s="3">
        <v>8929</v>
      </c>
      <c r="N583" s="3">
        <v>8929</v>
      </c>
      <c r="O583" s="3">
        <v>0</v>
      </c>
      <c r="P583" s="3" t="s">
        <v>24</v>
      </c>
      <c r="Q583" s="3">
        <v>1</v>
      </c>
      <c r="R583" s="3" t="str">
        <f t="shared" si="9"/>
        <v>Cancelled</v>
      </c>
      <c r="S583" s="3" t="s">
        <v>31</v>
      </c>
    </row>
    <row r="584" spans="1:19" x14ac:dyDescent="0.35">
      <c r="A584" s="3">
        <v>1583</v>
      </c>
      <c r="B584" s="3" t="s">
        <v>532</v>
      </c>
      <c r="C584" s="4">
        <v>45373</v>
      </c>
      <c r="D584" s="3" t="s">
        <v>128</v>
      </c>
      <c r="E584" s="4">
        <v>45407</v>
      </c>
      <c r="F584" s="4">
        <v>45410</v>
      </c>
      <c r="G584" s="3" t="s">
        <v>20</v>
      </c>
      <c r="H584" s="3" t="s">
        <v>38</v>
      </c>
      <c r="I584" s="3" t="s">
        <v>39</v>
      </c>
      <c r="J584" s="3" t="s">
        <v>30</v>
      </c>
      <c r="K584" s="3">
        <v>34</v>
      </c>
      <c r="L584" s="3">
        <v>3</v>
      </c>
      <c r="M584" s="3">
        <v>5642</v>
      </c>
      <c r="N584" s="3">
        <v>16926</v>
      </c>
      <c r="O584" s="3">
        <v>0</v>
      </c>
      <c r="P584" s="3" t="s">
        <v>24</v>
      </c>
      <c r="Q584" s="3">
        <v>1</v>
      </c>
      <c r="R584" s="3" t="str">
        <f t="shared" si="9"/>
        <v>Cancelled</v>
      </c>
      <c r="S584" s="3" t="s">
        <v>25</v>
      </c>
    </row>
    <row r="585" spans="1:19" x14ac:dyDescent="0.35">
      <c r="A585" s="3">
        <v>1584</v>
      </c>
      <c r="B585" s="3" t="s">
        <v>285</v>
      </c>
      <c r="C585" s="4">
        <v>45523</v>
      </c>
      <c r="D585" s="3" t="s">
        <v>50</v>
      </c>
      <c r="E585" s="4">
        <v>45553</v>
      </c>
      <c r="F585" s="4">
        <v>45558</v>
      </c>
      <c r="G585" s="3" t="s">
        <v>45</v>
      </c>
      <c r="H585" s="3" t="s">
        <v>35</v>
      </c>
      <c r="I585" s="3" t="s">
        <v>22</v>
      </c>
      <c r="J585" s="3" t="s">
        <v>23</v>
      </c>
      <c r="K585" s="3">
        <v>30</v>
      </c>
      <c r="L585" s="3">
        <v>5</v>
      </c>
      <c r="M585" s="3">
        <v>4290</v>
      </c>
      <c r="N585" s="3">
        <v>21450</v>
      </c>
      <c r="O585" s="3">
        <v>21450</v>
      </c>
      <c r="P585" s="3" t="s">
        <v>51</v>
      </c>
      <c r="Q585" s="3">
        <v>0</v>
      </c>
      <c r="R585" s="3" t="str">
        <f t="shared" si="9"/>
        <v>Not Cancelled</v>
      </c>
      <c r="S585" s="3" t="s">
        <v>31</v>
      </c>
    </row>
    <row r="586" spans="1:19" x14ac:dyDescent="0.35">
      <c r="A586" s="3">
        <v>1585</v>
      </c>
      <c r="B586" s="3" t="s">
        <v>566</v>
      </c>
      <c r="C586" s="4">
        <v>45518</v>
      </c>
      <c r="D586" s="3" t="s">
        <v>107</v>
      </c>
      <c r="E586" s="4">
        <v>45543</v>
      </c>
      <c r="F586" s="4">
        <v>45545</v>
      </c>
      <c r="G586" s="3" t="s">
        <v>28</v>
      </c>
      <c r="H586" s="3" t="s">
        <v>38</v>
      </c>
      <c r="I586" s="3" t="s">
        <v>39</v>
      </c>
      <c r="J586" s="3" t="s">
        <v>46</v>
      </c>
      <c r="K586" s="3">
        <v>25</v>
      </c>
      <c r="L586" s="3">
        <v>2</v>
      </c>
      <c r="M586" s="3">
        <v>3977</v>
      </c>
      <c r="N586" s="3">
        <v>7954</v>
      </c>
      <c r="O586" s="3">
        <v>7954</v>
      </c>
      <c r="P586" s="3" t="s">
        <v>24</v>
      </c>
      <c r="Q586" s="3">
        <v>0</v>
      </c>
      <c r="R586" s="3" t="str">
        <f t="shared" si="9"/>
        <v>Not Cancelled</v>
      </c>
      <c r="S586" s="3" t="s">
        <v>25</v>
      </c>
    </row>
    <row r="587" spans="1:19" x14ac:dyDescent="0.35">
      <c r="A587" s="3">
        <v>1586</v>
      </c>
      <c r="B587" s="3" t="s">
        <v>567</v>
      </c>
      <c r="C587" s="4">
        <v>45524</v>
      </c>
      <c r="D587" s="3" t="s">
        <v>64</v>
      </c>
      <c r="E587" s="4">
        <v>45569</v>
      </c>
      <c r="F587" s="4">
        <v>45573</v>
      </c>
      <c r="G587" s="3" t="s">
        <v>42</v>
      </c>
      <c r="H587" s="3" t="s">
        <v>29</v>
      </c>
      <c r="I587" s="3" t="s">
        <v>22</v>
      </c>
      <c r="J587" s="3" t="s">
        <v>23</v>
      </c>
      <c r="K587" s="3">
        <v>45</v>
      </c>
      <c r="L587" s="3">
        <v>4</v>
      </c>
      <c r="M587" s="3">
        <v>3385</v>
      </c>
      <c r="N587" s="3">
        <v>13540</v>
      </c>
      <c r="O587" s="3">
        <v>0</v>
      </c>
      <c r="P587" s="3" t="s">
        <v>24</v>
      </c>
      <c r="Q587" s="3">
        <v>1</v>
      </c>
      <c r="R587" s="3" t="str">
        <f t="shared" si="9"/>
        <v>Cancelled</v>
      </c>
      <c r="S587" s="3" t="s">
        <v>25</v>
      </c>
    </row>
    <row r="588" spans="1:19" x14ac:dyDescent="0.35">
      <c r="A588" s="3">
        <v>1587</v>
      </c>
      <c r="B588" s="3" t="s">
        <v>568</v>
      </c>
      <c r="C588" s="4">
        <v>45512</v>
      </c>
      <c r="D588" s="3" t="s">
        <v>82</v>
      </c>
      <c r="E588" s="4">
        <v>45540</v>
      </c>
      <c r="F588" s="4">
        <v>45545</v>
      </c>
      <c r="G588" s="3" t="s">
        <v>45</v>
      </c>
      <c r="H588" s="3" t="s">
        <v>21</v>
      </c>
      <c r="I588" s="3" t="s">
        <v>39</v>
      </c>
      <c r="J588" s="3" t="s">
        <v>46</v>
      </c>
      <c r="K588" s="3">
        <v>28</v>
      </c>
      <c r="L588" s="3">
        <v>5</v>
      </c>
      <c r="M588" s="3">
        <v>6406</v>
      </c>
      <c r="N588" s="3">
        <v>32030</v>
      </c>
      <c r="O588" s="3">
        <v>0</v>
      </c>
      <c r="P588" s="3" t="s">
        <v>51</v>
      </c>
      <c r="Q588" s="3">
        <v>1</v>
      </c>
      <c r="R588" s="3" t="str">
        <f t="shared" si="9"/>
        <v>Cancelled</v>
      </c>
      <c r="S588" s="3" t="s">
        <v>25</v>
      </c>
    </row>
    <row r="589" spans="1:19" x14ac:dyDescent="0.35">
      <c r="A589" s="3">
        <v>1588</v>
      </c>
      <c r="B589" s="3" t="s">
        <v>569</v>
      </c>
      <c r="C589" s="4">
        <v>45333</v>
      </c>
      <c r="D589" s="3" t="s">
        <v>34</v>
      </c>
      <c r="E589" s="4">
        <v>45334</v>
      </c>
      <c r="F589" s="4">
        <v>45338</v>
      </c>
      <c r="G589" s="3" t="s">
        <v>42</v>
      </c>
      <c r="H589" s="3" t="s">
        <v>35</v>
      </c>
      <c r="I589" s="3" t="s">
        <v>39</v>
      </c>
      <c r="J589" s="3" t="s">
        <v>23</v>
      </c>
      <c r="K589" s="3">
        <v>1</v>
      </c>
      <c r="L589" s="3">
        <v>4</v>
      </c>
      <c r="M589" s="3">
        <v>6992</v>
      </c>
      <c r="N589" s="3">
        <v>27968</v>
      </c>
      <c r="O589" s="3">
        <v>0</v>
      </c>
      <c r="P589" s="3" t="s">
        <v>51</v>
      </c>
      <c r="Q589" s="3">
        <v>1</v>
      </c>
      <c r="R589" s="3" t="str">
        <f t="shared" si="9"/>
        <v>Cancelled</v>
      </c>
      <c r="S589" s="3" t="s">
        <v>25</v>
      </c>
    </row>
    <row r="590" spans="1:19" x14ac:dyDescent="0.35">
      <c r="A590" s="3">
        <v>1589</v>
      </c>
      <c r="B590" s="3" t="s">
        <v>278</v>
      </c>
      <c r="C590" s="4">
        <v>45312</v>
      </c>
      <c r="D590" s="3" t="s">
        <v>211</v>
      </c>
      <c r="E590" s="4">
        <v>45361</v>
      </c>
      <c r="F590" s="4">
        <v>45363</v>
      </c>
      <c r="G590" s="3" t="s">
        <v>28</v>
      </c>
      <c r="H590" s="3" t="s">
        <v>21</v>
      </c>
      <c r="I590" s="3" t="s">
        <v>22</v>
      </c>
      <c r="J590" s="3" t="s">
        <v>30</v>
      </c>
      <c r="K590" s="3">
        <v>49</v>
      </c>
      <c r="L590" s="3">
        <v>2</v>
      </c>
      <c r="M590" s="3">
        <v>4038</v>
      </c>
      <c r="N590" s="3">
        <v>8076</v>
      </c>
      <c r="O590" s="3">
        <v>8076</v>
      </c>
      <c r="P590" s="3" t="s">
        <v>24</v>
      </c>
      <c r="Q590" s="3">
        <v>0</v>
      </c>
      <c r="R590" s="3" t="str">
        <f t="shared" si="9"/>
        <v>Not Cancelled</v>
      </c>
      <c r="S590" s="3" t="s">
        <v>25</v>
      </c>
    </row>
    <row r="591" spans="1:19" x14ac:dyDescent="0.35">
      <c r="A591" s="3">
        <v>1590</v>
      </c>
      <c r="B591" s="3" t="s">
        <v>570</v>
      </c>
      <c r="C591" s="4">
        <v>45333</v>
      </c>
      <c r="D591" s="3" t="s">
        <v>64</v>
      </c>
      <c r="E591" s="4">
        <v>45378</v>
      </c>
      <c r="F591" s="4">
        <v>45381</v>
      </c>
      <c r="G591" s="3" t="s">
        <v>20</v>
      </c>
      <c r="H591" s="3" t="s">
        <v>38</v>
      </c>
      <c r="I591" s="3" t="s">
        <v>39</v>
      </c>
      <c r="J591" s="3" t="s">
        <v>23</v>
      </c>
      <c r="K591" s="3">
        <v>45</v>
      </c>
      <c r="L591" s="3">
        <v>3</v>
      </c>
      <c r="M591" s="3">
        <v>4573</v>
      </c>
      <c r="N591" s="3">
        <v>13719</v>
      </c>
      <c r="O591" s="3">
        <v>13719</v>
      </c>
      <c r="P591" s="3" t="s">
        <v>51</v>
      </c>
      <c r="Q591" s="3">
        <v>0</v>
      </c>
      <c r="R591" s="3" t="str">
        <f t="shared" si="9"/>
        <v>Not Cancelled</v>
      </c>
      <c r="S591" s="3" t="s">
        <v>25</v>
      </c>
    </row>
    <row r="592" spans="1:19" x14ac:dyDescent="0.35">
      <c r="A592" s="3">
        <v>1591</v>
      </c>
      <c r="B592" s="3" t="s">
        <v>571</v>
      </c>
      <c r="C592" s="4">
        <v>45404</v>
      </c>
      <c r="D592" s="3" t="s">
        <v>42</v>
      </c>
      <c r="E592" s="4">
        <v>45408</v>
      </c>
      <c r="F592" s="4">
        <v>45411</v>
      </c>
      <c r="G592" s="3" t="s">
        <v>20</v>
      </c>
      <c r="H592" s="3" t="s">
        <v>60</v>
      </c>
      <c r="I592" s="3" t="s">
        <v>22</v>
      </c>
      <c r="J592" s="3" t="s">
        <v>30</v>
      </c>
      <c r="K592" s="3">
        <v>4</v>
      </c>
      <c r="L592" s="3">
        <v>3</v>
      </c>
      <c r="M592" s="3">
        <v>2812</v>
      </c>
      <c r="N592" s="3">
        <v>8436</v>
      </c>
      <c r="O592" s="3">
        <v>8436</v>
      </c>
      <c r="P592" s="3" t="s">
        <v>51</v>
      </c>
      <c r="Q592" s="3">
        <v>0</v>
      </c>
      <c r="R592" s="3" t="str">
        <f t="shared" si="9"/>
        <v>Not Cancelled</v>
      </c>
      <c r="S592" s="3" t="s">
        <v>25</v>
      </c>
    </row>
    <row r="593" spans="1:19" x14ac:dyDescent="0.35">
      <c r="A593" s="3">
        <v>1592</v>
      </c>
      <c r="B593" s="3" t="s">
        <v>572</v>
      </c>
      <c r="C593" s="4">
        <v>45396</v>
      </c>
      <c r="D593" s="3" t="s">
        <v>209</v>
      </c>
      <c r="E593" s="4">
        <v>45403</v>
      </c>
      <c r="F593" s="4">
        <v>45405</v>
      </c>
      <c r="G593" s="3" t="s">
        <v>28</v>
      </c>
      <c r="H593" s="3" t="s">
        <v>21</v>
      </c>
      <c r="I593" s="3" t="s">
        <v>22</v>
      </c>
      <c r="J593" s="3" t="s">
        <v>23</v>
      </c>
      <c r="K593" s="3">
        <v>7</v>
      </c>
      <c r="L593" s="3">
        <v>2</v>
      </c>
      <c r="M593" s="3">
        <v>8769</v>
      </c>
      <c r="N593" s="3">
        <v>17538</v>
      </c>
      <c r="O593" s="3">
        <v>17538</v>
      </c>
      <c r="P593" s="3" t="s">
        <v>51</v>
      </c>
      <c r="Q593" s="3">
        <v>0</v>
      </c>
      <c r="R593" s="3" t="str">
        <f t="shared" si="9"/>
        <v>Not Cancelled</v>
      </c>
      <c r="S593" s="3" t="s">
        <v>25</v>
      </c>
    </row>
    <row r="594" spans="1:19" x14ac:dyDescent="0.35">
      <c r="A594" s="3">
        <v>1593</v>
      </c>
      <c r="B594" s="3" t="s">
        <v>573</v>
      </c>
      <c r="C594" s="4">
        <v>45483</v>
      </c>
      <c r="D594" s="3" t="s">
        <v>211</v>
      </c>
      <c r="E594" s="4">
        <v>45532</v>
      </c>
      <c r="F594" s="4">
        <v>45536</v>
      </c>
      <c r="G594" s="3" t="s">
        <v>42</v>
      </c>
      <c r="H594" s="3" t="s">
        <v>38</v>
      </c>
      <c r="I594" s="3" t="s">
        <v>39</v>
      </c>
      <c r="J594" s="3" t="s">
        <v>23</v>
      </c>
      <c r="K594" s="3">
        <v>49</v>
      </c>
      <c r="L594" s="3">
        <v>4</v>
      </c>
      <c r="M594" s="3">
        <v>8184</v>
      </c>
      <c r="N594" s="3">
        <v>32736</v>
      </c>
      <c r="O594" s="3">
        <v>0</v>
      </c>
      <c r="P594" s="3" t="s">
        <v>24</v>
      </c>
      <c r="Q594" s="3">
        <v>1</v>
      </c>
      <c r="R594" s="3" t="str">
        <f t="shared" si="9"/>
        <v>Cancelled</v>
      </c>
      <c r="S594" s="3" t="s">
        <v>25</v>
      </c>
    </row>
    <row r="595" spans="1:19" x14ac:dyDescent="0.35">
      <c r="A595" s="3">
        <v>1594</v>
      </c>
      <c r="B595" s="3" t="s">
        <v>574</v>
      </c>
      <c r="C595" s="4">
        <v>45308</v>
      </c>
      <c r="D595" s="3" t="s">
        <v>165</v>
      </c>
      <c r="E595" s="4">
        <v>45317</v>
      </c>
      <c r="F595" s="4">
        <v>45322</v>
      </c>
      <c r="G595" s="3" t="s">
        <v>45</v>
      </c>
      <c r="H595" s="3" t="s">
        <v>38</v>
      </c>
      <c r="I595" s="3" t="s">
        <v>22</v>
      </c>
      <c r="J595" s="3" t="s">
        <v>23</v>
      </c>
      <c r="K595" s="3">
        <v>9</v>
      </c>
      <c r="L595" s="3">
        <v>5</v>
      </c>
      <c r="M595" s="3">
        <v>7817</v>
      </c>
      <c r="N595" s="3">
        <v>39085</v>
      </c>
      <c r="O595" s="3">
        <v>39085</v>
      </c>
      <c r="P595" s="3" t="s">
        <v>24</v>
      </c>
      <c r="Q595" s="3">
        <v>0</v>
      </c>
      <c r="R595" s="3" t="str">
        <f t="shared" si="9"/>
        <v>Not Cancelled</v>
      </c>
      <c r="S595" s="3" t="s">
        <v>25</v>
      </c>
    </row>
    <row r="596" spans="1:19" x14ac:dyDescent="0.35">
      <c r="A596" s="3">
        <v>1595</v>
      </c>
      <c r="B596" s="3" t="s">
        <v>575</v>
      </c>
      <c r="C596" s="4">
        <v>45411</v>
      </c>
      <c r="D596" s="3" t="s">
        <v>146</v>
      </c>
      <c r="E596" s="4">
        <v>45447</v>
      </c>
      <c r="F596" s="4">
        <v>45449</v>
      </c>
      <c r="G596" s="3" t="s">
        <v>28</v>
      </c>
      <c r="H596" s="3" t="s">
        <v>38</v>
      </c>
      <c r="I596" s="3" t="s">
        <v>39</v>
      </c>
      <c r="J596" s="3" t="s">
        <v>46</v>
      </c>
      <c r="K596" s="3">
        <v>36</v>
      </c>
      <c r="L596" s="3">
        <v>2</v>
      </c>
      <c r="M596" s="3">
        <v>3310</v>
      </c>
      <c r="N596" s="3">
        <v>6620</v>
      </c>
      <c r="O596" s="3">
        <v>6620</v>
      </c>
      <c r="P596" s="3" t="s">
        <v>51</v>
      </c>
      <c r="Q596" s="3">
        <v>0</v>
      </c>
      <c r="R596" s="3" t="str">
        <f t="shared" si="9"/>
        <v>Not Cancelled</v>
      </c>
      <c r="S596" s="3" t="s">
        <v>25</v>
      </c>
    </row>
    <row r="597" spans="1:19" x14ac:dyDescent="0.35">
      <c r="A597" s="3">
        <v>1596</v>
      </c>
      <c r="B597" s="3" t="s">
        <v>576</v>
      </c>
      <c r="C597" s="4">
        <v>45420</v>
      </c>
      <c r="D597" s="3" t="s">
        <v>109</v>
      </c>
      <c r="E597" s="4">
        <v>45439</v>
      </c>
      <c r="F597" s="4">
        <v>45440</v>
      </c>
      <c r="G597" s="3" t="s">
        <v>34</v>
      </c>
      <c r="H597" s="3" t="s">
        <v>60</v>
      </c>
      <c r="I597" s="3" t="s">
        <v>39</v>
      </c>
      <c r="J597" s="3" t="s">
        <v>46</v>
      </c>
      <c r="K597" s="3">
        <v>19</v>
      </c>
      <c r="L597" s="3">
        <v>1</v>
      </c>
      <c r="M597" s="3">
        <v>4735</v>
      </c>
      <c r="N597" s="3">
        <v>4735</v>
      </c>
      <c r="O597" s="3">
        <v>0</v>
      </c>
      <c r="P597" s="3" t="s">
        <v>51</v>
      </c>
      <c r="Q597" s="3">
        <v>1</v>
      </c>
      <c r="R597" s="3" t="str">
        <f t="shared" si="9"/>
        <v>Cancelled</v>
      </c>
      <c r="S597" s="3" t="s">
        <v>25</v>
      </c>
    </row>
    <row r="598" spans="1:19" x14ac:dyDescent="0.35">
      <c r="A598" s="3">
        <v>1597</v>
      </c>
      <c r="B598" s="3" t="s">
        <v>136</v>
      </c>
      <c r="C598" s="4">
        <v>45421</v>
      </c>
      <c r="D598" s="3" t="s">
        <v>34</v>
      </c>
      <c r="E598" s="4">
        <v>45422</v>
      </c>
      <c r="F598" s="4">
        <v>45426</v>
      </c>
      <c r="G598" s="3" t="s">
        <v>42</v>
      </c>
      <c r="H598" s="3" t="s">
        <v>60</v>
      </c>
      <c r="I598" s="3" t="s">
        <v>22</v>
      </c>
      <c r="J598" s="3" t="s">
        <v>30</v>
      </c>
      <c r="K598" s="3">
        <v>1</v>
      </c>
      <c r="L598" s="3">
        <v>4</v>
      </c>
      <c r="M598" s="3">
        <v>5357</v>
      </c>
      <c r="N598" s="3">
        <v>21428</v>
      </c>
      <c r="O598" s="3">
        <v>21428</v>
      </c>
      <c r="P598" s="3" t="s">
        <v>24</v>
      </c>
      <c r="Q598" s="3">
        <v>0</v>
      </c>
      <c r="R598" s="3" t="str">
        <f t="shared" si="9"/>
        <v>Not Cancelled</v>
      </c>
      <c r="S598" s="3" t="s">
        <v>25</v>
      </c>
    </row>
    <row r="599" spans="1:19" x14ac:dyDescent="0.35">
      <c r="A599" s="3">
        <v>1598</v>
      </c>
      <c r="B599" s="3" t="s">
        <v>308</v>
      </c>
      <c r="C599" s="4">
        <v>45351</v>
      </c>
      <c r="D599" s="3" t="s">
        <v>37</v>
      </c>
      <c r="E599" s="4">
        <v>45361</v>
      </c>
      <c r="F599" s="4">
        <v>45364</v>
      </c>
      <c r="G599" s="3" t="s">
        <v>20</v>
      </c>
      <c r="H599" s="3" t="s">
        <v>60</v>
      </c>
      <c r="I599" s="3" t="s">
        <v>22</v>
      </c>
      <c r="J599" s="3" t="s">
        <v>30</v>
      </c>
      <c r="K599" s="3">
        <v>10</v>
      </c>
      <c r="L599" s="3">
        <v>3</v>
      </c>
      <c r="M599" s="3">
        <v>5263</v>
      </c>
      <c r="N599" s="3">
        <v>15789</v>
      </c>
      <c r="O599" s="3">
        <v>0</v>
      </c>
      <c r="P599" s="3" t="s">
        <v>24</v>
      </c>
      <c r="Q599" s="3">
        <v>1</v>
      </c>
      <c r="R599" s="3" t="str">
        <f t="shared" si="9"/>
        <v>Cancelled</v>
      </c>
      <c r="S599" s="3" t="s">
        <v>31</v>
      </c>
    </row>
    <row r="600" spans="1:19" x14ac:dyDescent="0.35">
      <c r="A600" s="3">
        <v>1599</v>
      </c>
      <c r="B600" s="3" t="s">
        <v>577</v>
      </c>
      <c r="C600" s="4">
        <v>45339</v>
      </c>
      <c r="D600" s="3" t="s">
        <v>146</v>
      </c>
      <c r="E600" s="4">
        <v>45375</v>
      </c>
      <c r="F600" s="4">
        <v>45377</v>
      </c>
      <c r="G600" s="3" t="s">
        <v>28</v>
      </c>
      <c r="H600" s="3" t="s">
        <v>35</v>
      </c>
      <c r="I600" s="3" t="s">
        <v>22</v>
      </c>
      <c r="J600" s="3" t="s">
        <v>46</v>
      </c>
      <c r="K600" s="3">
        <v>36</v>
      </c>
      <c r="L600" s="3">
        <v>2</v>
      </c>
      <c r="M600" s="3">
        <v>4532</v>
      </c>
      <c r="N600" s="3">
        <v>9064</v>
      </c>
      <c r="O600" s="3">
        <v>0</v>
      </c>
      <c r="P600" s="3" t="s">
        <v>51</v>
      </c>
      <c r="Q600" s="3">
        <v>1</v>
      </c>
      <c r="R600" s="3" t="str">
        <f t="shared" si="9"/>
        <v>Cancelled</v>
      </c>
      <c r="S600" s="3" t="s">
        <v>25</v>
      </c>
    </row>
    <row r="601" spans="1:19" x14ac:dyDescent="0.35">
      <c r="A601" s="3">
        <v>1600</v>
      </c>
      <c r="B601" s="3" t="s">
        <v>495</v>
      </c>
      <c r="C601" s="4">
        <v>45320</v>
      </c>
      <c r="D601" s="3" t="s">
        <v>165</v>
      </c>
      <c r="E601" s="4">
        <v>45329</v>
      </c>
      <c r="F601" s="4">
        <v>45332</v>
      </c>
      <c r="G601" s="3" t="s">
        <v>20</v>
      </c>
      <c r="H601" s="3" t="s">
        <v>60</v>
      </c>
      <c r="I601" s="3" t="s">
        <v>22</v>
      </c>
      <c r="J601" s="3" t="s">
        <v>30</v>
      </c>
      <c r="K601" s="3">
        <v>9</v>
      </c>
      <c r="L601" s="3">
        <v>3</v>
      </c>
      <c r="M601" s="3">
        <v>4007</v>
      </c>
      <c r="N601" s="3">
        <v>12021</v>
      </c>
      <c r="O601" s="3">
        <v>0</v>
      </c>
      <c r="P601" s="3" t="s">
        <v>24</v>
      </c>
      <c r="Q601" s="3">
        <v>1</v>
      </c>
      <c r="R601" s="3" t="str">
        <f t="shared" si="9"/>
        <v>Cancelled</v>
      </c>
      <c r="S601" s="3" t="s">
        <v>25</v>
      </c>
    </row>
    <row r="602" spans="1:19" x14ac:dyDescent="0.35">
      <c r="A602" s="3">
        <v>1601</v>
      </c>
      <c r="B602" s="3" t="s">
        <v>340</v>
      </c>
      <c r="C602" s="4">
        <v>45388</v>
      </c>
      <c r="D602" s="3" t="s">
        <v>64</v>
      </c>
      <c r="E602" s="4">
        <v>45433</v>
      </c>
      <c r="F602" s="4">
        <v>45437</v>
      </c>
      <c r="G602" s="3" t="s">
        <v>42</v>
      </c>
      <c r="H602" s="3" t="s">
        <v>60</v>
      </c>
      <c r="I602" s="3" t="s">
        <v>22</v>
      </c>
      <c r="J602" s="3" t="s">
        <v>30</v>
      </c>
      <c r="K602" s="3">
        <v>45</v>
      </c>
      <c r="L602" s="3">
        <v>4</v>
      </c>
      <c r="M602" s="3">
        <v>7045</v>
      </c>
      <c r="N602" s="3">
        <v>28180</v>
      </c>
      <c r="O602" s="3">
        <v>0</v>
      </c>
      <c r="P602" s="3" t="s">
        <v>24</v>
      </c>
      <c r="Q602" s="3">
        <v>1</v>
      </c>
      <c r="R602" s="3" t="str">
        <f t="shared" si="9"/>
        <v>Cancelled</v>
      </c>
      <c r="S602" s="3" t="s">
        <v>25</v>
      </c>
    </row>
    <row r="603" spans="1:19" x14ac:dyDescent="0.35">
      <c r="A603" s="3">
        <v>1602</v>
      </c>
      <c r="B603" s="3" t="s">
        <v>568</v>
      </c>
      <c r="C603" s="4">
        <v>45301</v>
      </c>
      <c r="D603" s="3" t="s">
        <v>41</v>
      </c>
      <c r="E603" s="4">
        <v>45347</v>
      </c>
      <c r="F603" s="4">
        <v>45350</v>
      </c>
      <c r="G603" s="3" t="s">
        <v>20</v>
      </c>
      <c r="H603" s="3" t="s">
        <v>60</v>
      </c>
      <c r="I603" s="3" t="s">
        <v>39</v>
      </c>
      <c r="J603" s="3" t="s">
        <v>46</v>
      </c>
      <c r="K603" s="3">
        <v>46</v>
      </c>
      <c r="L603" s="3">
        <v>3</v>
      </c>
      <c r="M603" s="3">
        <v>5070</v>
      </c>
      <c r="N603" s="3">
        <v>15210</v>
      </c>
      <c r="O603" s="3">
        <v>0</v>
      </c>
      <c r="P603" s="3" t="s">
        <v>51</v>
      </c>
      <c r="Q603" s="3">
        <v>1</v>
      </c>
      <c r="R603" s="3" t="str">
        <f t="shared" si="9"/>
        <v>Cancelled</v>
      </c>
      <c r="S603" s="3" t="s">
        <v>25</v>
      </c>
    </row>
    <row r="604" spans="1:19" x14ac:dyDescent="0.35">
      <c r="A604" s="3">
        <v>1603</v>
      </c>
      <c r="B604" s="3" t="s">
        <v>578</v>
      </c>
      <c r="C604" s="4">
        <v>45533</v>
      </c>
      <c r="D604" s="3" t="s">
        <v>140</v>
      </c>
      <c r="E604" s="4">
        <v>45575</v>
      </c>
      <c r="F604" s="4">
        <v>45577</v>
      </c>
      <c r="G604" s="3" t="s">
        <v>28</v>
      </c>
      <c r="H604" s="3" t="s">
        <v>21</v>
      </c>
      <c r="I604" s="3" t="s">
        <v>39</v>
      </c>
      <c r="J604" s="3" t="s">
        <v>46</v>
      </c>
      <c r="K604" s="3">
        <v>42</v>
      </c>
      <c r="L604" s="3">
        <v>2</v>
      </c>
      <c r="M604" s="3">
        <v>4394</v>
      </c>
      <c r="N604" s="3">
        <v>8788</v>
      </c>
      <c r="O604" s="3">
        <v>0</v>
      </c>
      <c r="P604" s="3" t="s">
        <v>51</v>
      </c>
      <c r="Q604" s="3">
        <v>1</v>
      </c>
      <c r="R604" s="3" t="str">
        <f t="shared" si="9"/>
        <v>Cancelled</v>
      </c>
      <c r="S604" s="3" t="s">
        <v>25</v>
      </c>
    </row>
    <row r="605" spans="1:19" x14ac:dyDescent="0.35">
      <c r="A605" s="3">
        <v>1604</v>
      </c>
      <c r="B605" s="3" t="s">
        <v>579</v>
      </c>
      <c r="C605" s="4">
        <v>45605</v>
      </c>
      <c r="D605" s="3" t="s">
        <v>144</v>
      </c>
      <c r="E605" s="4">
        <v>45637</v>
      </c>
      <c r="F605" s="4">
        <v>45641</v>
      </c>
      <c r="G605" s="3" t="s">
        <v>42</v>
      </c>
      <c r="H605" s="3" t="s">
        <v>60</v>
      </c>
      <c r="I605" s="3" t="s">
        <v>22</v>
      </c>
      <c r="J605" s="3" t="s">
        <v>46</v>
      </c>
      <c r="K605" s="3">
        <v>32</v>
      </c>
      <c r="L605" s="3">
        <v>4</v>
      </c>
      <c r="M605" s="3">
        <v>7973</v>
      </c>
      <c r="N605" s="3">
        <v>31892</v>
      </c>
      <c r="O605" s="3">
        <v>0</v>
      </c>
      <c r="P605" s="3" t="s">
        <v>24</v>
      </c>
      <c r="Q605" s="3">
        <v>1</v>
      </c>
      <c r="R605" s="3" t="str">
        <f t="shared" si="9"/>
        <v>Cancelled</v>
      </c>
      <c r="S605" s="3" t="s">
        <v>25</v>
      </c>
    </row>
    <row r="606" spans="1:19" x14ac:dyDescent="0.35">
      <c r="A606" s="3">
        <v>1605</v>
      </c>
      <c r="B606" s="3" t="s">
        <v>580</v>
      </c>
      <c r="C606" s="4">
        <v>45523</v>
      </c>
      <c r="D606" s="3" t="s">
        <v>144</v>
      </c>
      <c r="E606" s="4">
        <v>45555</v>
      </c>
      <c r="F606" s="4">
        <v>45556</v>
      </c>
      <c r="G606" s="3" t="s">
        <v>34</v>
      </c>
      <c r="H606" s="3" t="s">
        <v>35</v>
      </c>
      <c r="I606" s="3" t="s">
        <v>22</v>
      </c>
      <c r="J606" s="3" t="s">
        <v>46</v>
      </c>
      <c r="K606" s="3">
        <v>32</v>
      </c>
      <c r="L606" s="3">
        <v>1</v>
      </c>
      <c r="M606" s="3">
        <v>5205</v>
      </c>
      <c r="N606" s="3">
        <v>5205</v>
      </c>
      <c r="O606" s="3">
        <v>0</v>
      </c>
      <c r="P606" s="3" t="s">
        <v>24</v>
      </c>
      <c r="Q606" s="3">
        <v>1</v>
      </c>
      <c r="R606" s="3" t="str">
        <f t="shared" si="9"/>
        <v>Cancelled</v>
      </c>
      <c r="S606" s="3" t="s">
        <v>31</v>
      </c>
    </row>
    <row r="607" spans="1:19" x14ac:dyDescent="0.35">
      <c r="A607" s="3">
        <v>1606</v>
      </c>
      <c r="B607" s="3" t="s">
        <v>581</v>
      </c>
      <c r="C607" s="4">
        <v>45568</v>
      </c>
      <c r="D607" s="3" t="s">
        <v>55</v>
      </c>
      <c r="E607" s="4">
        <v>45574</v>
      </c>
      <c r="F607" s="4">
        <v>45576</v>
      </c>
      <c r="G607" s="3" t="s">
        <v>28</v>
      </c>
      <c r="H607" s="3" t="s">
        <v>38</v>
      </c>
      <c r="I607" s="3" t="s">
        <v>22</v>
      </c>
      <c r="J607" s="3" t="s">
        <v>23</v>
      </c>
      <c r="K607" s="3">
        <v>6</v>
      </c>
      <c r="L607" s="3">
        <v>2</v>
      </c>
      <c r="M607" s="3">
        <v>3096</v>
      </c>
      <c r="N607" s="3">
        <v>6192</v>
      </c>
      <c r="O607" s="3">
        <v>6192</v>
      </c>
      <c r="P607" s="3" t="s">
        <v>24</v>
      </c>
      <c r="Q607" s="3">
        <v>0</v>
      </c>
      <c r="R607" s="3" t="str">
        <f t="shared" si="9"/>
        <v>Not Cancelled</v>
      </c>
      <c r="S607" s="3" t="s">
        <v>31</v>
      </c>
    </row>
    <row r="608" spans="1:19" x14ac:dyDescent="0.35">
      <c r="A608" s="3">
        <v>1607</v>
      </c>
      <c r="B608" s="3" t="s">
        <v>582</v>
      </c>
      <c r="C608" s="4">
        <v>45575</v>
      </c>
      <c r="D608" s="3" t="s">
        <v>73</v>
      </c>
      <c r="E608" s="4">
        <v>45623</v>
      </c>
      <c r="F608" s="4">
        <v>45628</v>
      </c>
      <c r="G608" s="3" t="s">
        <v>45</v>
      </c>
      <c r="H608" s="3" t="s">
        <v>21</v>
      </c>
      <c r="I608" s="3" t="s">
        <v>39</v>
      </c>
      <c r="J608" s="3" t="s">
        <v>46</v>
      </c>
      <c r="K608" s="3">
        <v>48</v>
      </c>
      <c r="L608" s="3">
        <v>5</v>
      </c>
      <c r="M608" s="3">
        <v>4647</v>
      </c>
      <c r="N608" s="3">
        <v>23235</v>
      </c>
      <c r="O608" s="3">
        <v>0</v>
      </c>
      <c r="P608" s="3" t="s">
        <v>51</v>
      </c>
      <c r="Q608" s="3">
        <v>1</v>
      </c>
      <c r="R608" s="3" t="str">
        <f t="shared" si="9"/>
        <v>Cancelled</v>
      </c>
      <c r="S608" s="3" t="s">
        <v>31</v>
      </c>
    </row>
    <row r="609" spans="1:19" x14ac:dyDescent="0.35">
      <c r="A609" s="3">
        <v>1608</v>
      </c>
      <c r="B609" s="3" t="s">
        <v>583</v>
      </c>
      <c r="C609" s="4">
        <v>45494</v>
      </c>
      <c r="D609" s="3" t="s">
        <v>115</v>
      </c>
      <c r="E609" s="4">
        <v>45532</v>
      </c>
      <c r="F609" s="4">
        <v>45534</v>
      </c>
      <c r="G609" s="3" t="s">
        <v>28</v>
      </c>
      <c r="H609" s="3" t="s">
        <v>29</v>
      </c>
      <c r="I609" s="3" t="s">
        <v>39</v>
      </c>
      <c r="J609" s="3" t="s">
        <v>30</v>
      </c>
      <c r="K609" s="3">
        <v>38</v>
      </c>
      <c r="L609" s="3">
        <v>2</v>
      </c>
      <c r="M609" s="3">
        <v>3115</v>
      </c>
      <c r="N609" s="3">
        <v>6230</v>
      </c>
      <c r="O609" s="3">
        <v>0</v>
      </c>
      <c r="P609" s="3" t="s">
        <v>51</v>
      </c>
      <c r="Q609" s="3">
        <v>1</v>
      </c>
      <c r="R609" s="3" t="str">
        <f t="shared" si="9"/>
        <v>Cancelled</v>
      </c>
      <c r="S609" s="3" t="s">
        <v>25</v>
      </c>
    </row>
    <row r="610" spans="1:19" x14ac:dyDescent="0.35">
      <c r="A610" s="3">
        <v>1609</v>
      </c>
      <c r="B610" s="3" t="s">
        <v>584</v>
      </c>
      <c r="C610" s="4">
        <v>45538</v>
      </c>
      <c r="D610" s="3" t="s">
        <v>71</v>
      </c>
      <c r="E610" s="4">
        <v>45555</v>
      </c>
      <c r="F610" s="4">
        <v>45559</v>
      </c>
      <c r="G610" s="3" t="s">
        <v>42</v>
      </c>
      <c r="H610" s="3" t="s">
        <v>60</v>
      </c>
      <c r="I610" s="3" t="s">
        <v>39</v>
      </c>
      <c r="J610" s="3" t="s">
        <v>23</v>
      </c>
      <c r="K610" s="3">
        <v>17</v>
      </c>
      <c r="L610" s="3">
        <v>4</v>
      </c>
      <c r="M610" s="3">
        <v>3447</v>
      </c>
      <c r="N610" s="3">
        <v>13788</v>
      </c>
      <c r="O610" s="3">
        <v>0</v>
      </c>
      <c r="P610" s="3" t="s">
        <v>51</v>
      </c>
      <c r="Q610" s="3">
        <v>1</v>
      </c>
      <c r="R610" s="3" t="str">
        <f t="shared" si="9"/>
        <v>Cancelled</v>
      </c>
      <c r="S610" s="3" t="s">
        <v>25</v>
      </c>
    </row>
    <row r="611" spans="1:19" x14ac:dyDescent="0.35">
      <c r="A611" s="3">
        <v>1610</v>
      </c>
      <c r="B611" s="3" t="s">
        <v>417</v>
      </c>
      <c r="C611" s="4">
        <v>45581</v>
      </c>
      <c r="D611" s="3" t="s">
        <v>37</v>
      </c>
      <c r="E611" s="4">
        <v>45591</v>
      </c>
      <c r="F611" s="4">
        <v>45593</v>
      </c>
      <c r="G611" s="3" t="s">
        <v>28</v>
      </c>
      <c r="H611" s="3" t="s">
        <v>38</v>
      </c>
      <c r="I611" s="3" t="s">
        <v>22</v>
      </c>
      <c r="J611" s="3" t="s">
        <v>23</v>
      </c>
      <c r="K611" s="3">
        <v>10</v>
      </c>
      <c r="L611" s="3">
        <v>2</v>
      </c>
      <c r="M611" s="3">
        <v>8177</v>
      </c>
      <c r="N611" s="3">
        <v>16354</v>
      </c>
      <c r="O611" s="3">
        <v>0</v>
      </c>
      <c r="P611" s="3" t="s">
        <v>51</v>
      </c>
      <c r="Q611" s="3">
        <v>1</v>
      </c>
      <c r="R611" s="3" t="str">
        <f t="shared" si="9"/>
        <v>Cancelled</v>
      </c>
      <c r="S611" s="3" t="s">
        <v>25</v>
      </c>
    </row>
    <row r="612" spans="1:19" x14ac:dyDescent="0.35">
      <c r="A612" s="3">
        <v>1611</v>
      </c>
      <c r="B612" s="3" t="s">
        <v>585</v>
      </c>
      <c r="C612" s="4">
        <v>45555</v>
      </c>
      <c r="D612" s="3" t="s">
        <v>78</v>
      </c>
      <c r="E612" s="4">
        <v>45605</v>
      </c>
      <c r="F612" s="4">
        <v>45606</v>
      </c>
      <c r="G612" s="3" t="s">
        <v>34</v>
      </c>
      <c r="H612" s="3" t="s">
        <v>38</v>
      </c>
      <c r="I612" s="3" t="s">
        <v>22</v>
      </c>
      <c r="J612" s="3" t="s">
        <v>30</v>
      </c>
      <c r="K612" s="3">
        <v>50</v>
      </c>
      <c r="L612" s="3">
        <v>1</v>
      </c>
      <c r="M612" s="3">
        <v>7151</v>
      </c>
      <c r="N612" s="3">
        <v>7151</v>
      </c>
      <c r="O612" s="3">
        <v>7151</v>
      </c>
      <c r="P612" s="3" t="s">
        <v>24</v>
      </c>
      <c r="Q612" s="3">
        <v>0</v>
      </c>
      <c r="R612" s="3" t="str">
        <f t="shared" si="9"/>
        <v>Not Cancelled</v>
      </c>
      <c r="S612" s="3" t="s">
        <v>31</v>
      </c>
    </row>
    <row r="613" spans="1:19" x14ac:dyDescent="0.35">
      <c r="A613" s="3">
        <v>1612</v>
      </c>
      <c r="B613" s="3" t="s">
        <v>586</v>
      </c>
      <c r="C613" s="4">
        <v>45505</v>
      </c>
      <c r="D613" s="3" t="s">
        <v>185</v>
      </c>
      <c r="E613" s="4">
        <v>45532</v>
      </c>
      <c r="F613" s="4">
        <v>45533</v>
      </c>
      <c r="G613" s="3" t="s">
        <v>34</v>
      </c>
      <c r="H613" s="3" t="s">
        <v>21</v>
      </c>
      <c r="I613" s="3" t="s">
        <v>39</v>
      </c>
      <c r="J613" s="3" t="s">
        <v>23</v>
      </c>
      <c r="K613" s="3">
        <v>27</v>
      </c>
      <c r="L613" s="3">
        <v>1</v>
      </c>
      <c r="M613" s="3">
        <v>6873</v>
      </c>
      <c r="N613" s="3">
        <v>6873</v>
      </c>
      <c r="O613" s="3">
        <v>6873</v>
      </c>
      <c r="P613" s="3" t="s">
        <v>51</v>
      </c>
      <c r="Q613" s="3">
        <v>0</v>
      </c>
      <c r="R613" s="3" t="str">
        <f t="shared" si="9"/>
        <v>Not Cancelled</v>
      </c>
      <c r="S613" s="3" t="s">
        <v>25</v>
      </c>
    </row>
    <row r="614" spans="1:19" x14ac:dyDescent="0.35">
      <c r="A614" s="3">
        <v>1613</v>
      </c>
      <c r="B614" s="3" t="s">
        <v>587</v>
      </c>
      <c r="C614" s="4">
        <v>45491</v>
      </c>
      <c r="D614" s="3" t="s">
        <v>117</v>
      </c>
      <c r="E614" s="4">
        <v>45545</v>
      </c>
      <c r="F614" s="4">
        <v>45550</v>
      </c>
      <c r="G614" s="3" t="s">
        <v>45</v>
      </c>
      <c r="H614" s="3" t="s">
        <v>29</v>
      </c>
      <c r="I614" s="3" t="s">
        <v>22</v>
      </c>
      <c r="J614" s="3" t="s">
        <v>30</v>
      </c>
      <c r="K614" s="3">
        <v>54</v>
      </c>
      <c r="L614" s="3">
        <v>5</v>
      </c>
      <c r="M614" s="3">
        <v>6264</v>
      </c>
      <c r="N614" s="3">
        <v>31320</v>
      </c>
      <c r="O614" s="3">
        <v>31320</v>
      </c>
      <c r="P614" s="3" t="s">
        <v>51</v>
      </c>
      <c r="Q614" s="3">
        <v>0</v>
      </c>
      <c r="R614" s="3" t="str">
        <f t="shared" si="9"/>
        <v>Not Cancelled</v>
      </c>
      <c r="S614" s="3" t="s">
        <v>25</v>
      </c>
    </row>
    <row r="615" spans="1:19" x14ac:dyDescent="0.35">
      <c r="A615" s="3">
        <v>1614</v>
      </c>
      <c r="B615" s="3" t="s">
        <v>588</v>
      </c>
      <c r="C615" s="4">
        <v>45370</v>
      </c>
      <c r="D615" s="3" t="s">
        <v>78</v>
      </c>
      <c r="E615" s="4">
        <v>45420</v>
      </c>
      <c r="F615" s="4">
        <v>45423</v>
      </c>
      <c r="G615" s="3" t="s">
        <v>20</v>
      </c>
      <c r="H615" s="3" t="s">
        <v>35</v>
      </c>
      <c r="I615" s="3" t="s">
        <v>22</v>
      </c>
      <c r="J615" s="3" t="s">
        <v>23</v>
      </c>
      <c r="K615" s="3">
        <v>50</v>
      </c>
      <c r="L615" s="3">
        <v>3</v>
      </c>
      <c r="M615" s="3">
        <v>4513</v>
      </c>
      <c r="N615" s="3">
        <v>13539</v>
      </c>
      <c r="O615" s="3">
        <v>0</v>
      </c>
      <c r="P615" s="3" t="s">
        <v>24</v>
      </c>
      <c r="Q615" s="3">
        <v>1</v>
      </c>
      <c r="R615" s="3" t="str">
        <f t="shared" si="9"/>
        <v>Cancelled</v>
      </c>
      <c r="S615" s="3" t="s">
        <v>31</v>
      </c>
    </row>
    <row r="616" spans="1:19" x14ac:dyDescent="0.35">
      <c r="A616" s="3">
        <v>1615</v>
      </c>
      <c r="B616" s="3" t="s">
        <v>224</v>
      </c>
      <c r="C616" s="4">
        <v>45634</v>
      </c>
      <c r="D616" s="3" t="s">
        <v>91</v>
      </c>
      <c r="E616" s="4">
        <v>45669</v>
      </c>
      <c r="F616" s="4">
        <v>45673</v>
      </c>
      <c r="G616" s="3" t="s">
        <v>42</v>
      </c>
      <c r="H616" s="3" t="s">
        <v>38</v>
      </c>
      <c r="I616" s="3" t="s">
        <v>39</v>
      </c>
      <c r="J616" s="3" t="s">
        <v>23</v>
      </c>
      <c r="K616" s="3">
        <v>35</v>
      </c>
      <c r="L616" s="3">
        <v>4</v>
      </c>
      <c r="M616" s="3">
        <v>6197</v>
      </c>
      <c r="N616" s="3">
        <v>24788</v>
      </c>
      <c r="O616" s="3">
        <v>0</v>
      </c>
      <c r="P616" s="3" t="s">
        <v>51</v>
      </c>
      <c r="Q616" s="3">
        <v>1</v>
      </c>
      <c r="R616" s="3" t="str">
        <f t="shared" si="9"/>
        <v>Cancelled</v>
      </c>
      <c r="S616" s="3" t="s">
        <v>31</v>
      </c>
    </row>
    <row r="617" spans="1:19" x14ac:dyDescent="0.35">
      <c r="A617" s="3">
        <v>1616</v>
      </c>
      <c r="B617" s="3" t="s">
        <v>512</v>
      </c>
      <c r="C617" s="4">
        <v>45635</v>
      </c>
      <c r="D617" s="3" t="s">
        <v>226</v>
      </c>
      <c r="E617" s="4">
        <v>45687</v>
      </c>
      <c r="F617" s="4">
        <v>45691</v>
      </c>
      <c r="G617" s="3" t="s">
        <v>42</v>
      </c>
      <c r="H617" s="3" t="s">
        <v>38</v>
      </c>
      <c r="I617" s="3" t="s">
        <v>39</v>
      </c>
      <c r="J617" s="3" t="s">
        <v>30</v>
      </c>
      <c r="K617" s="3">
        <v>52</v>
      </c>
      <c r="L617" s="3">
        <v>4</v>
      </c>
      <c r="M617" s="3">
        <v>2990</v>
      </c>
      <c r="N617" s="3">
        <v>11960</v>
      </c>
      <c r="O617" s="3">
        <v>0</v>
      </c>
      <c r="P617" s="3" t="s">
        <v>24</v>
      </c>
      <c r="Q617" s="3">
        <v>1</v>
      </c>
      <c r="R617" s="3" t="str">
        <f t="shared" si="9"/>
        <v>Cancelled</v>
      </c>
      <c r="S617" s="3" t="s">
        <v>25</v>
      </c>
    </row>
    <row r="618" spans="1:19" x14ac:dyDescent="0.35">
      <c r="A618" s="3">
        <v>1617</v>
      </c>
      <c r="B618" s="3" t="s">
        <v>475</v>
      </c>
      <c r="C618" s="4">
        <v>45464</v>
      </c>
      <c r="D618" s="3" t="s">
        <v>96</v>
      </c>
      <c r="E618" s="4">
        <v>45523</v>
      </c>
      <c r="F618" s="4">
        <v>45526</v>
      </c>
      <c r="G618" s="3" t="s">
        <v>20</v>
      </c>
      <c r="H618" s="3" t="s">
        <v>38</v>
      </c>
      <c r="I618" s="3" t="s">
        <v>22</v>
      </c>
      <c r="J618" s="3" t="s">
        <v>30</v>
      </c>
      <c r="K618" s="3">
        <v>59</v>
      </c>
      <c r="L618" s="3">
        <v>3</v>
      </c>
      <c r="M618" s="3">
        <v>6850</v>
      </c>
      <c r="N618" s="3">
        <v>20550</v>
      </c>
      <c r="O618" s="3">
        <v>0</v>
      </c>
      <c r="P618" s="3" t="s">
        <v>51</v>
      </c>
      <c r="Q618" s="3">
        <v>1</v>
      </c>
      <c r="R618" s="3" t="str">
        <f t="shared" si="9"/>
        <v>Cancelled</v>
      </c>
      <c r="S618" s="3" t="s">
        <v>25</v>
      </c>
    </row>
    <row r="619" spans="1:19" x14ac:dyDescent="0.35">
      <c r="A619" s="3">
        <v>1618</v>
      </c>
      <c r="B619" s="3" t="s">
        <v>589</v>
      </c>
      <c r="C619" s="4">
        <v>45360</v>
      </c>
      <c r="D619" s="3" t="s">
        <v>175</v>
      </c>
      <c r="E619" s="4">
        <v>45381</v>
      </c>
      <c r="F619" s="4">
        <v>45382</v>
      </c>
      <c r="G619" s="3" t="s">
        <v>34</v>
      </c>
      <c r="H619" s="3" t="s">
        <v>38</v>
      </c>
      <c r="I619" s="3" t="s">
        <v>39</v>
      </c>
      <c r="J619" s="3" t="s">
        <v>30</v>
      </c>
      <c r="K619" s="3">
        <v>21</v>
      </c>
      <c r="L619" s="3">
        <v>1</v>
      </c>
      <c r="M619" s="3">
        <v>4928</v>
      </c>
      <c r="N619" s="3">
        <v>4928</v>
      </c>
      <c r="O619" s="3">
        <v>0</v>
      </c>
      <c r="P619" s="3" t="s">
        <v>24</v>
      </c>
      <c r="Q619" s="3">
        <v>1</v>
      </c>
      <c r="R619" s="3" t="str">
        <f t="shared" si="9"/>
        <v>Cancelled</v>
      </c>
      <c r="S619" s="3" t="s">
        <v>25</v>
      </c>
    </row>
    <row r="620" spans="1:19" x14ac:dyDescent="0.35">
      <c r="A620" s="3">
        <v>1619</v>
      </c>
      <c r="B620" s="3" t="s">
        <v>357</v>
      </c>
      <c r="C620" s="4">
        <v>45378</v>
      </c>
      <c r="D620" s="3" t="s">
        <v>107</v>
      </c>
      <c r="E620" s="4">
        <v>45403</v>
      </c>
      <c r="F620" s="4">
        <v>45404</v>
      </c>
      <c r="G620" s="3" t="s">
        <v>34</v>
      </c>
      <c r="H620" s="3" t="s">
        <v>21</v>
      </c>
      <c r="I620" s="3" t="s">
        <v>22</v>
      </c>
      <c r="J620" s="3" t="s">
        <v>30</v>
      </c>
      <c r="K620" s="3">
        <v>25</v>
      </c>
      <c r="L620" s="3">
        <v>1</v>
      </c>
      <c r="M620" s="3">
        <v>7487</v>
      </c>
      <c r="N620" s="3">
        <v>7487</v>
      </c>
      <c r="O620" s="3">
        <v>0</v>
      </c>
      <c r="P620" s="3" t="s">
        <v>24</v>
      </c>
      <c r="Q620" s="3">
        <v>1</v>
      </c>
      <c r="R620" s="3" t="str">
        <f t="shared" si="9"/>
        <v>Cancelled</v>
      </c>
      <c r="S620" s="3" t="s">
        <v>25</v>
      </c>
    </row>
    <row r="621" spans="1:19" x14ac:dyDescent="0.35">
      <c r="A621" s="3">
        <v>1620</v>
      </c>
      <c r="B621" s="3" t="s">
        <v>53</v>
      </c>
      <c r="C621" s="4">
        <v>45392</v>
      </c>
      <c r="D621" s="3" t="s">
        <v>82</v>
      </c>
      <c r="E621" s="4">
        <v>45420</v>
      </c>
      <c r="F621" s="4">
        <v>45422</v>
      </c>
      <c r="G621" s="3" t="s">
        <v>28</v>
      </c>
      <c r="H621" s="3" t="s">
        <v>29</v>
      </c>
      <c r="I621" s="3" t="s">
        <v>39</v>
      </c>
      <c r="J621" s="3" t="s">
        <v>46</v>
      </c>
      <c r="K621" s="3">
        <v>28</v>
      </c>
      <c r="L621" s="3">
        <v>2</v>
      </c>
      <c r="M621" s="3">
        <v>3041</v>
      </c>
      <c r="N621" s="3">
        <v>6082</v>
      </c>
      <c r="O621" s="3">
        <v>6082</v>
      </c>
      <c r="P621" s="3" t="s">
        <v>24</v>
      </c>
      <c r="Q621" s="3">
        <v>0</v>
      </c>
      <c r="R621" s="3" t="str">
        <f t="shared" si="9"/>
        <v>Not Cancelled</v>
      </c>
      <c r="S621" s="3" t="s">
        <v>31</v>
      </c>
    </row>
    <row r="622" spans="1:19" x14ac:dyDescent="0.35">
      <c r="A622" s="3">
        <v>1621</v>
      </c>
      <c r="B622" s="3" t="s">
        <v>590</v>
      </c>
      <c r="C622" s="4">
        <v>45299</v>
      </c>
      <c r="D622" s="3" t="s">
        <v>148</v>
      </c>
      <c r="E622" s="4">
        <v>45346</v>
      </c>
      <c r="F622" s="4">
        <v>45351</v>
      </c>
      <c r="G622" s="3" t="s">
        <v>45</v>
      </c>
      <c r="H622" s="3" t="s">
        <v>38</v>
      </c>
      <c r="I622" s="3" t="s">
        <v>39</v>
      </c>
      <c r="J622" s="3" t="s">
        <v>46</v>
      </c>
      <c r="K622" s="3">
        <v>47</v>
      </c>
      <c r="L622" s="3">
        <v>5</v>
      </c>
      <c r="M622" s="3">
        <v>3787</v>
      </c>
      <c r="N622" s="3">
        <v>18935</v>
      </c>
      <c r="O622" s="3">
        <v>0</v>
      </c>
      <c r="P622" s="3" t="s">
        <v>51</v>
      </c>
      <c r="Q622" s="3">
        <v>1</v>
      </c>
      <c r="R622" s="3" t="str">
        <f t="shared" si="9"/>
        <v>Cancelled</v>
      </c>
      <c r="S622" s="3" t="s">
        <v>25</v>
      </c>
    </row>
    <row r="623" spans="1:19" x14ac:dyDescent="0.35">
      <c r="A623" s="3">
        <v>1622</v>
      </c>
      <c r="B623" s="3" t="s">
        <v>591</v>
      </c>
      <c r="C623" s="4">
        <v>45624</v>
      </c>
      <c r="D623" s="3" t="s">
        <v>277</v>
      </c>
      <c r="E623" s="4">
        <v>45639</v>
      </c>
      <c r="F623" s="4">
        <v>45644</v>
      </c>
      <c r="G623" s="3" t="s">
        <v>45</v>
      </c>
      <c r="H623" s="3" t="s">
        <v>35</v>
      </c>
      <c r="I623" s="3" t="s">
        <v>22</v>
      </c>
      <c r="J623" s="3" t="s">
        <v>30</v>
      </c>
      <c r="K623" s="3">
        <v>15</v>
      </c>
      <c r="L623" s="3">
        <v>5</v>
      </c>
      <c r="M623" s="3">
        <v>4133</v>
      </c>
      <c r="N623" s="3">
        <v>20665</v>
      </c>
      <c r="O623" s="3">
        <v>20665</v>
      </c>
      <c r="P623" s="3" t="s">
        <v>24</v>
      </c>
      <c r="Q623" s="3">
        <v>0</v>
      </c>
      <c r="R623" s="3" t="str">
        <f t="shared" si="9"/>
        <v>Not Cancelled</v>
      </c>
      <c r="S623" s="3" t="s">
        <v>25</v>
      </c>
    </row>
    <row r="624" spans="1:19" x14ac:dyDescent="0.35">
      <c r="A624" s="3">
        <v>1623</v>
      </c>
      <c r="B624" s="3" t="s">
        <v>592</v>
      </c>
      <c r="C624" s="4">
        <v>45491</v>
      </c>
      <c r="D624" s="3" t="s">
        <v>42</v>
      </c>
      <c r="E624" s="4">
        <v>45495</v>
      </c>
      <c r="F624" s="4">
        <v>45500</v>
      </c>
      <c r="G624" s="3" t="s">
        <v>45</v>
      </c>
      <c r="H624" s="3" t="s">
        <v>35</v>
      </c>
      <c r="I624" s="3" t="s">
        <v>22</v>
      </c>
      <c r="J624" s="3" t="s">
        <v>46</v>
      </c>
      <c r="K624" s="3">
        <v>4</v>
      </c>
      <c r="L624" s="3">
        <v>5</v>
      </c>
      <c r="M624" s="3">
        <v>7420</v>
      </c>
      <c r="N624" s="3">
        <v>37100</v>
      </c>
      <c r="O624" s="3">
        <v>37100</v>
      </c>
      <c r="P624" s="3" t="s">
        <v>51</v>
      </c>
      <c r="Q624" s="3">
        <v>0</v>
      </c>
      <c r="R624" s="3" t="str">
        <f t="shared" si="9"/>
        <v>Not Cancelled</v>
      </c>
      <c r="S624" s="3" t="s">
        <v>31</v>
      </c>
    </row>
    <row r="625" spans="1:19" x14ac:dyDescent="0.35">
      <c r="A625" s="3">
        <v>1624</v>
      </c>
      <c r="B625" s="3" t="s">
        <v>593</v>
      </c>
      <c r="C625" s="4">
        <v>45378</v>
      </c>
      <c r="D625" s="3" t="s">
        <v>57</v>
      </c>
      <c r="E625" s="4">
        <v>45407</v>
      </c>
      <c r="F625" s="4">
        <v>45409</v>
      </c>
      <c r="G625" s="3" t="s">
        <v>28</v>
      </c>
      <c r="H625" s="3" t="s">
        <v>60</v>
      </c>
      <c r="I625" s="3" t="s">
        <v>39</v>
      </c>
      <c r="J625" s="3" t="s">
        <v>30</v>
      </c>
      <c r="K625" s="3">
        <v>29</v>
      </c>
      <c r="L625" s="3">
        <v>2</v>
      </c>
      <c r="M625" s="3">
        <v>5426</v>
      </c>
      <c r="N625" s="3">
        <v>10852</v>
      </c>
      <c r="O625" s="3">
        <v>0</v>
      </c>
      <c r="P625" s="3" t="s">
        <v>51</v>
      </c>
      <c r="Q625" s="3">
        <v>1</v>
      </c>
      <c r="R625" s="3" t="str">
        <f t="shared" si="9"/>
        <v>Cancelled</v>
      </c>
      <c r="S625" s="3" t="s">
        <v>25</v>
      </c>
    </row>
    <row r="626" spans="1:19" x14ac:dyDescent="0.35">
      <c r="A626" s="3">
        <v>1625</v>
      </c>
      <c r="B626" s="3" t="s">
        <v>594</v>
      </c>
      <c r="C626" s="4">
        <v>45334</v>
      </c>
      <c r="D626" s="3" t="s">
        <v>96</v>
      </c>
      <c r="E626" s="4">
        <v>45393</v>
      </c>
      <c r="F626" s="4">
        <v>45398</v>
      </c>
      <c r="G626" s="3" t="s">
        <v>45</v>
      </c>
      <c r="H626" s="3" t="s">
        <v>38</v>
      </c>
      <c r="I626" s="3" t="s">
        <v>22</v>
      </c>
      <c r="J626" s="3" t="s">
        <v>30</v>
      </c>
      <c r="K626" s="3">
        <v>59</v>
      </c>
      <c r="L626" s="3">
        <v>5</v>
      </c>
      <c r="M626" s="3">
        <v>3852</v>
      </c>
      <c r="N626" s="3">
        <v>19260</v>
      </c>
      <c r="O626" s="3">
        <v>0</v>
      </c>
      <c r="P626" s="3" t="s">
        <v>51</v>
      </c>
      <c r="Q626" s="3">
        <v>1</v>
      </c>
      <c r="R626" s="3" t="str">
        <f t="shared" si="9"/>
        <v>Cancelled</v>
      </c>
      <c r="S626" s="3" t="s">
        <v>25</v>
      </c>
    </row>
    <row r="627" spans="1:19" x14ac:dyDescent="0.35">
      <c r="A627" s="3">
        <v>1626</v>
      </c>
      <c r="B627" s="3" t="s">
        <v>595</v>
      </c>
      <c r="C627" s="4">
        <v>45400</v>
      </c>
      <c r="D627" s="3" t="s">
        <v>165</v>
      </c>
      <c r="E627" s="4">
        <v>45409</v>
      </c>
      <c r="F627" s="4">
        <v>45412</v>
      </c>
      <c r="G627" s="3" t="s">
        <v>20</v>
      </c>
      <c r="H627" s="3" t="s">
        <v>38</v>
      </c>
      <c r="I627" s="3" t="s">
        <v>39</v>
      </c>
      <c r="J627" s="3" t="s">
        <v>23</v>
      </c>
      <c r="K627" s="3">
        <v>9</v>
      </c>
      <c r="L627" s="3">
        <v>3</v>
      </c>
      <c r="M627" s="3">
        <v>6876</v>
      </c>
      <c r="N627" s="3">
        <v>20628</v>
      </c>
      <c r="O627" s="3">
        <v>20628</v>
      </c>
      <c r="P627" s="3" t="s">
        <v>51</v>
      </c>
      <c r="Q627" s="3">
        <v>0</v>
      </c>
      <c r="R627" s="3" t="str">
        <f t="shared" si="9"/>
        <v>Not Cancelled</v>
      </c>
      <c r="S627" s="3" t="s">
        <v>31</v>
      </c>
    </row>
    <row r="628" spans="1:19" x14ac:dyDescent="0.35">
      <c r="A628" s="3">
        <v>1627</v>
      </c>
      <c r="B628" s="3" t="s">
        <v>596</v>
      </c>
      <c r="C628" s="4">
        <v>45443</v>
      </c>
      <c r="D628" s="3" t="s">
        <v>185</v>
      </c>
      <c r="E628" s="4">
        <v>45470</v>
      </c>
      <c r="F628" s="4">
        <v>45472</v>
      </c>
      <c r="G628" s="3" t="s">
        <v>28</v>
      </c>
      <c r="H628" s="3" t="s">
        <v>38</v>
      </c>
      <c r="I628" s="3" t="s">
        <v>22</v>
      </c>
      <c r="J628" s="3" t="s">
        <v>30</v>
      </c>
      <c r="K628" s="3">
        <v>27</v>
      </c>
      <c r="L628" s="3">
        <v>2</v>
      </c>
      <c r="M628" s="3">
        <v>3798</v>
      </c>
      <c r="N628" s="3">
        <v>7596</v>
      </c>
      <c r="O628" s="3">
        <v>7596</v>
      </c>
      <c r="P628" s="3" t="s">
        <v>51</v>
      </c>
      <c r="Q628" s="3">
        <v>0</v>
      </c>
      <c r="R628" s="3" t="str">
        <f t="shared" si="9"/>
        <v>Not Cancelled</v>
      </c>
      <c r="S628" s="3" t="s">
        <v>31</v>
      </c>
    </row>
    <row r="629" spans="1:19" x14ac:dyDescent="0.35">
      <c r="A629" s="3">
        <v>1628</v>
      </c>
      <c r="B629" s="3" t="s">
        <v>597</v>
      </c>
      <c r="C629" s="4">
        <v>45308</v>
      </c>
      <c r="D629" s="3" t="s">
        <v>98</v>
      </c>
      <c r="E629" s="4">
        <v>45334</v>
      </c>
      <c r="F629" s="4">
        <v>45337</v>
      </c>
      <c r="G629" s="3" t="s">
        <v>20</v>
      </c>
      <c r="H629" s="3" t="s">
        <v>38</v>
      </c>
      <c r="I629" s="3" t="s">
        <v>39</v>
      </c>
      <c r="J629" s="3" t="s">
        <v>30</v>
      </c>
      <c r="K629" s="3">
        <v>26</v>
      </c>
      <c r="L629" s="3">
        <v>3</v>
      </c>
      <c r="M629" s="3">
        <v>7368</v>
      </c>
      <c r="N629" s="3">
        <v>22104</v>
      </c>
      <c r="O629" s="3">
        <v>0</v>
      </c>
      <c r="P629" s="3" t="s">
        <v>51</v>
      </c>
      <c r="Q629" s="3">
        <v>1</v>
      </c>
      <c r="R629" s="3" t="str">
        <f t="shared" si="9"/>
        <v>Cancelled</v>
      </c>
      <c r="S629" s="3" t="s">
        <v>25</v>
      </c>
    </row>
    <row r="630" spans="1:19" x14ac:dyDescent="0.35">
      <c r="A630" s="3">
        <v>1629</v>
      </c>
      <c r="B630" s="3" t="s">
        <v>598</v>
      </c>
      <c r="C630" s="4">
        <v>45424</v>
      </c>
      <c r="D630" s="3" t="s">
        <v>109</v>
      </c>
      <c r="E630" s="4">
        <v>45443</v>
      </c>
      <c r="F630" s="4">
        <v>45445</v>
      </c>
      <c r="G630" s="3" t="s">
        <v>28</v>
      </c>
      <c r="H630" s="3" t="s">
        <v>38</v>
      </c>
      <c r="I630" s="3" t="s">
        <v>39</v>
      </c>
      <c r="J630" s="3" t="s">
        <v>30</v>
      </c>
      <c r="K630" s="3">
        <v>19</v>
      </c>
      <c r="L630" s="3">
        <v>2</v>
      </c>
      <c r="M630" s="3">
        <v>6467</v>
      </c>
      <c r="N630" s="3">
        <v>12934</v>
      </c>
      <c r="O630" s="3">
        <v>12934</v>
      </c>
      <c r="P630" s="3" t="s">
        <v>24</v>
      </c>
      <c r="Q630" s="3">
        <v>0</v>
      </c>
      <c r="R630" s="3" t="str">
        <f t="shared" si="9"/>
        <v>Not Cancelled</v>
      </c>
      <c r="S630" s="3" t="s">
        <v>31</v>
      </c>
    </row>
    <row r="631" spans="1:19" x14ac:dyDescent="0.35">
      <c r="A631" s="3">
        <v>1630</v>
      </c>
      <c r="B631" s="3" t="s">
        <v>599</v>
      </c>
      <c r="C631" s="4">
        <v>45439</v>
      </c>
      <c r="D631" s="3" t="s">
        <v>94</v>
      </c>
      <c r="E631" s="4">
        <v>45495</v>
      </c>
      <c r="F631" s="4">
        <v>45500</v>
      </c>
      <c r="G631" s="3" t="s">
        <v>45</v>
      </c>
      <c r="H631" s="3" t="s">
        <v>35</v>
      </c>
      <c r="I631" s="3" t="s">
        <v>39</v>
      </c>
      <c r="J631" s="3" t="s">
        <v>30</v>
      </c>
      <c r="K631" s="3">
        <v>56</v>
      </c>
      <c r="L631" s="3">
        <v>5</v>
      </c>
      <c r="M631" s="3">
        <v>6923</v>
      </c>
      <c r="N631" s="3">
        <v>34615</v>
      </c>
      <c r="O631" s="3">
        <v>0</v>
      </c>
      <c r="P631" s="3" t="s">
        <v>24</v>
      </c>
      <c r="Q631" s="3">
        <v>1</v>
      </c>
      <c r="R631" s="3" t="str">
        <f t="shared" si="9"/>
        <v>Cancelled</v>
      </c>
      <c r="S631" s="3" t="s">
        <v>31</v>
      </c>
    </row>
    <row r="632" spans="1:19" x14ac:dyDescent="0.35">
      <c r="A632" s="3">
        <v>1631</v>
      </c>
      <c r="B632" s="3" t="s">
        <v>535</v>
      </c>
      <c r="C632" s="4">
        <v>45568</v>
      </c>
      <c r="D632" s="3" t="s">
        <v>82</v>
      </c>
      <c r="E632" s="4">
        <v>45596</v>
      </c>
      <c r="F632" s="4">
        <v>45599</v>
      </c>
      <c r="G632" s="3" t="s">
        <v>20</v>
      </c>
      <c r="H632" s="3" t="s">
        <v>29</v>
      </c>
      <c r="I632" s="3" t="s">
        <v>22</v>
      </c>
      <c r="J632" s="3" t="s">
        <v>23</v>
      </c>
      <c r="K632" s="3">
        <v>28</v>
      </c>
      <c r="L632" s="3">
        <v>3</v>
      </c>
      <c r="M632" s="3">
        <v>4758</v>
      </c>
      <c r="N632" s="3">
        <v>14274</v>
      </c>
      <c r="O632" s="3">
        <v>14274</v>
      </c>
      <c r="P632" s="3" t="s">
        <v>51</v>
      </c>
      <c r="Q632" s="3">
        <v>0</v>
      </c>
      <c r="R632" s="3" t="str">
        <f t="shared" si="9"/>
        <v>Not Cancelled</v>
      </c>
      <c r="S632" s="3" t="s">
        <v>25</v>
      </c>
    </row>
    <row r="633" spans="1:19" x14ac:dyDescent="0.35">
      <c r="A633" s="3">
        <v>1632</v>
      </c>
      <c r="B633" s="3" t="s">
        <v>600</v>
      </c>
      <c r="C633" s="4">
        <v>45523</v>
      </c>
      <c r="D633" s="3" t="s">
        <v>71</v>
      </c>
      <c r="E633" s="4">
        <v>45540</v>
      </c>
      <c r="F633" s="4">
        <v>45543</v>
      </c>
      <c r="G633" s="3" t="s">
        <v>20</v>
      </c>
      <c r="H633" s="3" t="s">
        <v>29</v>
      </c>
      <c r="I633" s="3" t="s">
        <v>39</v>
      </c>
      <c r="J633" s="3" t="s">
        <v>30</v>
      </c>
      <c r="K633" s="3">
        <v>17</v>
      </c>
      <c r="L633" s="3">
        <v>3</v>
      </c>
      <c r="M633" s="3">
        <v>7518</v>
      </c>
      <c r="N633" s="3">
        <v>22554</v>
      </c>
      <c r="O633" s="3">
        <v>22554</v>
      </c>
      <c r="P633" s="3" t="s">
        <v>51</v>
      </c>
      <c r="Q633" s="3">
        <v>0</v>
      </c>
      <c r="R633" s="3" t="str">
        <f t="shared" si="9"/>
        <v>Not Cancelled</v>
      </c>
      <c r="S633" s="3" t="s">
        <v>31</v>
      </c>
    </row>
    <row r="634" spans="1:19" x14ac:dyDescent="0.35">
      <c r="A634" s="3">
        <v>1633</v>
      </c>
      <c r="B634" s="3" t="s">
        <v>601</v>
      </c>
      <c r="C634" s="4">
        <v>45605</v>
      </c>
      <c r="D634" s="3" t="s">
        <v>66</v>
      </c>
      <c r="E634" s="4">
        <v>45648</v>
      </c>
      <c r="F634" s="4">
        <v>45651</v>
      </c>
      <c r="G634" s="3" t="s">
        <v>20</v>
      </c>
      <c r="H634" s="3" t="s">
        <v>60</v>
      </c>
      <c r="I634" s="3" t="s">
        <v>39</v>
      </c>
      <c r="J634" s="3" t="s">
        <v>23</v>
      </c>
      <c r="K634" s="3">
        <v>43</v>
      </c>
      <c r="L634" s="3">
        <v>3</v>
      </c>
      <c r="M634" s="3">
        <v>7147</v>
      </c>
      <c r="N634" s="3">
        <v>21441</v>
      </c>
      <c r="O634" s="3">
        <v>0</v>
      </c>
      <c r="P634" s="3" t="s">
        <v>51</v>
      </c>
      <c r="Q634" s="3">
        <v>1</v>
      </c>
      <c r="R634" s="3" t="str">
        <f t="shared" si="9"/>
        <v>Cancelled</v>
      </c>
      <c r="S634" s="3" t="s">
        <v>25</v>
      </c>
    </row>
    <row r="635" spans="1:19" x14ac:dyDescent="0.35">
      <c r="A635" s="3">
        <v>1634</v>
      </c>
      <c r="B635" s="3" t="s">
        <v>529</v>
      </c>
      <c r="C635" s="4">
        <v>45519</v>
      </c>
      <c r="D635" s="3" t="s">
        <v>100</v>
      </c>
      <c r="E635" s="4">
        <v>45576</v>
      </c>
      <c r="F635" s="4">
        <v>45578</v>
      </c>
      <c r="G635" s="3" t="s">
        <v>28</v>
      </c>
      <c r="H635" s="3" t="s">
        <v>35</v>
      </c>
      <c r="I635" s="3" t="s">
        <v>39</v>
      </c>
      <c r="J635" s="3" t="s">
        <v>30</v>
      </c>
      <c r="K635" s="3">
        <v>57</v>
      </c>
      <c r="L635" s="3">
        <v>2</v>
      </c>
      <c r="M635" s="3">
        <v>4573</v>
      </c>
      <c r="N635" s="3">
        <v>9146</v>
      </c>
      <c r="O635" s="3">
        <v>0</v>
      </c>
      <c r="P635" s="3" t="s">
        <v>51</v>
      </c>
      <c r="Q635" s="3">
        <v>1</v>
      </c>
      <c r="R635" s="3" t="str">
        <f t="shared" si="9"/>
        <v>Cancelled</v>
      </c>
      <c r="S635" s="3" t="s">
        <v>25</v>
      </c>
    </row>
    <row r="636" spans="1:19" x14ac:dyDescent="0.35">
      <c r="A636" s="3">
        <v>1635</v>
      </c>
      <c r="B636" s="3" t="s">
        <v>602</v>
      </c>
      <c r="C636" s="4">
        <v>45430</v>
      </c>
      <c r="D636" s="3" t="s">
        <v>86</v>
      </c>
      <c r="E636" s="4">
        <v>45471</v>
      </c>
      <c r="F636" s="4">
        <v>45475</v>
      </c>
      <c r="G636" s="3" t="s">
        <v>42</v>
      </c>
      <c r="H636" s="3" t="s">
        <v>38</v>
      </c>
      <c r="I636" s="3" t="s">
        <v>39</v>
      </c>
      <c r="J636" s="3" t="s">
        <v>23</v>
      </c>
      <c r="K636" s="3">
        <v>41</v>
      </c>
      <c r="L636" s="3">
        <v>4</v>
      </c>
      <c r="M636" s="3">
        <v>8670</v>
      </c>
      <c r="N636" s="3">
        <v>34680</v>
      </c>
      <c r="O636" s="3">
        <v>34680</v>
      </c>
      <c r="P636" s="3" t="s">
        <v>51</v>
      </c>
      <c r="Q636" s="3">
        <v>0</v>
      </c>
      <c r="R636" s="3" t="str">
        <f t="shared" si="9"/>
        <v>Not Cancelled</v>
      </c>
      <c r="S636" s="3" t="s">
        <v>25</v>
      </c>
    </row>
    <row r="637" spans="1:19" x14ac:dyDescent="0.35">
      <c r="A637" s="3">
        <v>1636</v>
      </c>
      <c r="B637" s="3" t="s">
        <v>414</v>
      </c>
      <c r="C637" s="4">
        <v>45502</v>
      </c>
      <c r="D637" s="3" t="s">
        <v>140</v>
      </c>
      <c r="E637" s="4">
        <v>45544</v>
      </c>
      <c r="F637" s="4">
        <v>45549</v>
      </c>
      <c r="G637" s="3" t="s">
        <v>45</v>
      </c>
      <c r="H637" s="3" t="s">
        <v>29</v>
      </c>
      <c r="I637" s="3" t="s">
        <v>22</v>
      </c>
      <c r="J637" s="3" t="s">
        <v>46</v>
      </c>
      <c r="K637" s="3">
        <v>42</v>
      </c>
      <c r="L637" s="3">
        <v>5</v>
      </c>
      <c r="M637" s="3">
        <v>3201</v>
      </c>
      <c r="N637" s="3">
        <v>16005</v>
      </c>
      <c r="O637" s="3">
        <v>0</v>
      </c>
      <c r="P637" s="3" t="s">
        <v>24</v>
      </c>
      <c r="Q637" s="3">
        <v>1</v>
      </c>
      <c r="R637" s="3" t="str">
        <f t="shared" si="9"/>
        <v>Cancelled</v>
      </c>
      <c r="S637" s="3" t="s">
        <v>25</v>
      </c>
    </row>
    <row r="638" spans="1:19" x14ac:dyDescent="0.35">
      <c r="A638" s="3">
        <v>1637</v>
      </c>
      <c r="B638" s="3" t="s">
        <v>603</v>
      </c>
      <c r="C638" s="4">
        <v>45319</v>
      </c>
      <c r="D638" s="3" t="s">
        <v>78</v>
      </c>
      <c r="E638" s="4">
        <v>45369</v>
      </c>
      <c r="F638" s="4">
        <v>45372</v>
      </c>
      <c r="G638" s="3" t="s">
        <v>20</v>
      </c>
      <c r="H638" s="3" t="s">
        <v>21</v>
      </c>
      <c r="I638" s="3" t="s">
        <v>22</v>
      </c>
      <c r="J638" s="3" t="s">
        <v>23</v>
      </c>
      <c r="K638" s="3">
        <v>50</v>
      </c>
      <c r="L638" s="3">
        <v>3</v>
      </c>
      <c r="M638" s="3">
        <v>4419</v>
      </c>
      <c r="N638" s="3">
        <v>13257</v>
      </c>
      <c r="O638" s="3">
        <v>0</v>
      </c>
      <c r="P638" s="3" t="s">
        <v>24</v>
      </c>
      <c r="Q638" s="3">
        <v>1</v>
      </c>
      <c r="R638" s="3" t="str">
        <f t="shared" si="9"/>
        <v>Cancelled</v>
      </c>
      <c r="S638" s="3" t="s">
        <v>31</v>
      </c>
    </row>
    <row r="639" spans="1:19" x14ac:dyDescent="0.35">
      <c r="A639" s="3">
        <v>1638</v>
      </c>
      <c r="B639" s="3" t="s">
        <v>227</v>
      </c>
      <c r="C639" s="4">
        <v>45342</v>
      </c>
      <c r="D639" s="3" t="s">
        <v>157</v>
      </c>
      <c r="E639" s="4">
        <v>45362</v>
      </c>
      <c r="F639" s="4">
        <v>45366</v>
      </c>
      <c r="G639" s="3" t="s">
        <v>42</v>
      </c>
      <c r="H639" s="3" t="s">
        <v>21</v>
      </c>
      <c r="I639" s="3" t="s">
        <v>39</v>
      </c>
      <c r="J639" s="3" t="s">
        <v>23</v>
      </c>
      <c r="K639" s="3">
        <v>20</v>
      </c>
      <c r="L639" s="3">
        <v>4</v>
      </c>
      <c r="M639" s="3">
        <v>4960</v>
      </c>
      <c r="N639" s="3">
        <v>19840</v>
      </c>
      <c r="O639" s="3">
        <v>19840</v>
      </c>
      <c r="P639" s="3" t="s">
        <v>51</v>
      </c>
      <c r="Q639" s="3">
        <v>0</v>
      </c>
      <c r="R639" s="3" t="str">
        <f t="shared" si="9"/>
        <v>Not Cancelled</v>
      </c>
      <c r="S639" s="3" t="s">
        <v>25</v>
      </c>
    </row>
    <row r="640" spans="1:19" x14ac:dyDescent="0.35">
      <c r="A640" s="3">
        <v>1639</v>
      </c>
      <c r="B640" s="3" t="s">
        <v>475</v>
      </c>
      <c r="C640" s="4">
        <v>45552</v>
      </c>
      <c r="D640" s="3" t="s">
        <v>64</v>
      </c>
      <c r="E640" s="4">
        <v>45597</v>
      </c>
      <c r="F640" s="4">
        <v>45602</v>
      </c>
      <c r="G640" s="3" t="s">
        <v>45</v>
      </c>
      <c r="H640" s="3" t="s">
        <v>21</v>
      </c>
      <c r="I640" s="3" t="s">
        <v>39</v>
      </c>
      <c r="J640" s="3" t="s">
        <v>30</v>
      </c>
      <c r="K640" s="3">
        <v>45</v>
      </c>
      <c r="L640" s="3">
        <v>5</v>
      </c>
      <c r="M640" s="3">
        <v>6762</v>
      </c>
      <c r="N640" s="3">
        <v>33810</v>
      </c>
      <c r="O640" s="3">
        <v>33810</v>
      </c>
      <c r="P640" s="3" t="s">
        <v>51</v>
      </c>
      <c r="Q640" s="3">
        <v>0</v>
      </c>
      <c r="R640" s="3" t="str">
        <f t="shared" si="9"/>
        <v>Not Cancelled</v>
      </c>
      <c r="S640" s="3" t="s">
        <v>25</v>
      </c>
    </row>
    <row r="641" spans="1:19" x14ac:dyDescent="0.35">
      <c r="A641" s="3">
        <v>1640</v>
      </c>
      <c r="B641" s="3" t="s">
        <v>604</v>
      </c>
      <c r="C641" s="4">
        <v>45552</v>
      </c>
      <c r="D641" s="3" t="s">
        <v>179</v>
      </c>
      <c r="E641" s="4">
        <v>45592</v>
      </c>
      <c r="F641" s="4">
        <v>45597</v>
      </c>
      <c r="G641" s="3" t="s">
        <v>45</v>
      </c>
      <c r="H641" s="3" t="s">
        <v>38</v>
      </c>
      <c r="I641" s="3" t="s">
        <v>22</v>
      </c>
      <c r="J641" s="3" t="s">
        <v>23</v>
      </c>
      <c r="K641" s="3">
        <v>40</v>
      </c>
      <c r="L641" s="3">
        <v>5</v>
      </c>
      <c r="M641" s="3">
        <v>6764</v>
      </c>
      <c r="N641" s="3">
        <v>33820</v>
      </c>
      <c r="O641" s="3">
        <v>33820</v>
      </c>
      <c r="P641" s="3" t="s">
        <v>24</v>
      </c>
      <c r="Q641" s="3">
        <v>0</v>
      </c>
      <c r="R641" s="3" t="str">
        <f t="shared" si="9"/>
        <v>Not Cancelled</v>
      </c>
      <c r="S641" s="3" t="s">
        <v>25</v>
      </c>
    </row>
    <row r="642" spans="1:19" x14ac:dyDescent="0.35">
      <c r="A642" s="3">
        <v>1641</v>
      </c>
      <c r="B642" s="3" t="s">
        <v>605</v>
      </c>
      <c r="C642" s="4">
        <v>45641</v>
      </c>
      <c r="D642" s="3" t="s">
        <v>153</v>
      </c>
      <c r="E642" s="4">
        <v>45680</v>
      </c>
      <c r="F642" s="4">
        <v>45683</v>
      </c>
      <c r="G642" s="3" t="s">
        <v>20</v>
      </c>
      <c r="H642" s="3" t="s">
        <v>38</v>
      </c>
      <c r="I642" s="3" t="s">
        <v>39</v>
      </c>
      <c r="J642" s="3" t="s">
        <v>23</v>
      </c>
      <c r="K642" s="3">
        <v>39</v>
      </c>
      <c r="L642" s="3">
        <v>3</v>
      </c>
      <c r="M642" s="3">
        <v>6824</v>
      </c>
      <c r="N642" s="3">
        <v>20472</v>
      </c>
      <c r="O642" s="3">
        <v>20472</v>
      </c>
      <c r="P642" s="3" t="s">
        <v>51</v>
      </c>
      <c r="Q642" s="3">
        <v>0</v>
      </c>
      <c r="R642" s="3" t="str">
        <f t="shared" si="9"/>
        <v>Not Cancelled</v>
      </c>
      <c r="S642" s="3" t="s">
        <v>25</v>
      </c>
    </row>
    <row r="643" spans="1:19" x14ac:dyDescent="0.35">
      <c r="A643" s="3">
        <v>1642</v>
      </c>
      <c r="B643" s="3" t="s">
        <v>606</v>
      </c>
      <c r="C643" s="4">
        <v>45643</v>
      </c>
      <c r="D643" s="3" t="s">
        <v>211</v>
      </c>
      <c r="E643" s="4">
        <v>45692</v>
      </c>
      <c r="F643" s="4">
        <v>45695</v>
      </c>
      <c r="G643" s="3" t="s">
        <v>20</v>
      </c>
      <c r="H643" s="3" t="s">
        <v>60</v>
      </c>
      <c r="I643" s="3" t="s">
        <v>22</v>
      </c>
      <c r="J643" s="3" t="s">
        <v>30</v>
      </c>
      <c r="K643" s="3">
        <v>49</v>
      </c>
      <c r="L643" s="3">
        <v>3</v>
      </c>
      <c r="M643" s="3">
        <v>8598</v>
      </c>
      <c r="N643" s="3">
        <v>25794</v>
      </c>
      <c r="O643" s="3">
        <v>0</v>
      </c>
      <c r="P643" s="3" t="s">
        <v>51</v>
      </c>
      <c r="Q643" s="3">
        <v>1</v>
      </c>
      <c r="R643" s="3" t="str">
        <f t="shared" ref="R643:R706" si="10">IF(Q643=0,"Not Cancelled","Cancelled")</f>
        <v>Cancelled</v>
      </c>
      <c r="S643" s="3" t="s">
        <v>31</v>
      </c>
    </row>
    <row r="644" spans="1:19" x14ac:dyDescent="0.35">
      <c r="A644" s="3">
        <v>1643</v>
      </c>
      <c r="B644" s="3" t="s">
        <v>348</v>
      </c>
      <c r="C644" s="4">
        <v>45299</v>
      </c>
      <c r="D644" s="3" t="s">
        <v>133</v>
      </c>
      <c r="E644" s="4">
        <v>45352</v>
      </c>
      <c r="F644" s="4">
        <v>45354</v>
      </c>
      <c r="G644" s="3" t="s">
        <v>28</v>
      </c>
      <c r="H644" s="3" t="s">
        <v>60</v>
      </c>
      <c r="I644" s="3" t="s">
        <v>39</v>
      </c>
      <c r="J644" s="3" t="s">
        <v>46</v>
      </c>
      <c r="K644" s="3">
        <v>53</v>
      </c>
      <c r="L644" s="3">
        <v>2</v>
      </c>
      <c r="M644" s="3">
        <v>2866</v>
      </c>
      <c r="N644" s="3">
        <v>5732</v>
      </c>
      <c r="O644" s="3">
        <v>0</v>
      </c>
      <c r="P644" s="3" t="s">
        <v>51</v>
      </c>
      <c r="Q644" s="3">
        <v>1</v>
      </c>
      <c r="R644" s="3" t="str">
        <f t="shared" si="10"/>
        <v>Cancelled</v>
      </c>
      <c r="S644" s="3" t="s">
        <v>31</v>
      </c>
    </row>
    <row r="645" spans="1:19" x14ac:dyDescent="0.35">
      <c r="A645" s="3">
        <v>1644</v>
      </c>
      <c r="B645" s="3" t="s">
        <v>607</v>
      </c>
      <c r="C645" s="4">
        <v>45611</v>
      </c>
      <c r="D645" s="3" t="s">
        <v>111</v>
      </c>
      <c r="E645" s="4">
        <v>45634</v>
      </c>
      <c r="F645" s="4">
        <v>45638</v>
      </c>
      <c r="G645" s="3" t="s">
        <v>42</v>
      </c>
      <c r="H645" s="3" t="s">
        <v>60</v>
      </c>
      <c r="I645" s="3" t="s">
        <v>22</v>
      </c>
      <c r="J645" s="3" t="s">
        <v>46</v>
      </c>
      <c r="K645" s="3">
        <v>23</v>
      </c>
      <c r="L645" s="3">
        <v>4</v>
      </c>
      <c r="M645" s="3">
        <v>3027</v>
      </c>
      <c r="N645" s="3">
        <v>12108</v>
      </c>
      <c r="O645" s="3">
        <v>12108</v>
      </c>
      <c r="P645" s="3" t="s">
        <v>24</v>
      </c>
      <c r="Q645" s="3">
        <v>0</v>
      </c>
      <c r="R645" s="3" t="str">
        <f t="shared" si="10"/>
        <v>Not Cancelled</v>
      </c>
      <c r="S645" s="3" t="s">
        <v>31</v>
      </c>
    </row>
    <row r="646" spans="1:19" x14ac:dyDescent="0.35">
      <c r="A646" s="3">
        <v>1645</v>
      </c>
      <c r="B646" s="3" t="s">
        <v>373</v>
      </c>
      <c r="C646" s="4">
        <v>45429</v>
      </c>
      <c r="D646" s="3" t="s">
        <v>148</v>
      </c>
      <c r="E646" s="4">
        <v>45476</v>
      </c>
      <c r="F646" s="4">
        <v>45480</v>
      </c>
      <c r="G646" s="3" t="s">
        <v>42</v>
      </c>
      <c r="H646" s="3" t="s">
        <v>21</v>
      </c>
      <c r="I646" s="3" t="s">
        <v>39</v>
      </c>
      <c r="J646" s="3" t="s">
        <v>46</v>
      </c>
      <c r="K646" s="3">
        <v>47</v>
      </c>
      <c r="L646" s="3">
        <v>4</v>
      </c>
      <c r="M646" s="3">
        <v>7386</v>
      </c>
      <c r="N646" s="3">
        <v>29544</v>
      </c>
      <c r="O646" s="3">
        <v>29544</v>
      </c>
      <c r="P646" s="3" t="s">
        <v>24</v>
      </c>
      <c r="Q646" s="3">
        <v>0</v>
      </c>
      <c r="R646" s="3" t="str">
        <f t="shared" si="10"/>
        <v>Not Cancelled</v>
      </c>
      <c r="S646" s="3" t="s">
        <v>25</v>
      </c>
    </row>
    <row r="647" spans="1:19" x14ac:dyDescent="0.35">
      <c r="A647" s="3">
        <v>1646</v>
      </c>
      <c r="B647" s="3" t="s">
        <v>444</v>
      </c>
      <c r="C647" s="4">
        <v>45329</v>
      </c>
      <c r="D647" s="3" t="s">
        <v>144</v>
      </c>
      <c r="E647" s="4">
        <v>45361</v>
      </c>
      <c r="F647" s="4">
        <v>45364</v>
      </c>
      <c r="G647" s="3" t="s">
        <v>20</v>
      </c>
      <c r="H647" s="3" t="s">
        <v>38</v>
      </c>
      <c r="I647" s="3" t="s">
        <v>22</v>
      </c>
      <c r="J647" s="3" t="s">
        <v>23</v>
      </c>
      <c r="K647" s="3">
        <v>32</v>
      </c>
      <c r="L647" s="3">
        <v>3</v>
      </c>
      <c r="M647" s="3">
        <v>6218</v>
      </c>
      <c r="N647" s="3">
        <v>18654</v>
      </c>
      <c r="O647" s="3">
        <v>0</v>
      </c>
      <c r="P647" s="3" t="s">
        <v>51</v>
      </c>
      <c r="Q647" s="3">
        <v>1</v>
      </c>
      <c r="R647" s="3" t="str">
        <f t="shared" si="10"/>
        <v>Cancelled</v>
      </c>
      <c r="S647" s="3" t="s">
        <v>31</v>
      </c>
    </row>
    <row r="648" spans="1:19" x14ac:dyDescent="0.35">
      <c r="A648" s="3">
        <v>1647</v>
      </c>
      <c r="B648" s="3" t="s">
        <v>608</v>
      </c>
      <c r="C648" s="4">
        <v>45402</v>
      </c>
      <c r="D648" s="3" t="s">
        <v>226</v>
      </c>
      <c r="E648" s="4">
        <v>45454</v>
      </c>
      <c r="F648" s="4">
        <v>45459</v>
      </c>
      <c r="G648" s="3" t="s">
        <v>45</v>
      </c>
      <c r="H648" s="3" t="s">
        <v>21</v>
      </c>
      <c r="I648" s="3" t="s">
        <v>22</v>
      </c>
      <c r="J648" s="3" t="s">
        <v>30</v>
      </c>
      <c r="K648" s="3">
        <v>52</v>
      </c>
      <c r="L648" s="3">
        <v>5</v>
      </c>
      <c r="M648" s="3">
        <v>6109</v>
      </c>
      <c r="N648" s="3">
        <v>30545</v>
      </c>
      <c r="O648" s="3">
        <v>30545</v>
      </c>
      <c r="P648" s="3" t="s">
        <v>24</v>
      </c>
      <c r="Q648" s="3">
        <v>0</v>
      </c>
      <c r="R648" s="3" t="str">
        <f t="shared" si="10"/>
        <v>Not Cancelled</v>
      </c>
      <c r="S648" s="3" t="s">
        <v>31</v>
      </c>
    </row>
    <row r="649" spans="1:19" x14ac:dyDescent="0.35">
      <c r="A649" s="3">
        <v>1648</v>
      </c>
      <c r="B649" s="3" t="s">
        <v>97</v>
      </c>
      <c r="C649" s="4">
        <v>45511</v>
      </c>
      <c r="D649" s="3" t="s">
        <v>148</v>
      </c>
      <c r="E649" s="4">
        <v>45558</v>
      </c>
      <c r="F649" s="4">
        <v>45561</v>
      </c>
      <c r="G649" s="3" t="s">
        <v>20</v>
      </c>
      <c r="H649" s="3" t="s">
        <v>60</v>
      </c>
      <c r="I649" s="3" t="s">
        <v>22</v>
      </c>
      <c r="J649" s="3" t="s">
        <v>46</v>
      </c>
      <c r="K649" s="3">
        <v>47</v>
      </c>
      <c r="L649" s="3">
        <v>3</v>
      </c>
      <c r="M649" s="3">
        <v>6435</v>
      </c>
      <c r="N649" s="3">
        <v>19305</v>
      </c>
      <c r="O649" s="3">
        <v>0</v>
      </c>
      <c r="P649" s="3" t="s">
        <v>24</v>
      </c>
      <c r="Q649" s="3">
        <v>1</v>
      </c>
      <c r="R649" s="3" t="str">
        <f t="shared" si="10"/>
        <v>Cancelled</v>
      </c>
      <c r="S649" s="3" t="s">
        <v>25</v>
      </c>
    </row>
    <row r="650" spans="1:19" x14ac:dyDescent="0.35">
      <c r="A650" s="3">
        <v>1649</v>
      </c>
      <c r="B650" s="3" t="s">
        <v>609</v>
      </c>
      <c r="C650" s="4">
        <v>45628</v>
      </c>
      <c r="D650" s="3" t="s">
        <v>69</v>
      </c>
      <c r="E650" s="4">
        <v>45661</v>
      </c>
      <c r="F650" s="4">
        <v>45666</v>
      </c>
      <c r="G650" s="3" t="s">
        <v>45</v>
      </c>
      <c r="H650" s="3" t="s">
        <v>38</v>
      </c>
      <c r="I650" s="3" t="s">
        <v>39</v>
      </c>
      <c r="J650" s="3" t="s">
        <v>46</v>
      </c>
      <c r="K650" s="3">
        <v>33</v>
      </c>
      <c r="L650" s="3">
        <v>5</v>
      </c>
      <c r="M650" s="3">
        <v>7119</v>
      </c>
      <c r="N650" s="3">
        <v>35595</v>
      </c>
      <c r="O650" s="3">
        <v>0</v>
      </c>
      <c r="P650" s="3" t="s">
        <v>51</v>
      </c>
      <c r="Q650" s="3">
        <v>1</v>
      </c>
      <c r="R650" s="3" t="str">
        <f t="shared" si="10"/>
        <v>Cancelled</v>
      </c>
      <c r="S650" s="3" t="s">
        <v>31</v>
      </c>
    </row>
    <row r="651" spans="1:19" x14ac:dyDescent="0.35">
      <c r="A651" s="3">
        <v>1650</v>
      </c>
      <c r="B651" s="3" t="s">
        <v>177</v>
      </c>
      <c r="C651" s="4">
        <v>45514</v>
      </c>
      <c r="D651" s="3" t="s">
        <v>100</v>
      </c>
      <c r="E651" s="4">
        <v>45571</v>
      </c>
      <c r="F651" s="4">
        <v>45576</v>
      </c>
      <c r="G651" s="3" t="s">
        <v>45</v>
      </c>
      <c r="H651" s="3" t="s">
        <v>35</v>
      </c>
      <c r="I651" s="3" t="s">
        <v>22</v>
      </c>
      <c r="J651" s="3" t="s">
        <v>46</v>
      </c>
      <c r="K651" s="3">
        <v>57</v>
      </c>
      <c r="L651" s="3">
        <v>5</v>
      </c>
      <c r="M651" s="3">
        <v>7691</v>
      </c>
      <c r="N651" s="3">
        <v>38455</v>
      </c>
      <c r="O651" s="3">
        <v>0</v>
      </c>
      <c r="P651" s="3" t="s">
        <v>24</v>
      </c>
      <c r="Q651" s="3">
        <v>1</v>
      </c>
      <c r="R651" s="3" t="str">
        <f t="shared" si="10"/>
        <v>Cancelled</v>
      </c>
      <c r="S651" s="3" t="s">
        <v>25</v>
      </c>
    </row>
    <row r="652" spans="1:19" x14ac:dyDescent="0.35">
      <c r="A652" s="3">
        <v>1651</v>
      </c>
      <c r="B652" s="3" t="s">
        <v>610</v>
      </c>
      <c r="C652" s="4">
        <v>45427</v>
      </c>
      <c r="D652" s="3" t="s">
        <v>41</v>
      </c>
      <c r="E652" s="4">
        <v>45473</v>
      </c>
      <c r="F652" s="4">
        <v>45476</v>
      </c>
      <c r="G652" s="3" t="s">
        <v>20</v>
      </c>
      <c r="H652" s="3" t="s">
        <v>29</v>
      </c>
      <c r="I652" s="3" t="s">
        <v>22</v>
      </c>
      <c r="J652" s="3" t="s">
        <v>46</v>
      </c>
      <c r="K652" s="3">
        <v>46</v>
      </c>
      <c r="L652" s="3">
        <v>3</v>
      </c>
      <c r="M652" s="3">
        <v>8264</v>
      </c>
      <c r="N652" s="3">
        <v>24792</v>
      </c>
      <c r="O652" s="3">
        <v>0</v>
      </c>
      <c r="P652" s="3" t="s">
        <v>24</v>
      </c>
      <c r="Q652" s="3">
        <v>1</v>
      </c>
      <c r="R652" s="3" t="str">
        <f t="shared" si="10"/>
        <v>Cancelled</v>
      </c>
      <c r="S652" s="3" t="s">
        <v>31</v>
      </c>
    </row>
    <row r="653" spans="1:19" x14ac:dyDescent="0.35">
      <c r="A653" s="3">
        <v>1652</v>
      </c>
      <c r="B653" s="3" t="s">
        <v>611</v>
      </c>
      <c r="C653" s="4">
        <v>45547</v>
      </c>
      <c r="D653" s="3" t="s">
        <v>45</v>
      </c>
      <c r="E653" s="4">
        <v>45552</v>
      </c>
      <c r="F653" s="4">
        <v>45553</v>
      </c>
      <c r="G653" s="3" t="s">
        <v>34</v>
      </c>
      <c r="H653" s="3" t="s">
        <v>29</v>
      </c>
      <c r="I653" s="3" t="s">
        <v>39</v>
      </c>
      <c r="J653" s="3" t="s">
        <v>30</v>
      </c>
      <c r="K653" s="3">
        <v>5</v>
      </c>
      <c r="L653" s="3">
        <v>1</v>
      </c>
      <c r="M653" s="3">
        <v>4653</v>
      </c>
      <c r="N653" s="3">
        <v>4653</v>
      </c>
      <c r="O653" s="3">
        <v>4653</v>
      </c>
      <c r="P653" s="3" t="s">
        <v>24</v>
      </c>
      <c r="Q653" s="3">
        <v>0</v>
      </c>
      <c r="R653" s="3" t="str">
        <f t="shared" si="10"/>
        <v>Not Cancelled</v>
      </c>
      <c r="S653" s="3" t="s">
        <v>31</v>
      </c>
    </row>
    <row r="654" spans="1:19" x14ac:dyDescent="0.35">
      <c r="A654" s="3">
        <v>1653</v>
      </c>
      <c r="B654" s="3" t="s">
        <v>612</v>
      </c>
      <c r="C654" s="4">
        <v>45651</v>
      </c>
      <c r="D654" s="3" t="s">
        <v>66</v>
      </c>
      <c r="E654" s="4">
        <v>45694</v>
      </c>
      <c r="F654" s="4">
        <v>45698</v>
      </c>
      <c r="G654" s="3" t="s">
        <v>42</v>
      </c>
      <c r="H654" s="3" t="s">
        <v>60</v>
      </c>
      <c r="I654" s="3" t="s">
        <v>39</v>
      </c>
      <c r="J654" s="3" t="s">
        <v>46</v>
      </c>
      <c r="K654" s="3">
        <v>43</v>
      </c>
      <c r="L654" s="3">
        <v>4</v>
      </c>
      <c r="M654" s="3">
        <v>4408</v>
      </c>
      <c r="N654" s="3">
        <v>17632</v>
      </c>
      <c r="O654" s="3">
        <v>0</v>
      </c>
      <c r="P654" s="3" t="s">
        <v>24</v>
      </c>
      <c r="Q654" s="3">
        <v>1</v>
      </c>
      <c r="R654" s="3" t="str">
        <f t="shared" si="10"/>
        <v>Cancelled</v>
      </c>
      <c r="S654" s="3" t="s">
        <v>31</v>
      </c>
    </row>
    <row r="655" spans="1:19" x14ac:dyDescent="0.35">
      <c r="A655" s="3">
        <v>1654</v>
      </c>
      <c r="B655" s="3" t="s">
        <v>168</v>
      </c>
      <c r="C655" s="4">
        <v>45620</v>
      </c>
      <c r="D655" s="3" t="s">
        <v>73</v>
      </c>
      <c r="E655" s="4">
        <v>45668</v>
      </c>
      <c r="F655" s="4">
        <v>45673</v>
      </c>
      <c r="G655" s="3" t="s">
        <v>45</v>
      </c>
      <c r="H655" s="3" t="s">
        <v>21</v>
      </c>
      <c r="I655" s="3" t="s">
        <v>39</v>
      </c>
      <c r="J655" s="3" t="s">
        <v>23</v>
      </c>
      <c r="K655" s="3">
        <v>48</v>
      </c>
      <c r="L655" s="3">
        <v>5</v>
      </c>
      <c r="M655" s="3">
        <v>5512</v>
      </c>
      <c r="N655" s="3">
        <v>27560</v>
      </c>
      <c r="O655" s="3">
        <v>0</v>
      </c>
      <c r="P655" s="3" t="s">
        <v>24</v>
      </c>
      <c r="Q655" s="3">
        <v>1</v>
      </c>
      <c r="R655" s="3" t="str">
        <f t="shared" si="10"/>
        <v>Cancelled</v>
      </c>
      <c r="S655" s="3" t="s">
        <v>31</v>
      </c>
    </row>
    <row r="656" spans="1:19" x14ac:dyDescent="0.35">
      <c r="A656" s="3">
        <v>1655</v>
      </c>
      <c r="B656" s="3" t="s">
        <v>327</v>
      </c>
      <c r="C656" s="4">
        <v>45340</v>
      </c>
      <c r="D656" s="3" t="s">
        <v>128</v>
      </c>
      <c r="E656" s="4">
        <v>45374</v>
      </c>
      <c r="F656" s="4">
        <v>45379</v>
      </c>
      <c r="G656" s="3" t="s">
        <v>45</v>
      </c>
      <c r="H656" s="3" t="s">
        <v>35</v>
      </c>
      <c r="I656" s="3" t="s">
        <v>39</v>
      </c>
      <c r="J656" s="3" t="s">
        <v>23</v>
      </c>
      <c r="K656" s="3">
        <v>34</v>
      </c>
      <c r="L656" s="3">
        <v>5</v>
      </c>
      <c r="M656" s="3">
        <v>7901</v>
      </c>
      <c r="N656" s="3">
        <v>39505</v>
      </c>
      <c r="O656" s="3">
        <v>39505</v>
      </c>
      <c r="P656" s="3" t="s">
        <v>24</v>
      </c>
      <c r="Q656" s="3">
        <v>0</v>
      </c>
      <c r="R656" s="3" t="str">
        <f t="shared" si="10"/>
        <v>Not Cancelled</v>
      </c>
      <c r="S656" s="3" t="s">
        <v>25</v>
      </c>
    </row>
    <row r="657" spans="1:19" x14ac:dyDescent="0.35">
      <c r="A657" s="3">
        <v>1656</v>
      </c>
      <c r="B657" s="3" t="s">
        <v>569</v>
      </c>
      <c r="C657" s="4">
        <v>45583</v>
      </c>
      <c r="D657" s="3" t="s">
        <v>179</v>
      </c>
      <c r="E657" s="4">
        <v>45623</v>
      </c>
      <c r="F657" s="4">
        <v>45624</v>
      </c>
      <c r="G657" s="3" t="s">
        <v>34</v>
      </c>
      <c r="H657" s="3" t="s">
        <v>38</v>
      </c>
      <c r="I657" s="3" t="s">
        <v>22</v>
      </c>
      <c r="J657" s="3" t="s">
        <v>30</v>
      </c>
      <c r="K657" s="3">
        <v>40</v>
      </c>
      <c r="L657" s="3">
        <v>1</v>
      </c>
      <c r="M657" s="3">
        <v>6728</v>
      </c>
      <c r="N657" s="3">
        <v>6728</v>
      </c>
      <c r="O657" s="3">
        <v>0</v>
      </c>
      <c r="P657" s="3" t="s">
        <v>51</v>
      </c>
      <c r="Q657" s="3">
        <v>1</v>
      </c>
      <c r="R657" s="3" t="str">
        <f t="shared" si="10"/>
        <v>Cancelled</v>
      </c>
      <c r="S657" s="3" t="s">
        <v>25</v>
      </c>
    </row>
    <row r="658" spans="1:19" x14ac:dyDescent="0.35">
      <c r="A658" s="3">
        <v>1657</v>
      </c>
      <c r="B658" s="3" t="s">
        <v>613</v>
      </c>
      <c r="C658" s="4">
        <v>45615</v>
      </c>
      <c r="D658" s="3" t="s">
        <v>75</v>
      </c>
      <c r="E658" s="4">
        <v>45626</v>
      </c>
      <c r="F658" s="4">
        <v>45628</v>
      </c>
      <c r="G658" s="3" t="s">
        <v>28</v>
      </c>
      <c r="H658" s="3" t="s">
        <v>21</v>
      </c>
      <c r="I658" s="3" t="s">
        <v>39</v>
      </c>
      <c r="J658" s="3" t="s">
        <v>46</v>
      </c>
      <c r="K658" s="3">
        <v>11</v>
      </c>
      <c r="L658" s="3">
        <v>2</v>
      </c>
      <c r="M658" s="3">
        <v>5522</v>
      </c>
      <c r="N658" s="3">
        <v>11044</v>
      </c>
      <c r="O658" s="3">
        <v>0</v>
      </c>
      <c r="P658" s="3" t="s">
        <v>51</v>
      </c>
      <c r="Q658" s="3">
        <v>1</v>
      </c>
      <c r="R658" s="3" t="str">
        <f t="shared" si="10"/>
        <v>Cancelled</v>
      </c>
      <c r="S658" s="3" t="s">
        <v>31</v>
      </c>
    </row>
    <row r="659" spans="1:19" x14ac:dyDescent="0.35">
      <c r="A659" s="3">
        <v>1658</v>
      </c>
      <c r="B659" s="3" t="s">
        <v>614</v>
      </c>
      <c r="C659" s="4">
        <v>45369</v>
      </c>
      <c r="D659" s="3" t="s">
        <v>78</v>
      </c>
      <c r="E659" s="4">
        <v>45419</v>
      </c>
      <c r="F659" s="4">
        <v>45420</v>
      </c>
      <c r="G659" s="3" t="s">
        <v>34</v>
      </c>
      <c r="H659" s="3" t="s">
        <v>60</v>
      </c>
      <c r="I659" s="3" t="s">
        <v>39</v>
      </c>
      <c r="J659" s="3" t="s">
        <v>46</v>
      </c>
      <c r="K659" s="3">
        <v>50</v>
      </c>
      <c r="L659" s="3">
        <v>1</v>
      </c>
      <c r="M659" s="3">
        <v>8912</v>
      </c>
      <c r="N659" s="3">
        <v>8912</v>
      </c>
      <c r="O659" s="3">
        <v>0</v>
      </c>
      <c r="P659" s="3" t="s">
        <v>51</v>
      </c>
      <c r="Q659" s="3">
        <v>1</v>
      </c>
      <c r="R659" s="3" t="str">
        <f t="shared" si="10"/>
        <v>Cancelled</v>
      </c>
      <c r="S659" s="3" t="s">
        <v>25</v>
      </c>
    </row>
    <row r="660" spans="1:19" x14ac:dyDescent="0.35">
      <c r="A660" s="3">
        <v>1659</v>
      </c>
      <c r="B660" s="3" t="s">
        <v>120</v>
      </c>
      <c r="C660" s="4">
        <v>45396</v>
      </c>
      <c r="D660" s="3" t="s">
        <v>20</v>
      </c>
      <c r="E660" s="4">
        <v>45399</v>
      </c>
      <c r="F660" s="4">
        <v>45400</v>
      </c>
      <c r="G660" s="3" t="s">
        <v>34</v>
      </c>
      <c r="H660" s="3" t="s">
        <v>21</v>
      </c>
      <c r="I660" s="3" t="s">
        <v>39</v>
      </c>
      <c r="J660" s="3" t="s">
        <v>23</v>
      </c>
      <c r="K660" s="3">
        <v>3</v>
      </c>
      <c r="L660" s="3">
        <v>1</v>
      </c>
      <c r="M660" s="3">
        <v>5983</v>
      </c>
      <c r="N660" s="3">
        <v>5983</v>
      </c>
      <c r="O660" s="3">
        <v>5983</v>
      </c>
      <c r="P660" s="3" t="s">
        <v>24</v>
      </c>
      <c r="Q660" s="3">
        <v>0</v>
      </c>
      <c r="R660" s="3" t="str">
        <f t="shared" si="10"/>
        <v>Not Cancelled</v>
      </c>
      <c r="S660" s="3" t="s">
        <v>31</v>
      </c>
    </row>
    <row r="661" spans="1:19" x14ac:dyDescent="0.35">
      <c r="A661" s="3">
        <v>1660</v>
      </c>
      <c r="B661" s="3" t="s">
        <v>615</v>
      </c>
      <c r="C661" s="4">
        <v>45460</v>
      </c>
      <c r="D661" s="3" t="s">
        <v>237</v>
      </c>
      <c r="E661" s="4">
        <v>45518</v>
      </c>
      <c r="F661" s="4">
        <v>45523</v>
      </c>
      <c r="G661" s="3" t="s">
        <v>45</v>
      </c>
      <c r="H661" s="3" t="s">
        <v>60</v>
      </c>
      <c r="I661" s="3" t="s">
        <v>39</v>
      </c>
      <c r="J661" s="3" t="s">
        <v>30</v>
      </c>
      <c r="K661" s="3">
        <v>58</v>
      </c>
      <c r="L661" s="3">
        <v>5</v>
      </c>
      <c r="M661" s="3">
        <v>5220</v>
      </c>
      <c r="N661" s="3">
        <v>26100</v>
      </c>
      <c r="O661" s="3">
        <v>0</v>
      </c>
      <c r="P661" s="3" t="s">
        <v>51</v>
      </c>
      <c r="Q661" s="3">
        <v>1</v>
      </c>
      <c r="R661" s="3" t="str">
        <f t="shared" si="10"/>
        <v>Cancelled</v>
      </c>
      <c r="S661" s="3" t="s">
        <v>31</v>
      </c>
    </row>
    <row r="662" spans="1:19" x14ac:dyDescent="0.35">
      <c r="A662" s="3">
        <v>1661</v>
      </c>
      <c r="B662" s="3" t="s">
        <v>616</v>
      </c>
      <c r="C662" s="4">
        <v>45508</v>
      </c>
      <c r="D662" s="3" t="s">
        <v>69</v>
      </c>
      <c r="E662" s="4">
        <v>45541</v>
      </c>
      <c r="F662" s="4">
        <v>45545</v>
      </c>
      <c r="G662" s="3" t="s">
        <v>42</v>
      </c>
      <c r="H662" s="3" t="s">
        <v>29</v>
      </c>
      <c r="I662" s="3" t="s">
        <v>39</v>
      </c>
      <c r="J662" s="3" t="s">
        <v>23</v>
      </c>
      <c r="K662" s="3">
        <v>33</v>
      </c>
      <c r="L662" s="3">
        <v>4</v>
      </c>
      <c r="M662" s="3">
        <v>8238</v>
      </c>
      <c r="N662" s="3">
        <v>32952</v>
      </c>
      <c r="O662" s="3">
        <v>0</v>
      </c>
      <c r="P662" s="3" t="s">
        <v>24</v>
      </c>
      <c r="Q662" s="3">
        <v>1</v>
      </c>
      <c r="R662" s="3" t="str">
        <f t="shared" si="10"/>
        <v>Cancelled</v>
      </c>
      <c r="S662" s="3" t="s">
        <v>31</v>
      </c>
    </row>
    <row r="663" spans="1:19" x14ac:dyDescent="0.35">
      <c r="A663" s="3">
        <v>1662</v>
      </c>
      <c r="B663" s="3" t="s">
        <v>617</v>
      </c>
      <c r="C663" s="4">
        <v>45410</v>
      </c>
      <c r="D663" s="3" t="s">
        <v>75</v>
      </c>
      <c r="E663" s="4">
        <v>45421</v>
      </c>
      <c r="F663" s="4">
        <v>45422</v>
      </c>
      <c r="G663" s="3" t="s">
        <v>34</v>
      </c>
      <c r="H663" s="3" t="s">
        <v>29</v>
      </c>
      <c r="I663" s="3" t="s">
        <v>39</v>
      </c>
      <c r="J663" s="3" t="s">
        <v>30</v>
      </c>
      <c r="K663" s="3">
        <v>11</v>
      </c>
      <c r="L663" s="3">
        <v>1</v>
      </c>
      <c r="M663" s="3">
        <v>8484</v>
      </c>
      <c r="N663" s="3">
        <v>8484</v>
      </c>
      <c r="O663" s="3">
        <v>8484</v>
      </c>
      <c r="P663" s="3" t="s">
        <v>24</v>
      </c>
      <c r="Q663" s="3">
        <v>0</v>
      </c>
      <c r="R663" s="3" t="str">
        <f t="shared" si="10"/>
        <v>Not Cancelled</v>
      </c>
      <c r="S663" s="3" t="s">
        <v>31</v>
      </c>
    </row>
    <row r="664" spans="1:19" x14ac:dyDescent="0.35">
      <c r="A664" s="3">
        <v>1663</v>
      </c>
      <c r="B664" s="3" t="s">
        <v>618</v>
      </c>
      <c r="C664" s="4">
        <v>45481</v>
      </c>
      <c r="D664" s="3" t="s">
        <v>88</v>
      </c>
      <c r="E664" s="4">
        <v>45497</v>
      </c>
      <c r="F664" s="4">
        <v>45499</v>
      </c>
      <c r="G664" s="3" t="s">
        <v>28</v>
      </c>
      <c r="H664" s="3" t="s">
        <v>21</v>
      </c>
      <c r="I664" s="3" t="s">
        <v>39</v>
      </c>
      <c r="J664" s="3" t="s">
        <v>30</v>
      </c>
      <c r="K664" s="3">
        <v>16</v>
      </c>
      <c r="L664" s="3">
        <v>2</v>
      </c>
      <c r="M664" s="3">
        <v>4270</v>
      </c>
      <c r="N664" s="3">
        <v>8540</v>
      </c>
      <c r="O664" s="3">
        <v>8540</v>
      </c>
      <c r="P664" s="3" t="s">
        <v>51</v>
      </c>
      <c r="Q664" s="3">
        <v>0</v>
      </c>
      <c r="R664" s="3" t="str">
        <f t="shared" si="10"/>
        <v>Not Cancelled</v>
      </c>
      <c r="S664" s="3" t="s">
        <v>31</v>
      </c>
    </row>
    <row r="665" spans="1:19" x14ac:dyDescent="0.35">
      <c r="A665" s="3">
        <v>1664</v>
      </c>
      <c r="B665" s="3" t="s">
        <v>619</v>
      </c>
      <c r="C665" s="4">
        <v>45546</v>
      </c>
      <c r="D665" s="3" t="s">
        <v>27</v>
      </c>
      <c r="E665" s="4">
        <v>45564</v>
      </c>
      <c r="F665" s="4">
        <v>45567</v>
      </c>
      <c r="G665" s="3" t="s">
        <v>20</v>
      </c>
      <c r="H665" s="3" t="s">
        <v>35</v>
      </c>
      <c r="I665" s="3" t="s">
        <v>22</v>
      </c>
      <c r="J665" s="3" t="s">
        <v>30</v>
      </c>
      <c r="K665" s="3">
        <v>18</v>
      </c>
      <c r="L665" s="3">
        <v>3</v>
      </c>
      <c r="M665" s="3">
        <v>6613</v>
      </c>
      <c r="N665" s="3">
        <v>19839</v>
      </c>
      <c r="O665" s="3">
        <v>0</v>
      </c>
      <c r="P665" s="3" t="s">
        <v>24</v>
      </c>
      <c r="Q665" s="3">
        <v>1</v>
      </c>
      <c r="R665" s="3" t="str">
        <f t="shared" si="10"/>
        <v>Cancelled</v>
      </c>
      <c r="S665" s="3" t="s">
        <v>31</v>
      </c>
    </row>
    <row r="666" spans="1:19" x14ac:dyDescent="0.35">
      <c r="A666" s="3">
        <v>1665</v>
      </c>
      <c r="B666" s="3" t="s">
        <v>620</v>
      </c>
      <c r="C666" s="4">
        <v>45557</v>
      </c>
      <c r="D666" s="3" t="s">
        <v>50</v>
      </c>
      <c r="E666" s="4">
        <v>45587</v>
      </c>
      <c r="F666" s="4">
        <v>45588</v>
      </c>
      <c r="G666" s="3" t="s">
        <v>34</v>
      </c>
      <c r="H666" s="3" t="s">
        <v>38</v>
      </c>
      <c r="I666" s="3" t="s">
        <v>22</v>
      </c>
      <c r="J666" s="3" t="s">
        <v>23</v>
      </c>
      <c r="K666" s="3">
        <v>30</v>
      </c>
      <c r="L666" s="3">
        <v>1</v>
      </c>
      <c r="M666" s="3">
        <v>4277</v>
      </c>
      <c r="N666" s="3">
        <v>4277</v>
      </c>
      <c r="O666" s="3">
        <v>0</v>
      </c>
      <c r="P666" s="3" t="s">
        <v>51</v>
      </c>
      <c r="Q666" s="3">
        <v>1</v>
      </c>
      <c r="R666" s="3" t="str">
        <f t="shared" si="10"/>
        <v>Cancelled</v>
      </c>
      <c r="S666" s="3" t="s">
        <v>25</v>
      </c>
    </row>
    <row r="667" spans="1:19" x14ac:dyDescent="0.35">
      <c r="A667" s="3">
        <v>1666</v>
      </c>
      <c r="B667" s="3" t="s">
        <v>621</v>
      </c>
      <c r="C667" s="4">
        <v>45440</v>
      </c>
      <c r="D667" s="3" t="s">
        <v>73</v>
      </c>
      <c r="E667" s="4">
        <v>45488</v>
      </c>
      <c r="F667" s="4">
        <v>45489</v>
      </c>
      <c r="G667" s="3" t="s">
        <v>34</v>
      </c>
      <c r="H667" s="3" t="s">
        <v>60</v>
      </c>
      <c r="I667" s="3" t="s">
        <v>22</v>
      </c>
      <c r="J667" s="3" t="s">
        <v>30</v>
      </c>
      <c r="K667" s="3">
        <v>48</v>
      </c>
      <c r="L667" s="3">
        <v>1</v>
      </c>
      <c r="M667" s="3">
        <v>6712</v>
      </c>
      <c r="N667" s="3">
        <v>6712</v>
      </c>
      <c r="O667" s="3">
        <v>0</v>
      </c>
      <c r="P667" s="3" t="s">
        <v>24</v>
      </c>
      <c r="Q667" s="3">
        <v>1</v>
      </c>
      <c r="R667" s="3" t="str">
        <f t="shared" si="10"/>
        <v>Cancelled</v>
      </c>
      <c r="S667" s="3" t="s">
        <v>25</v>
      </c>
    </row>
    <row r="668" spans="1:19" x14ac:dyDescent="0.35">
      <c r="A668" s="3">
        <v>1667</v>
      </c>
      <c r="B668" s="3" t="s">
        <v>537</v>
      </c>
      <c r="C668" s="4">
        <v>45455</v>
      </c>
      <c r="D668" s="3" t="s">
        <v>113</v>
      </c>
      <c r="E668" s="4">
        <v>45510</v>
      </c>
      <c r="F668" s="4">
        <v>45512</v>
      </c>
      <c r="G668" s="3" t="s">
        <v>28</v>
      </c>
      <c r="H668" s="3" t="s">
        <v>38</v>
      </c>
      <c r="I668" s="3" t="s">
        <v>22</v>
      </c>
      <c r="J668" s="3" t="s">
        <v>23</v>
      </c>
      <c r="K668" s="3">
        <v>55</v>
      </c>
      <c r="L668" s="3">
        <v>2</v>
      </c>
      <c r="M668" s="3">
        <v>3297</v>
      </c>
      <c r="N668" s="3">
        <v>6594</v>
      </c>
      <c r="O668" s="3">
        <v>0</v>
      </c>
      <c r="P668" s="3" t="s">
        <v>51</v>
      </c>
      <c r="Q668" s="3">
        <v>1</v>
      </c>
      <c r="R668" s="3" t="str">
        <f t="shared" si="10"/>
        <v>Cancelled</v>
      </c>
      <c r="S668" s="3" t="s">
        <v>31</v>
      </c>
    </row>
    <row r="669" spans="1:19" x14ac:dyDescent="0.35">
      <c r="A669" s="3">
        <v>1668</v>
      </c>
      <c r="B669" s="3" t="s">
        <v>386</v>
      </c>
      <c r="C669" s="4">
        <v>45431</v>
      </c>
      <c r="D669" s="3" t="s">
        <v>37</v>
      </c>
      <c r="E669" s="4">
        <v>45441</v>
      </c>
      <c r="F669" s="4">
        <v>45445</v>
      </c>
      <c r="G669" s="3" t="s">
        <v>42</v>
      </c>
      <c r="H669" s="3" t="s">
        <v>29</v>
      </c>
      <c r="I669" s="3" t="s">
        <v>22</v>
      </c>
      <c r="J669" s="3" t="s">
        <v>23</v>
      </c>
      <c r="K669" s="3">
        <v>10</v>
      </c>
      <c r="L669" s="3">
        <v>4</v>
      </c>
      <c r="M669" s="3">
        <v>5715</v>
      </c>
      <c r="N669" s="3">
        <v>22860</v>
      </c>
      <c r="O669" s="3">
        <v>22860</v>
      </c>
      <c r="P669" s="3" t="s">
        <v>51</v>
      </c>
      <c r="Q669" s="3">
        <v>0</v>
      </c>
      <c r="R669" s="3" t="str">
        <f t="shared" si="10"/>
        <v>Not Cancelled</v>
      </c>
      <c r="S669" s="3" t="s">
        <v>25</v>
      </c>
    </row>
    <row r="670" spans="1:19" x14ac:dyDescent="0.35">
      <c r="A670" s="3">
        <v>1669</v>
      </c>
      <c r="B670" s="3" t="s">
        <v>469</v>
      </c>
      <c r="C670" s="4">
        <v>45638</v>
      </c>
      <c r="D670" s="3" t="s">
        <v>27</v>
      </c>
      <c r="E670" s="4">
        <v>45656</v>
      </c>
      <c r="F670" s="4">
        <v>45657</v>
      </c>
      <c r="G670" s="3" t="s">
        <v>34</v>
      </c>
      <c r="H670" s="3" t="s">
        <v>35</v>
      </c>
      <c r="I670" s="3" t="s">
        <v>39</v>
      </c>
      <c r="J670" s="3" t="s">
        <v>46</v>
      </c>
      <c r="K670" s="3">
        <v>18</v>
      </c>
      <c r="L670" s="3">
        <v>1</v>
      </c>
      <c r="M670" s="3">
        <v>6288</v>
      </c>
      <c r="N670" s="3">
        <v>6288</v>
      </c>
      <c r="O670" s="3">
        <v>6288</v>
      </c>
      <c r="P670" s="3" t="s">
        <v>51</v>
      </c>
      <c r="Q670" s="3">
        <v>0</v>
      </c>
      <c r="R670" s="3" t="str">
        <f t="shared" si="10"/>
        <v>Not Cancelled</v>
      </c>
      <c r="S670" s="3" t="s">
        <v>31</v>
      </c>
    </row>
    <row r="671" spans="1:19" x14ac:dyDescent="0.35">
      <c r="A671" s="3">
        <v>1670</v>
      </c>
      <c r="B671" s="3" t="s">
        <v>622</v>
      </c>
      <c r="C671" s="4">
        <v>45549</v>
      </c>
      <c r="D671" s="3" t="s">
        <v>115</v>
      </c>
      <c r="E671" s="4">
        <v>45587</v>
      </c>
      <c r="F671" s="4">
        <v>45588</v>
      </c>
      <c r="G671" s="3" t="s">
        <v>34</v>
      </c>
      <c r="H671" s="3" t="s">
        <v>35</v>
      </c>
      <c r="I671" s="3" t="s">
        <v>39</v>
      </c>
      <c r="J671" s="3" t="s">
        <v>23</v>
      </c>
      <c r="K671" s="3">
        <v>38</v>
      </c>
      <c r="L671" s="3">
        <v>1</v>
      </c>
      <c r="M671" s="3">
        <v>5476</v>
      </c>
      <c r="N671" s="3">
        <v>5476</v>
      </c>
      <c r="O671" s="3">
        <v>0</v>
      </c>
      <c r="P671" s="3" t="s">
        <v>51</v>
      </c>
      <c r="Q671" s="3">
        <v>1</v>
      </c>
      <c r="R671" s="3" t="str">
        <f t="shared" si="10"/>
        <v>Cancelled</v>
      </c>
      <c r="S671" s="3" t="s">
        <v>25</v>
      </c>
    </row>
    <row r="672" spans="1:19" x14ac:dyDescent="0.35">
      <c r="A672" s="3">
        <v>1671</v>
      </c>
      <c r="B672" s="3" t="s">
        <v>166</v>
      </c>
      <c r="C672" s="4">
        <v>45560</v>
      </c>
      <c r="D672" s="3" t="s">
        <v>109</v>
      </c>
      <c r="E672" s="4">
        <v>45579</v>
      </c>
      <c r="F672" s="4">
        <v>45583</v>
      </c>
      <c r="G672" s="3" t="s">
        <v>42</v>
      </c>
      <c r="H672" s="3" t="s">
        <v>38</v>
      </c>
      <c r="I672" s="3" t="s">
        <v>39</v>
      </c>
      <c r="J672" s="3" t="s">
        <v>23</v>
      </c>
      <c r="K672" s="3">
        <v>19</v>
      </c>
      <c r="L672" s="3">
        <v>4</v>
      </c>
      <c r="M672" s="3">
        <v>6237</v>
      </c>
      <c r="N672" s="3">
        <v>24948</v>
      </c>
      <c r="O672" s="3">
        <v>0</v>
      </c>
      <c r="P672" s="3" t="s">
        <v>24</v>
      </c>
      <c r="Q672" s="3">
        <v>1</v>
      </c>
      <c r="R672" s="3" t="str">
        <f t="shared" si="10"/>
        <v>Cancelled</v>
      </c>
      <c r="S672" s="3" t="s">
        <v>25</v>
      </c>
    </row>
    <row r="673" spans="1:19" x14ac:dyDescent="0.35">
      <c r="A673" s="3">
        <v>1672</v>
      </c>
      <c r="B673" s="3" t="s">
        <v>623</v>
      </c>
      <c r="C673" s="4">
        <v>45472</v>
      </c>
      <c r="D673" s="3" t="s">
        <v>146</v>
      </c>
      <c r="E673" s="4">
        <v>45508</v>
      </c>
      <c r="F673" s="4">
        <v>45510</v>
      </c>
      <c r="G673" s="3" t="s">
        <v>28</v>
      </c>
      <c r="H673" s="3" t="s">
        <v>29</v>
      </c>
      <c r="I673" s="3" t="s">
        <v>39</v>
      </c>
      <c r="J673" s="3" t="s">
        <v>46</v>
      </c>
      <c r="K673" s="3">
        <v>36</v>
      </c>
      <c r="L673" s="3">
        <v>2</v>
      </c>
      <c r="M673" s="3">
        <v>4211</v>
      </c>
      <c r="N673" s="3">
        <v>8422</v>
      </c>
      <c r="O673" s="3">
        <v>0</v>
      </c>
      <c r="P673" s="3" t="s">
        <v>51</v>
      </c>
      <c r="Q673" s="3">
        <v>1</v>
      </c>
      <c r="R673" s="3" t="str">
        <f t="shared" si="10"/>
        <v>Cancelled</v>
      </c>
      <c r="S673" s="3" t="s">
        <v>25</v>
      </c>
    </row>
    <row r="674" spans="1:19" x14ac:dyDescent="0.35">
      <c r="A674" s="3">
        <v>1673</v>
      </c>
      <c r="B674" s="3" t="s">
        <v>624</v>
      </c>
      <c r="C674" s="4">
        <v>45451</v>
      </c>
      <c r="D674" s="3" t="s">
        <v>96</v>
      </c>
      <c r="E674" s="4">
        <v>45510</v>
      </c>
      <c r="F674" s="4">
        <v>45511</v>
      </c>
      <c r="G674" s="3" t="s">
        <v>34</v>
      </c>
      <c r="H674" s="3" t="s">
        <v>38</v>
      </c>
      <c r="I674" s="3" t="s">
        <v>22</v>
      </c>
      <c r="J674" s="3" t="s">
        <v>46</v>
      </c>
      <c r="K674" s="3">
        <v>59</v>
      </c>
      <c r="L674" s="3">
        <v>1</v>
      </c>
      <c r="M674" s="3">
        <v>3252</v>
      </c>
      <c r="N674" s="3">
        <v>3252</v>
      </c>
      <c r="O674" s="3">
        <v>0</v>
      </c>
      <c r="P674" s="3" t="s">
        <v>24</v>
      </c>
      <c r="Q674" s="3">
        <v>1</v>
      </c>
      <c r="R674" s="3" t="str">
        <f t="shared" si="10"/>
        <v>Cancelled</v>
      </c>
      <c r="S674" s="3" t="s">
        <v>31</v>
      </c>
    </row>
    <row r="675" spans="1:19" x14ac:dyDescent="0.35">
      <c r="A675" s="3">
        <v>1674</v>
      </c>
      <c r="B675" s="3" t="s">
        <v>625</v>
      </c>
      <c r="C675" s="4">
        <v>45642</v>
      </c>
      <c r="D675" s="3" t="s">
        <v>44</v>
      </c>
      <c r="E675" s="4">
        <v>45655</v>
      </c>
      <c r="F675" s="4">
        <v>45659</v>
      </c>
      <c r="G675" s="3" t="s">
        <v>42</v>
      </c>
      <c r="H675" s="3" t="s">
        <v>21</v>
      </c>
      <c r="I675" s="3" t="s">
        <v>22</v>
      </c>
      <c r="J675" s="3" t="s">
        <v>46</v>
      </c>
      <c r="K675" s="3">
        <v>13</v>
      </c>
      <c r="L675" s="3">
        <v>4</v>
      </c>
      <c r="M675" s="3">
        <v>4969</v>
      </c>
      <c r="N675" s="3">
        <v>19876</v>
      </c>
      <c r="O675" s="3">
        <v>19876</v>
      </c>
      <c r="P675" s="3" t="s">
        <v>51</v>
      </c>
      <c r="Q675" s="3">
        <v>0</v>
      </c>
      <c r="R675" s="3" t="str">
        <f t="shared" si="10"/>
        <v>Not Cancelled</v>
      </c>
      <c r="S675" s="3" t="s">
        <v>25</v>
      </c>
    </row>
    <row r="676" spans="1:19" x14ac:dyDescent="0.35">
      <c r="A676" s="3">
        <v>1675</v>
      </c>
      <c r="B676" s="3" t="s">
        <v>626</v>
      </c>
      <c r="C676" s="4">
        <v>45579</v>
      </c>
      <c r="D676" s="3" t="s">
        <v>94</v>
      </c>
      <c r="E676" s="4">
        <v>45635</v>
      </c>
      <c r="F676" s="4">
        <v>45636</v>
      </c>
      <c r="G676" s="3" t="s">
        <v>34</v>
      </c>
      <c r="H676" s="3" t="s">
        <v>35</v>
      </c>
      <c r="I676" s="3" t="s">
        <v>39</v>
      </c>
      <c r="J676" s="3" t="s">
        <v>30</v>
      </c>
      <c r="K676" s="3">
        <v>56</v>
      </c>
      <c r="L676" s="3">
        <v>1</v>
      </c>
      <c r="M676" s="3">
        <v>6469</v>
      </c>
      <c r="N676" s="3">
        <v>6469</v>
      </c>
      <c r="O676" s="3">
        <v>0</v>
      </c>
      <c r="P676" s="3" t="s">
        <v>51</v>
      </c>
      <c r="Q676" s="3">
        <v>1</v>
      </c>
      <c r="R676" s="3" t="str">
        <f t="shared" si="10"/>
        <v>Cancelled</v>
      </c>
      <c r="S676" s="3" t="s">
        <v>31</v>
      </c>
    </row>
    <row r="677" spans="1:19" x14ac:dyDescent="0.35">
      <c r="A677" s="3">
        <v>1676</v>
      </c>
      <c r="B677" s="3" t="s">
        <v>627</v>
      </c>
      <c r="C677" s="4">
        <v>45579</v>
      </c>
      <c r="D677" s="3" t="s">
        <v>41</v>
      </c>
      <c r="E677" s="4">
        <v>45625</v>
      </c>
      <c r="F677" s="4">
        <v>45628</v>
      </c>
      <c r="G677" s="3" t="s">
        <v>20</v>
      </c>
      <c r="H677" s="3" t="s">
        <v>35</v>
      </c>
      <c r="I677" s="3" t="s">
        <v>39</v>
      </c>
      <c r="J677" s="3" t="s">
        <v>30</v>
      </c>
      <c r="K677" s="3">
        <v>46</v>
      </c>
      <c r="L677" s="3">
        <v>3</v>
      </c>
      <c r="M677" s="3">
        <v>3892</v>
      </c>
      <c r="N677" s="3">
        <v>11676</v>
      </c>
      <c r="O677" s="3">
        <v>0</v>
      </c>
      <c r="P677" s="3" t="s">
        <v>51</v>
      </c>
      <c r="Q677" s="3">
        <v>1</v>
      </c>
      <c r="R677" s="3" t="str">
        <f t="shared" si="10"/>
        <v>Cancelled</v>
      </c>
      <c r="S677" s="3" t="s">
        <v>31</v>
      </c>
    </row>
    <row r="678" spans="1:19" x14ac:dyDescent="0.35">
      <c r="A678" s="3">
        <v>1677</v>
      </c>
      <c r="B678" s="3" t="s">
        <v>628</v>
      </c>
      <c r="C678" s="4">
        <v>45517</v>
      </c>
      <c r="D678" s="3" t="s">
        <v>20</v>
      </c>
      <c r="E678" s="4">
        <v>45520</v>
      </c>
      <c r="F678" s="4">
        <v>45525</v>
      </c>
      <c r="G678" s="3" t="s">
        <v>45</v>
      </c>
      <c r="H678" s="3" t="s">
        <v>21</v>
      </c>
      <c r="I678" s="3" t="s">
        <v>22</v>
      </c>
      <c r="J678" s="3" t="s">
        <v>46</v>
      </c>
      <c r="K678" s="3">
        <v>3</v>
      </c>
      <c r="L678" s="3">
        <v>5</v>
      </c>
      <c r="M678" s="3">
        <v>5105</v>
      </c>
      <c r="N678" s="3">
        <v>25525</v>
      </c>
      <c r="O678" s="3">
        <v>25525</v>
      </c>
      <c r="P678" s="3" t="s">
        <v>24</v>
      </c>
      <c r="Q678" s="3">
        <v>0</v>
      </c>
      <c r="R678" s="3" t="str">
        <f t="shared" si="10"/>
        <v>Not Cancelled</v>
      </c>
      <c r="S678" s="3" t="s">
        <v>31</v>
      </c>
    </row>
    <row r="679" spans="1:19" x14ac:dyDescent="0.35">
      <c r="A679" s="3">
        <v>1678</v>
      </c>
      <c r="B679" s="3" t="s">
        <v>103</v>
      </c>
      <c r="C679" s="4">
        <v>45302</v>
      </c>
      <c r="D679" s="3" t="s">
        <v>37</v>
      </c>
      <c r="E679" s="4">
        <v>45312</v>
      </c>
      <c r="F679" s="4">
        <v>45315</v>
      </c>
      <c r="G679" s="3" t="s">
        <v>20</v>
      </c>
      <c r="H679" s="3" t="s">
        <v>29</v>
      </c>
      <c r="I679" s="3" t="s">
        <v>22</v>
      </c>
      <c r="J679" s="3" t="s">
        <v>30</v>
      </c>
      <c r="K679" s="3">
        <v>10</v>
      </c>
      <c r="L679" s="3">
        <v>3</v>
      </c>
      <c r="M679" s="3">
        <v>8693</v>
      </c>
      <c r="N679" s="3">
        <v>26079</v>
      </c>
      <c r="O679" s="3">
        <v>26079</v>
      </c>
      <c r="P679" s="3" t="s">
        <v>51</v>
      </c>
      <c r="Q679" s="3">
        <v>0</v>
      </c>
      <c r="R679" s="3" t="str">
        <f t="shared" si="10"/>
        <v>Not Cancelled</v>
      </c>
      <c r="S679" s="3" t="s">
        <v>25</v>
      </c>
    </row>
    <row r="680" spans="1:19" x14ac:dyDescent="0.35">
      <c r="A680" s="3">
        <v>1679</v>
      </c>
      <c r="B680" s="3" t="s">
        <v>629</v>
      </c>
      <c r="C680" s="4">
        <v>45301</v>
      </c>
      <c r="D680" s="3" t="s">
        <v>115</v>
      </c>
      <c r="E680" s="4">
        <v>45339</v>
      </c>
      <c r="F680" s="4">
        <v>45340</v>
      </c>
      <c r="G680" s="3" t="s">
        <v>34</v>
      </c>
      <c r="H680" s="3" t="s">
        <v>35</v>
      </c>
      <c r="I680" s="3" t="s">
        <v>22</v>
      </c>
      <c r="J680" s="3" t="s">
        <v>46</v>
      </c>
      <c r="K680" s="3">
        <v>38</v>
      </c>
      <c r="L680" s="3">
        <v>1</v>
      </c>
      <c r="M680" s="3">
        <v>3177</v>
      </c>
      <c r="N680" s="3">
        <v>3177</v>
      </c>
      <c r="O680" s="3">
        <v>0</v>
      </c>
      <c r="P680" s="3" t="s">
        <v>51</v>
      </c>
      <c r="Q680" s="3">
        <v>1</v>
      </c>
      <c r="R680" s="3" t="str">
        <f t="shared" si="10"/>
        <v>Cancelled</v>
      </c>
      <c r="S680" s="3" t="s">
        <v>25</v>
      </c>
    </row>
    <row r="681" spans="1:19" x14ac:dyDescent="0.35">
      <c r="A681" s="3">
        <v>1680</v>
      </c>
      <c r="B681" s="3" t="s">
        <v>630</v>
      </c>
      <c r="C681" s="4">
        <v>45562</v>
      </c>
      <c r="D681" s="3" t="s">
        <v>34</v>
      </c>
      <c r="E681" s="4">
        <v>45563</v>
      </c>
      <c r="F681" s="4">
        <v>45565</v>
      </c>
      <c r="G681" s="3" t="s">
        <v>28</v>
      </c>
      <c r="H681" s="3" t="s">
        <v>60</v>
      </c>
      <c r="I681" s="3" t="s">
        <v>39</v>
      </c>
      <c r="J681" s="3" t="s">
        <v>30</v>
      </c>
      <c r="K681" s="3">
        <v>1</v>
      </c>
      <c r="L681" s="3">
        <v>2</v>
      </c>
      <c r="M681" s="3">
        <v>2605</v>
      </c>
      <c r="N681" s="3">
        <v>5210</v>
      </c>
      <c r="O681" s="3">
        <v>5210</v>
      </c>
      <c r="P681" s="3" t="s">
        <v>24</v>
      </c>
      <c r="Q681" s="3">
        <v>0</v>
      </c>
      <c r="R681" s="3" t="str">
        <f t="shared" si="10"/>
        <v>Not Cancelled</v>
      </c>
      <c r="S681" s="3" t="s">
        <v>25</v>
      </c>
    </row>
    <row r="682" spans="1:19" x14ac:dyDescent="0.35">
      <c r="A682" s="3">
        <v>1681</v>
      </c>
      <c r="B682" s="3" t="s">
        <v>560</v>
      </c>
      <c r="C682" s="4">
        <v>45564</v>
      </c>
      <c r="D682" s="3" t="s">
        <v>113</v>
      </c>
      <c r="E682" s="4">
        <v>45619</v>
      </c>
      <c r="F682" s="4">
        <v>45624</v>
      </c>
      <c r="G682" s="3" t="s">
        <v>45</v>
      </c>
      <c r="H682" s="3" t="s">
        <v>60</v>
      </c>
      <c r="I682" s="3" t="s">
        <v>39</v>
      </c>
      <c r="J682" s="3" t="s">
        <v>23</v>
      </c>
      <c r="K682" s="3">
        <v>55</v>
      </c>
      <c r="L682" s="3">
        <v>5</v>
      </c>
      <c r="M682" s="3">
        <v>5787</v>
      </c>
      <c r="N682" s="3">
        <v>28935</v>
      </c>
      <c r="O682" s="3">
        <v>28935</v>
      </c>
      <c r="P682" s="3" t="s">
        <v>51</v>
      </c>
      <c r="Q682" s="3">
        <v>0</v>
      </c>
      <c r="R682" s="3" t="str">
        <f t="shared" si="10"/>
        <v>Not Cancelled</v>
      </c>
      <c r="S682" s="3" t="s">
        <v>31</v>
      </c>
    </row>
    <row r="683" spans="1:19" x14ac:dyDescent="0.35">
      <c r="A683" s="3">
        <v>1682</v>
      </c>
      <c r="B683" s="3" t="s">
        <v>631</v>
      </c>
      <c r="C683" s="4">
        <v>45474</v>
      </c>
      <c r="D683" s="3" t="s">
        <v>94</v>
      </c>
      <c r="E683" s="4">
        <v>45530</v>
      </c>
      <c r="F683" s="4">
        <v>45533</v>
      </c>
      <c r="G683" s="3" t="s">
        <v>20</v>
      </c>
      <c r="H683" s="3" t="s">
        <v>29</v>
      </c>
      <c r="I683" s="3" t="s">
        <v>22</v>
      </c>
      <c r="J683" s="3" t="s">
        <v>30</v>
      </c>
      <c r="K683" s="3">
        <v>56</v>
      </c>
      <c r="L683" s="3">
        <v>3</v>
      </c>
      <c r="M683" s="3">
        <v>7253</v>
      </c>
      <c r="N683" s="3">
        <v>21759</v>
      </c>
      <c r="O683" s="3">
        <v>0</v>
      </c>
      <c r="P683" s="3" t="s">
        <v>24</v>
      </c>
      <c r="Q683" s="3">
        <v>1</v>
      </c>
      <c r="R683" s="3" t="str">
        <f t="shared" si="10"/>
        <v>Cancelled</v>
      </c>
      <c r="S683" s="3" t="s">
        <v>31</v>
      </c>
    </row>
    <row r="684" spans="1:19" x14ac:dyDescent="0.35">
      <c r="A684" s="3">
        <v>1683</v>
      </c>
      <c r="B684" s="3" t="s">
        <v>632</v>
      </c>
      <c r="C684" s="4">
        <v>45444</v>
      </c>
      <c r="D684" s="3" t="s">
        <v>185</v>
      </c>
      <c r="E684" s="4">
        <v>45471</v>
      </c>
      <c r="F684" s="4">
        <v>45475</v>
      </c>
      <c r="G684" s="3" t="s">
        <v>42</v>
      </c>
      <c r="H684" s="3" t="s">
        <v>21</v>
      </c>
      <c r="I684" s="3" t="s">
        <v>22</v>
      </c>
      <c r="J684" s="3" t="s">
        <v>30</v>
      </c>
      <c r="K684" s="3">
        <v>27</v>
      </c>
      <c r="L684" s="3">
        <v>4</v>
      </c>
      <c r="M684" s="3">
        <v>4446</v>
      </c>
      <c r="N684" s="3">
        <v>17784</v>
      </c>
      <c r="O684" s="3">
        <v>17784</v>
      </c>
      <c r="P684" s="3" t="s">
        <v>51</v>
      </c>
      <c r="Q684" s="3">
        <v>0</v>
      </c>
      <c r="R684" s="3" t="str">
        <f t="shared" si="10"/>
        <v>Not Cancelled</v>
      </c>
      <c r="S684" s="3" t="s">
        <v>25</v>
      </c>
    </row>
    <row r="685" spans="1:19" x14ac:dyDescent="0.35">
      <c r="A685" s="3">
        <v>1684</v>
      </c>
      <c r="B685" s="3" t="s">
        <v>322</v>
      </c>
      <c r="C685" s="4">
        <v>45606</v>
      </c>
      <c r="D685" s="3" t="s">
        <v>41</v>
      </c>
      <c r="E685" s="4">
        <v>45652</v>
      </c>
      <c r="F685" s="4">
        <v>45654</v>
      </c>
      <c r="G685" s="3" t="s">
        <v>28</v>
      </c>
      <c r="H685" s="3" t="s">
        <v>38</v>
      </c>
      <c r="I685" s="3" t="s">
        <v>39</v>
      </c>
      <c r="J685" s="3" t="s">
        <v>23</v>
      </c>
      <c r="K685" s="3">
        <v>46</v>
      </c>
      <c r="L685" s="3">
        <v>2</v>
      </c>
      <c r="M685" s="3">
        <v>8044</v>
      </c>
      <c r="N685" s="3">
        <v>16088</v>
      </c>
      <c r="O685" s="3">
        <v>0</v>
      </c>
      <c r="P685" s="3" t="s">
        <v>51</v>
      </c>
      <c r="Q685" s="3">
        <v>1</v>
      </c>
      <c r="R685" s="3" t="str">
        <f t="shared" si="10"/>
        <v>Cancelled</v>
      </c>
      <c r="S685" s="3" t="s">
        <v>31</v>
      </c>
    </row>
    <row r="686" spans="1:19" x14ac:dyDescent="0.35">
      <c r="A686" s="3">
        <v>1685</v>
      </c>
      <c r="B686" s="3" t="s">
        <v>633</v>
      </c>
      <c r="C686" s="4">
        <v>45625</v>
      </c>
      <c r="D686" s="3" t="s">
        <v>59</v>
      </c>
      <c r="E686" s="4">
        <v>45633</v>
      </c>
      <c r="F686" s="4">
        <v>45636</v>
      </c>
      <c r="G686" s="3" t="s">
        <v>20</v>
      </c>
      <c r="H686" s="3" t="s">
        <v>29</v>
      </c>
      <c r="I686" s="3" t="s">
        <v>39</v>
      </c>
      <c r="J686" s="3" t="s">
        <v>46</v>
      </c>
      <c r="K686" s="3">
        <v>8</v>
      </c>
      <c r="L686" s="3">
        <v>3</v>
      </c>
      <c r="M686" s="3">
        <v>3595</v>
      </c>
      <c r="N686" s="3">
        <v>10785</v>
      </c>
      <c r="O686" s="3">
        <v>10785</v>
      </c>
      <c r="P686" s="3" t="s">
        <v>51</v>
      </c>
      <c r="Q686" s="3">
        <v>0</v>
      </c>
      <c r="R686" s="3" t="str">
        <f t="shared" si="10"/>
        <v>Not Cancelled</v>
      </c>
      <c r="S686" s="3" t="s">
        <v>25</v>
      </c>
    </row>
    <row r="687" spans="1:19" x14ac:dyDescent="0.35">
      <c r="A687" s="3">
        <v>1686</v>
      </c>
      <c r="B687" s="3" t="s">
        <v>634</v>
      </c>
      <c r="C687" s="4">
        <v>45415</v>
      </c>
      <c r="D687" s="3" t="s">
        <v>124</v>
      </c>
      <c r="E687" s="4">
        <v>45466</v>
      </c>
      <c r="F687" s="4">
        <v>45470</v>
      </c>
      <c r="G687" s="3" t="s">
        <v>42</v>
      </c>
      <c r="H687" s="3" t="s">
        <v>38</v>
      </c>
      <c r="I687" s="3" t="s">
        <v>39</v>
      </c>
      <c r="J687" s="3" t="s">
        <v>30</v>
      </c>
      <c r="K687" s="3">
        <v>51</v>
      </c>
      <c r="L687" s="3">
        <v>4</v>
      </c>
      <c r="M687" s="3">
        <v>7583</v>
      </c>
      <c r="N687" s="3">
        <v>30332</v>
      </c>
      <c r="O687" s="3">
        <v>0</v>
      </c>
      <c r="P687" s="3" t="s">
        <v>24</v>
      </c>
      <c r="Q687" s="3">
        <v>1</v>
      </c>
      <c r="R687" s="3" t="str">
        <f t="shared" si="10"/>
        <v>Cancelled</v>
      </c>
      <c r="S687" s="3" t="s">
        <v>25</v>
      </c>
    </row>
    <row r="688" spans="1:19" x14ac:dyDescent="0.35">
      <c r="A688" s="3">
        <v>1687</v>
      </c>
      <c r="B688" s="3" t="s">
        <v>635</v>
      </c>
      <c r="C688" s="4">
        <v>45405</v>
      </c>
      <c r="D688" s="3" t="s">
        <v>41</v>
      </c>
      <c r="E688" s="4">
        <v>45451</v>
      </c>
      <c r="F688" s="4">
        <v>45452</v>
      </c>
      <c r="G688" s="3" t="s">
        <v>34</v>
      </c>
      <c r="H688" s="3" t="s">
        <v>29</v>
      </c>
      <c r="I688" s="3" t="s">
        <v>39</v>
      </c>
      <c r="J688" s="3" t="s">
        <v>30</v>
      </c>
      <c r="K688" s="3">
        <v>46</v>
      </c>
      <c r="L688" s="3">
        <v>1</v>
      </c>
      <c r="M688" s="3">
        <v>8404</v>
      </c>
      <c r="N688" s="3">
        <v>8404</v>
      </c>
      <c r="O688" s="3">
        <v>8404</v>
      </c>
      <c r="P688" s="3" t="s">
        <v>51</v>
      </c>
      <c r="Q688" s="3">
        <v>0</v>
      </c>
      <c r="R688" s="3" t="str">
        <f t="shared" si="10"/>
        <v>Not Cancelled</v>
      </c>
      <c r="S688" s="3" t="s">
        <v>25</v>
      </c>
    </row>
    <row r="689" spans="1:19" x14ac:dyDescent="0.35">
      <c r="A689" s="3">
        <v>1688</v>
      </c>
      <c r="B689" s="3" t="s">
        <v>636</v>
      </c>
      <c r="C689" s="4">
        <v>45569</v>
      </c>
      <c r="D689" s="3" t="s">
        <v>140</v>
      </c>
      <c r="E689" s="4">
        <v>45611</v>
      </c>
      <c r="F689" s="4">
        <v>45615</v>
      </c>
      <c r="G689" s="3" t="s">
        <v>42</v>
      </c>
      <c r="H689" s="3" t="s">
        <v>60</v>
      </c>
      <c r="I689" s="3" t="s">
        <v>22</v>
      </c>
      <c r="J689" s="3" t="s">
        <v>23</v>
      </c>
      <c r="K689" s="3">
        <v>42</v>
      </c>
      <c r="L689" s="3">
        <v>4</v>
      </c>
      <c r="M689" s="3">
        <v>4282</v>
      </c>
      <c r="N689" s="3">
        <v>17128</v>
      </c>
      <c r="O689" s="3">
        <v>17128</v>
      </c>
      <c r="P689" s="3" t="s">
        <v>51</v>
      </c>
      <c r="Q689" s="3">
        <v>0</v>
      </c>
      <c r="R689" s="3" t="str">
        <f t="shared" si="10"/>
        <v>Not Cancelled</v>
      </c>
      <c r="S689" s="3" t="s">
        <v>25</v>
      </c>
    </row>
    <row r="690" spans="1:19" x14ac:dyDescent="0.35">
      <c r="A690" s="3">
        <v>1689</v>
      </c>
      <c r="B690" s="3" t="s">
        <v>425</v>
      </c>
      <c r="C690" s="4">
        <v>45504</v>
      </c>
      <c r="D690" s="3" t="s">
        <v>71</v>
      </c>
      <c r="E690" s="4">
        <v>45521</v>
      </c>
      <c r="F690" s="4">
        <v>45524</v>
      </c>
      <c r="G690" s="3" t="s">
        <v>20</v>
      </c>
      <c r="H690" s="3" t="s">
        <v>21</v>
      </c>
      <c r="I690" s="3" t="s">
        <v>22</v>
      </c>
      <c r="J690" s="3" t="s">
        <v>23</v>
      </c>
      <c r="K690" s="3">
        <v>17</v>
      </c>
      <c r="L690" s="3">
        <v>3</v>
      </c>
      <c r="M690" s="3">
        <v>7041</v>
      </c>
      <c r="N690" s="3">
        <v>21123</v>
      </c>
      <c r="O690" s="3">
        <v>21123</v>
      </c>
      <c r="P690" s="3" t="s">
        <v>51</v>
      </c>
      <c r="Q690" s="3">
        <v>0</v>
      </c>
      <c r="R690" s="3" t="str">
        <f t="shared" si="10"/>
        <v>Not Cancelled</v>
      </c>
      <c r="S690" s="3" t="s">
        <v>31</v>
      </c>
    </row>
    <row r="691" spans="1:19" x14ac:dyDescent="0.35">
      <c r="A691" s="3">
        <v>1690</v>
      </c>
      <c r="B691" s="3" t="s">
        <v>637</v>
      </c>
      <c r="C691" s="4">
        <v>45463</v>
      </c>
      <c r="D691" s="3" t="s">
        <v>165</v>
      </c>
      <c r="E691" s="4">
        <v>45472</v>
      </c>
      <c r="F691" s="4">
        <v>45475</v>
      </c>
      <c r="G691" s="3" t="s">
        <v>20</v>
      </c>
      <c r="H691" s="3" t="s">
        <v>60</v>
      </c>
      <c r="I691" s="3" t="s">
        <v>22</v>
      </c>
      <c r="J691" s="3" t="s">
        <v>23</v>
      </c>
      <c r="K691" s="3">
        <v>9</v>
      </c>
      <c r="L691" s="3">
        <v>3</v>
      </c>
      <c r="M691" s="3">
        <v>8544</v>
      </c>
      <c r="N691" s="3">
        <v>25632</v>
      </c>
      <c r="O691" s="3">
        <v>25632</v>
      </c>
      <c r="P691" s="3" t="s">
        <v>24</v>
      </c>
      <c r="Q691" s="3">
        <v>0</v>
      </c>
      <c r="R691" s="3" t="str">
        <f t="shared" si="10"/>
        <v>Not Cancelled</v>
      </c>
      <c r="S691" s="3" t="s">
        <v>25</v>
      </c>
    </row>
    <row r="692" spans="1:19" x14ac:dyDescent="0.35">
      <c r="A692" s="3">
        <v>1691</v>
      </c>
      <c r="B692" s="3" t="s">
        <v>620</v>
      </c>
      <c r="C692" s="4">
        <v>45579</v>
      </c>
      <c r="D692" s="3" t="s">
        <v>55</v>
      </c>
      <c r="E692" s="4">
        <v>45585</v>
      </c>
      <c r="F692" s="4">
        <v>45586</v>
      </c>
      <c r="G692" s="3" t="s">
        <v>34</v>
      </c>
      <c r="H692" s="3" t="s">
        <v>21</v>
      </c>
      <c r="I692" s="3" t="s">
        <v>39</v>
      </c>
      <c r="J692" s="3" t="s">
        <v>23</v>
      </c>
      <c r="K692" s="3">
        <v>6</v>
      </c>
      <c r="L692" s="3">
        <v>1</v>
      </c>
      <c r="M692" s="3">
        <v>5757</v>
      </c>
      <c r="N692" s="3">
        <v>5757</v>
      </c>
      <c r="O692" s="3">
        <v>5757</v>
      </c>
      <c r="P692" s="3" t="s">
        <v>24</v>
      </c>
      <c r="Q692" s="3">
        <v>0</v>
      </c>
      <c r="R692" s="3" t="str">
        <f t="shared" si="10"/>
        <v>Not Cancelled</v>
      </c>
      <c r="S692" s="3" t="s">
        <v>25</v>
      </c>
    </row>
    <row r="693" spans="1:19" x14ac:dyDescent="0.35">
      <c r="A693" s="3">
        <v>1692</v>
      </c>
      <c r="B693" s="3" t="s">
        <v>638</v>
      </c>
      <c r="C693" s="4">
        <v>45465</v>
      </c>
      <c r="D693" s="3" t="s">
        <v>66</v>
      </c>
      <c r="E693" s="4">
        <v>45508</v>
      </c>
      <c r="F693" s="4">
        <v>45512</v>
      </c>
      <c r="G693" s="3" t="s">
        <v>42</v>
      </c>
      <c r="H693" s="3" t="s">
        <v>38</v>
      </c>
      <c r="I693" s="3" t="s">
        <v>39</v>
      </c>
      <c r="J693" s="3" t="s">
        <v>46</v>
      </c>
      <c r="K693" s="3">
        <v>43</v>
      </c>
      <c r="L693" s="3">
        <v>4</v>
      </c>
      <c r="M693" s="3">
        <v>8713</v>
      </c>
      <c r="N693" s="3">
        <v>34852</v>
      </c>
      <c r="O693" s="3">
        <v>0</v>
      </c>
      <c r="P693" s="3" t="s">
        <v>24</v>
      </c>
      <c r="Q693" s="3">
        <v>1</v>
      </c>
      <c r="R693" s="3" t="str">
        <f t="shared" si="10"/>
        <v>Cancelled</v>
      </c>
      <c r="S693" s="3" t="s">
        <v>25</v>
      </c>
    </row>
    <row r="694" spans="1:19" x14ac:dyDescent="0.35">
      <c r="A694" s="3">
        <v>1693</v>
      </c>
      <c r="B694" s="3" t="s">
        <v>639</v>
      </c>
      <c r="C694" s="4">
        <v>45404</v>
      </c>
      <c r="D694" s="3" t="s">
        <v>107</v>
      </c>
      <c r="E694" s="4">
        <v>45429</v>
      </c>
      <c r="F694" s="4">
        <v>45433</v>
      </c>
      <c r="G694" s="3" t="s">
        <v>42</v>
      </c>
      <c r="H694" s="3" t="s">
        <v>29</v>
      </c>
      <c r="I694" s="3" t="s">
        <v>39</v>
      </c>
      <c r="J694" s="3" t="s">
        <v>30</v>
      </c>
      <c r="K694" s="3">
        <v>25</v>
      </c>
      <c r="L694" s="3">
        <v>4</v>
      </c>
      <c r="M694" s="3">
        <v>4497</v>
      </c>
      <c r="N694" s="3">
        <v>17988</v>
      </c>
      <c r="O694" s="3">
        <v>17988</v>
      </c>
      <c r="P694" s="3" t="s">
        <v>24</v>
      </c>
      <c r="Q694" s="3">
        <v>0</v>
      </c>
      <c r="R694" s="3" t="str">
        <f t="shared" si="10"/>
        <v>Not Cancelled</v>
      </c>
      <c r="S694" s="3" t="s">
        <v>25</v>
      </c>
    </row>
    <row r="695" spans="1:19" x14ac:dyDescent="0.35">
      <c r="A695" s="3">
        <v>1694</v>
      </c>
      <c r="B695" s="3" t="s">
        <v>640</v>
      </c>
      <c r="C695" s="4">
        <v>45413</v>
      </c>
      <c r="D695" s="3" t="s">
        <v>153</v>
      </c>
      <c r="E695" s="4">
        <v>45452</v>
      </c>
      <c r="F695" s="4">
        <v>45453</v>
      </c>
      <c r="G695" s="3" t="s">
        <v>34</v>
      </c>
      <c r="H695" s="3" t="s">
        <v>35</v>
      </c>
      <c r="I695" s="3" t="s">
        <v>22</v>
      </c>
      <c r="J695" s="3" t="s">
        <v>30</v>
      </c>
      <c r="K695" s="3">
        <v>39</v>
      </c>
      <c r="L695" s="3">
        <v>1</v>
      </c>
      <c r="M695" s="3">
        <v>8793</v>
      </c>
      <c r="N695" s="3">
        <v>8793</v>
      </c>
      <c r="O695" s="3">
        <v>8793</v>
      </c>
      <c r="P695" s="3" t="s">
        <v>24</v>
      </c>
      <c r="Q695" s="3">
        <v>0</v>
      </c>
      <c r="R695" s="3" t="str">
        <f t="shared" si="10"/>
        <v>Not Cancelled</v>
      </c>
      <c r="S695" s="3" t="s">
        <v>25</v>
      </c>
    </row>
    <row r="696" spans="1:19" x14ac:dyDescent="0.35">
      <c r="A696" s="3">
        <v>1695</v>
      </c>
      <c r="B696" s="3" t="s">
        <v>641</v>
      </c>
      <c r="C696" s="4">
        <v>45323</v>
      </c>
      <c r="D696" s="3" t="s">
        <v>211</v>
      </c>
      <c r="E696" s="4">
        <v>45372</v>
      </c>
      <c r="F696" s="4">
        <v>45376</v>
      </c>
      <c r="G696" s="3" t="s">
        <v>42</v>
      </c>
      <c r="H696" s="3" t="s">
        <v>35</v>
      </c>
      <c r="I696" s="3" t="s">
        <v>22</v>
      </c>
      <c r="J696" s="3" t="s">
        <v>30</v>
      </c>
      <c r="K696" s="3">
        <v>49</v>
      </c>
      <c r="L696" s="3">
        <v>4</v>
      </c>
      <c r="M696" s="3">
        <v>7369</v>
      </c>
      <c r="N696" s="3">
        <v>29476</v>
      </c>
      <c r="O696" s="3">
        <v>0</v>
      </c>
      <c r="P696" s="3" t="s">
        <v>24</v>
      </c>
      <c r="Q696" s="3">
        <v>1</v>
      </c>
      <c r="R696" s="3" t="str">
        <f t="shared" si="10"/>
        <v>Cancelled</v>
      </c>
      <c r="S696" s="3" t="s">
        <v>25</v>
      </c>
    </row>
    <row r="697" spans="1:19" x14ac:dyDescent="0.35">
      <c r="A697" s="3">
        <v>1696</v>
      </c>
      <c r="B697" s="3" t="s">
        <v>642</v>
      </c>
      <c r="C697" s="4">
        <v>45513</v>
      </c>
      <c r="D697" s="3" t="s">
        <v>82</v>
      </c>
      <c r="E697" s="4">
        <v>45541</v>
      </c>
      <c r="F697" s="4">
        <v>45542</v>
      </c>
      <c r="G697" s="3" t="s">
        <v>34</v>
      </c>
      <c r="H697" s="3" t="s">
        <v>21</v>
      </c>
      <c r="I697" s="3" t="s">
        <v>22</v>
      </c>
      <c r="J697" s="3" t="s">
        <v>30</v>
      </c>
      <c r="K697" s="3">
        <v>28</v>
      </c>
      <c r="L697" s="3">
        <v>1</v>
      </c>
      <c r="M697" s="3">
        <v>4061</v>
      </c>
      <c r="N697" s="3">
        <v>4061</v>
      </c>
      <c r="O697" s="3">
        <v>4061</v>
      </c>
      <c r="P697" s="3" t="s">
        <v>51</v>
      </c>
      <c r="Q697" s="3">
        <v>0</v>
      </c>
      <c r="R697" s="3" t="str">
        <f t="shared" si="10"/>
        <v>Not Cancelled</v>
      </c>
      <c r="S697" s="3" t="s">
        <v>25</v>
      </c>
    </row>
    <row r="698" spans="1:19" x14ac:dyDescent="0.35">
      <c r="A698" s="3">
        <v>1697</v>
      </c>
      <c r="B698" s="3" t="s">
        <v>298</v>
      </c>
      <c r="C698" s="4">
        <v>45410</v>
      </c>
      <c r="D698" s="3" t="s">
        <v>69</v>
      </c>
      <c r="E698" s="4">
        <v>45443</v>
      </c>
      <c r="F698" s="4">
        <v>45445</v>
      </c>
      <c r="G698" s="3" t="s">
        <v>28</v>
      </c>
      <c r="H698" s="3" t="s">
        <v>21</v>
      </c>
      <c r="I698" s="3" t="s">
        <v>39</v>
      </c>
      <c r="J698" s="3" t="s">
        <v>46</v>
      </c>
      <c r="K698" s="3">
        <v>33</v>
      </c>
      <c r="L698" s="3">
        <v>2</v>
      </c>
      <c r="M698" s="3">
        <v>6506</v>
      </c>
      <c r="N698" s="3">
        <v>13012</v>
      </c>
      <c r="O698" s="3">
        <v>13012</v>
      </c>
      <c r="P698" s="3" t="s">
        <v>51</v>
      </c>
      <c r="Q698" s="3">
        <v>0</v>
      </c>
      <c r="R698" s="3" t="str">
        <f t="shared" si="10"/>
        <v>Not Cancelled</v>
      </c>
      <c r="S698" s="3" t="s">
        <v>31</v>
      </c>
    </row>
    <row r="699" spans="1:19" x14ac:dyDescent="0.35">
      <c r="A699" s="3">
        <v>1698</v>
      </c>
      <c r="B699" s="3" t="s">
        <v>178</v>
      </c>
      <c r="C699" s="4">
        <v>45330</v>
      </c>
      <c r="D699" s="3" t="s">
        <v>117</v>
      </c>
      <c r="E699" s="4">
        <v>45384</v>
      </c>
      <c r="F699" s="4">
        <v>45387</v>
      </c>
      <c r="G699" s="3" t="s">
        <v>20</v>
      </c>
      <c r="H699" s="3" t="s">
        <v>60</v>
      </c>
      <c r="I699" s="3" t="s">
        <v>39</v>
      </c>
      <c r="J699" s="3" t="s">
        <v>30</v>
      </c>
      <c r="K699" s="3">
        <v>54</v>
      </c>
      <c r="L699" s="3">
        <v>3</v>
      </c>
      <c r="M699" s="3">
        <v>4175</v>
      </c>
      <c r="N699" s="3">
        <v>12525</v>
      </c>
      <c r="O699" s="3">
        <v>0</v>
      </c>
      <c r="P699" s="3" t="s">
        <v>51</v>
      </c>
      <c r="Q699" s="3">
        <v>1</v>
      </c>
      <c r="R699" s="3" t="str">
        <f t="shared" si="10"/>
        <v>Cancelled</v>
      </c>
      <c r="S699" s="3" t="s">
        <v>31</v>
      </c>
    </row>
    <row r="700" spans="1:19" x14ac:dyDescent="0.35">
      <c r="A700" s="3">
        <v>1699</v>
      </c>
      <c r="B700" s="3" t="s">
        <v>643</v>
      </c>
      <c r="C700" s="4">
        <v>45559</v>
      </c>
      <c r="D700" s="3" t="s">
        <v>105</v>
      </c>
      <c r="E700" s="4">
        <v>45596</v>
      </c>
      <c r="F700" s="4">
        <v>45598</v>
      </c>
      <c r="G700" s="3" t="s">
        <v>28</v>
      </c>
      <c r="H700" s="3" t="s">
        <v>35</v>
      </c>
      <c r="I700" s="3" t="s">
        <v>22</v>
      </c>
      <c r="J700" s="3" t="s">
        <v>46</v>
      </c>
      <c r="K700" s="3">
        <v>37</v>
      </c>
      <c r="L700" s="3">
        <v>2</v>
      </c>
      <c r="M700" s="3">
        <v>3622</v>
      </c>
      <c r="N700" s="3">
        <v>7244</v>
      </c>
      <c r="O700" s="3">
        <v>0</v>
      </c>
      <c r="P700" s="3" t="s">
        <v>51</v>
      </c>
      <c r="Q700" s="3">
        <v>1</v>
      </c>
      <c r="R700" s="3" t="str">
        <f t="shared" si="10"/>
        <v>Cancelled</v>
      </c>
      <c r="S700" s="3" t="s">
        <v>31</v>
      </c>
    </row>
    <row r="701" spans="1:19" x14ac:dyDescent="0.35">
      <c r="A701" s="3">
        <v>1700</v>
      </c>
      <c r="B701" s="3" t="s">
        <v>350</v>
      </c>
      <c r="C701" s="4">
        <v>45524</v>
      </c>
      <c r="D701" s="3" t="s">
        <v>165</v>
      </c>
      <c r="E701" s="4">
        <v>45533</v>
      </c>
      <c r="F701" s="4">
        <v>45538</v>
      </c>
      <c r="G701" s="3" t="s">
        <v>45</v>
      </c>
      <c r="H701" s="3" t="s">
        <v>60</v>
      </c>
      <c r="I701" s="3" t="s">
        <v>39</v>
      </c>
      <c r="J701" s="3" t="s">
        <v>46</v>
      </c>
      <c r="K701" s="3">
        <v>9</v>
      </c>
      <c r="L701" s="3">
        <v>5</v>
      </c>
      <c r="M701" s="3">
        <v>6481</v>
      </c>
      <c r="N701" s="3">
        <v>32405</v>
      </c>
      <c r="O701" s="3">
        <v>0</v>
      </c>
      <c r="P701" s="3" t="s">
        <v>51</v>
      </c>
      <c r="Q701" s="3">
        <v>1</v>
      </c>
      <c r="R701" s="3" t="str">
        <f t="shared" si="10"/>
        <v>Cancelled</v>
      </c>
      <c r="S701" s="3" t="s">
        <v>31</v>
      </c>
    </row>
    <row r="702" spans="1:19" x14ac:dyDescent="0.35">
      <c r="A702" s="3">
        <v>1701</v>
      </c>
      <c r="B702" s="3" t="s">
        <v>644</v>
      </c>
      <c r="C702" s="4">
        <v>45309</v>
      </c>
      <c r="D702" s="3" t="s">
        <v>27</v>
      </c>
      <c r="E702" s="4">
        <v>45327</v>
      </c>
      <c r="F702" s="4">
        <v>45332</v>
      </c>
      <c r="G702" s="3" t="s">
        <v>45</v>
      </c>
      <c r="H702" s="3" t="s">
        <v>38</v>
      </c>
      <c r="I702" s="3" t="s">
        <v>22</v>
      </c>
      <c r="J702" s="3" t="s">
        <v>23</v>
      </c>
      <c r="K702" s="3">
        <v>18</v>
      </c>
      <c r="L702" s="3">
        <v>5</v>
      </c>
      <c r="M702" s="3">
        <v>3801</v>
      </c>
      <c r="N702" s="3">
        <v>19005</v>
      </c>
      <c r="O702" s="3">
        <v>0</v>
      </c>
      <c r="P702" s="3" t="s">
        <v>24</v>
      </c>
      <c r="Q702" s="3">
        <v>1</v>
      </c>
      <c r="R702" s="3" t="str">
        <f t="shared" si="10"/>
        <v>Cancelled</v>
      </c>
      <c r="S702" s="3" t="s">
        <v>25</v>
      </c>
    </row>
    <row r="703" spans="1:19" x14ac:dyDescent="0.35">
      <c r="A703" s="3">
        <v>1702</v>
      </c>
      <c r="B703" s="3" t="s">
        <v>645</v>
      </c>
      <c r="C703" s="4">
        <v>45440</v>
      </c>
      <c r="D703" s="3" t="s">
        <v>94</v>
      </c>
      <c r="E703" s="4">
        <v>45496</v>
      </c>
      <c r="F703" s="4">
        <v>45501</v>
      </c>
      <c r="G703" s="3" t="s">
        <v>45</v>
      </c>
      <c r="H703" s="3" t="s">
        <v>35</v>
      </c>
      <c r="I703" s="3" t="s">
        <v>22</v>
      </c>
      <c r="J703" s="3" t="s">
        <v>23</v>
      </c>
      <c r="K703" s="3">
        <v>56</v>
      </c>
      <c r="L703" s="3">
        <v>5</v>
      </c>
      <c r="M703" s="3">
        <v>8182</v>
      </c>
      <c r="N703" s="3">
        <v>40910</v>
      </c>
      <c r="O703" s="3">
        <v>0</v>
      </c>
      <c r="P703" s="3" t="s">
        <v>24</v>
      </c>
      <c r="Q703" s="3">
        <v>1</v>
      </c>
      <c r="R703" s="3" t="str">
        <f t="shared" si="10"/>
        <v>Cancelled</v>
      </c>
      <c r="S703" s="3" t="s">
        <v>31</v>
      </c>
    </row>
    <row r="704" spans="1:19" x14ac:dyDescent="0.35">
      <c r="A704" s="3">
        <v>1703</v>
      </c>
      <c r="B704" s="3" t="s">
        <v>458</v>
      </c>
      <c r="C704" s="4">
        <v>45440</v>
      </c>
      <c r="D704" s="3" t="s">
        <v>96</v>
      </c>
      <c r="E704" s="4">
        <v>45499</v>
      </c>
      <c r="F704" s="4">
        <v>45500</v>
      </c>
      <c r="G704" s="3" t="s">
        <v>34</v>
      </c>
      <c r="H704" s="3" t="s">
        <v>38</v>
      </c>
      <c r="I704" s="3" t="s">
        <v>22</v>
      </c>
      <c r="J704" s="3" t="s">
        <v>30</v>
      </c>
      <c r="K704" s="3">
        <v>59</v>
      </c>
      <c r="L704" s="3">
        <v>1</v>
      </c>
      <c r="M704" s="3">
        <v>8282</v>
      </c>
      <c r="N704" s="3">
        <v>8282</v>
      </c>
      <c r="O704" s="3">
        <v>0</v>
      </c>
      <c r="P704" s="3" t="s">
        <v>24</v>
      </c>
      <c r="Q704" s="3">
        <v>1</v>
      </c>
      <c r="R704" s="3" t="str">
        <f t="shared" si="10"/>
        <v>Cancelled</v>
      </c>
      <c r="S704" s="3" t="s">
        <v>31</v>
      </c>
    </row>
    <row r="705" spans="1:19" x14ac:dyDescent="0.35">
      <c r="A705" s="3">
        <v>1704</v>
      </c>
      <c r="B705" s="3" t="s">
        <v>278</v>
      </c>
      <c r="C705" s="4">
        <v>45417</v>
      </c>
      <c r="D705" s="3" t="s">
        <v>175</v>
      </c>
      <c r="E705" s="4">
        <v>45438</v>
      </c>
      <c r="F705" s="4">
        <v>45442</v>
      </c>
      <c r="G705" s="3" t="s">
        <v>42</v>
      </c>
      <c r="H705" s="3" t="s">
        <v>29</v>
      </c>
      <c r="I705" s="3" t="s">
        <v>22</v>
      </c>
      <c r="J705" s="3" t="s">
        <v>46</v>
      </c>
      <c r="K705" s="3">
        <v>21</v>
      </c>
      <c r="L705" s="3">
        <v>4</v>
      </c>
      <c r="M705" s="3">
        <v>3443</v>
      </c>
      <c r="N705" s="3">
        <v>13772</v>
      </c>
      <c r="O705" s="3">
        <v>0</v>
      </c>
      <c r="P705" s="3" t="s">
        <v>51</v>
      </c>
      <c r="Q705" s="3">
        <v>1</v>
      </c>
      <c r="R705" s="3" t="str">
        <f t="shared" si="10"/>
        <v>Cancelled</v>
      </c>
      <c r="S705" s="3" t="s">
        <v>31</v>
      </c>
    </row>
    <row r="706" spans="1:19" x14ac:dyDescent="0.35">
      <c r="A706" s="3">
        <v>1705</v>
      </c>
      <c r="B706" s="3" t="s">
        <v>646</v>
      </c>
      <c r="C706" s="4">
        <v>45593</v>
      </c>
      <c r="D706" s="3" t="s">
        <v>28</v>
      </c>
      <c r="E706" s="4">
        <v>45595</v>
      </c>
      <c r="F706" s="4">
        <v>45597</v>
      </c>
      <c r="G706" s="3" t="s">
        <v>28</v>
      </c>
      <c r="H706" s="3" t="s">
        <v>60</v>
      </c>
      <c r="I706" s="3" t="s">
        <v>39</v>
      </c>
      <c r="J706" s="3" t="s">
        <v>23</v>
      </c>
      <c r="K706" s="3">
        <v>2</v>
      </c>
      <c r="L706" s="3">
        <v>2</v>
      </c>
      <c r="M706" s="3">
        <v>7050</v>
      </c>
      <c r="N706" s="3">
        <v>14100</v>
      </c>
      <c r="O706" s="3">
        <v>14100</v>
      </c>
      <c r="P706" s="3" t="s">
        <v>24</v>
      </c>
      <c r="Q706" s="3">
        <v>0</v>
      </c>
      <c r="R706" s="3" t="str">
        <f t="shared" si="10"/>
        <v>Not Cancelled</v>
      </c>
      <c r="S706" s="3" t="s">
        <v>25</v>
      </c>
    </row>
    <row r="707" spans="1:19" x14ac:dyDescent="0.35">
      <c r="A707" s="3">
        <v>1706</v>
      </c>
      <c r="B707" s="3" t="s">
        <v>433</v>
      </c>
      <c r="C707" s="4">
        <v>45651</v>
      </c>
      <c r="D707" s="3" t="s">
        <v>237</v>
      </c>
      <c r="E707" s="4">
        <v>45709</v>
      </c>
      <c r="F707" s="4">
        <v>45711</v>
      </c>
      <c r="G707" s="3" t="s">
        <v>28</v>
      </c>
      <c r="H707" s="3" t="s">
        <v>21</v>
      </c>
      <c r="I707" s="3" t="s">
        <v>39</v>
      </c>
      <c r="J707" s="3" t="s">
        <v>46</v>
      </c>
      <c r="K707" s="3">
        <v>58</v>
      </c>
      <c r="L707" s="3">
        <v>2</v>
      </c>
      <c r="M707" s="3">
        <v>7723</v>
      </c>
      <c r="N707" s="3">
        <v>15446</v>
      </c>
      <c r="O707" s="3">
        <v>15446</v>
      </c>
      <c r="P707" s="3" t="s">
        <v>51</v>
      </c>
      <c r="Q707" s="3">
        <v>0</v>
      </c>
      <c r="R707" s="3" t="str">
        <f t="shared" ref="R707:R770" si="11">IF(Q707=0,"Not Cancelled","Cancelled")</f>
        <v>Not Cancelled</v>
      </c>
      <c r="S707" s="3" t="s">
        <v>31</v>
      </c>
    </row>
    <row r="708" spans="1:19" x14ac:dyDescent="0.35">
      <c r="A708" s="3">
        <v>1707</v>
      </c>
      <c r="B708" s="3" t="s">
        <v>327</v>
      </c>
      <c r="C708" s="4">
        <v>45529</v>
      </c>
      <c r="D708" s="3" t="s">
        <v>66</v>
      </c>
      <c r="E708" s="4">
        <v>45572</v>
      </c>
      <c r="F708" s="4">
        <v>45574</v>
      </c>
      <c r="G708" s="3" t="s">
        <v>28</v>
      </c>
      <c r="H708" s="3" t="s">
        <v>35</v>
      </c>
      <c r="I708" s="3" t="s">
        <v>39</v>
      </c>
      <c r="J708" s="3" t="s">
        <v>23</v>
      </c>
      <c r="K708" s="3">
        <v>43</v>
      </c>
      <c r="L708" s="3">
        <v>2</v>
      </c>
      <c r="M708" s="3">
        <v>3445</v>
      </c>
      <c r="N708" s="3">
        <v>6890</v>
      </c>
      <c r="O708" s="3">
        <v>0</v>
      </c>
      <c r="P708" s="3" t="s">
        <v>24</v>
      </c>
      <c r="Q708" s="3">
        <v>1</v>
      </c>
      <c r="R708" s="3" t="str">
        <f t="shared" si="11"/>
        <v>Cancelled</v>
      </c>
      <c r="S708" s="3" t="s">
        <v>31</v>
      </c>
    </row>
    <row r="709" spans="1:19" x14ac:dyDescent="0.35">
      <c r="A709" s="3">
        <v>1708</v>
      </c>
      <c r="B709" s="3" t="s">
        <v>61</v>
      </c>
      <c r="C709" s="4">
        <v>45426</v>
      </c>
      <c r="D709" s="3" t="s">
        <v>96</v>
      </c>
      <c r="E709" s="4">
        <v>45485</v>
      </c>
      <c r="F709" s="4">
        <v>45487</v>
      </c>
      <c r="G709" s="3" t="s">
        <v>28</v>
      </c>
      <c r="H709" s="3" t="s">
        <v>60</v>
      </c>
      <c r="I709" s="3" t="s">
        <v>39</v>
      </c>
      <c r="J709" s="3" t="s">
        <v>46</v>
      </c>
      <c r="K709" s="3">
        <v>59</v>
      </c>
      <c r="L709" s="3">
        <v>2</v>
      </c>
      <c r="M709" s="3">
        <v>3100</v>
      </c>
      <c r="N709" s="3">
        <v>6200</v>
      </c>
      <c r="O709" s="3">
        <v>0</v>
      </c>
      <c r="P709" s="3" t="s">
        <v>51</v>
      </c>
      <c r="Q709" s="3">
        <v>1</v>
      </c>
      <c r="R709" s="3" t="str">
        <f t="shared" si="11"/>
        <v>Cancelled</v>
      </c>
      <c r="S709" s="3" t="s">
        <v>25</v>
      </c>
    </row>
    <row r="710" spans="1:19" x14ac:dyDescent="0.35">
      <c r="A710" s="3">
        <v>1709</v>
      </c>
      <c r="B710" s="3" t="s">
        <v>267</v>
      </c>
      <c r="C710" s="4">
        <v>45442</v>
      </c>
      <c r="D710" s="3" t="s">
        <v>115</v>
      </c>
      <c r="E710" s="4">
        <v>45480</v>
      </c>
      <c r="F710" s="4">
        <v>45485</v>
      </c>
      <c r="G710" s="3" t="s">
        <v>45</v>
      </c>
      <c r="H710" s="3" t="s">
        <v>21</v>
      </c>
      <c r="I710" s="3" t="s">
        <v>39</v>
      </c>
      <c r="J710" s="3" t="s">
        <v>30</v>
      </c>
      <c r="K710" s="3">
        <v>38</v>
      </c>
      <c r="L710" s="3">
        <v>5</v>
      </c>
      <c r="M710" s="3">
        <v>5200</v>
      </c>
      <c r="N710" s="3">
        <v>26000</v>
      </c>
      <c r="O710" s="3">
        <v>0</v>
      </c>
      <c r="P710" s="3" t="s">
        <v>24</v>
      </c>
      <c r="Q710" s="3">
        <v>1</v>
      </c>
      <c r="R710" s="3" t="str">
        <f t="shared" si="11"/>
        <v>Cancelled</v>
      </c>
      <c r="S710" s="3" t="s">
        <v>31</v>
      </c>
    </row>
    <row r="711" spans="1:19" x14ac:dyDescent="0.35">
      <c r="A711" s="3">
        <v>1710</v>
      </c>
      <c r="B711" s="3" t="s">
        <v>462</v>
      </c>
      <c r="C711" s="4">
        <v>45527</v>
      </c>
      <c r="D711" s="3" t="s">
        <v>237</v>
      </c>
      <c r="E711" s="4">
        <v>45585</v>
      </c>
      <c r="F711" s="4">
        <v>45587</v>
      </c>
      <c r="G711" s="3" t="s">
        <v>28</v>
      </c>
      <c r="H711" s="3" t="s">
        <v>29</v>
      </c>
      <c r="I711" s="3" t="s">
        <v>39</v>
      </c>
      <c r="J711" s="3" t="s">
        <v>30</v>
      </c>
      <c r="K711" s="3">
        <v>58</v>
      </c>
      <c r="L711" s="3">
        <v>2</v>
      </c>
      <c r="M711" s="3">
        <v>7320</v>
      </c>
      <c r="N711" s="3">
        <v>14640</v>
      </c>
      <c r="O711" s="3">
        <v>0</v>
      </c>
      <c r="P711" s="3" t="s">
        <v>51</v>
      </c>
      <c r="Q711" s="3">
        <v>1</v>
      </c>
      <c r="R711" s="3" t="str">
        <f t="shared" si="11"/>
        <v>Cancelled</v>
      </c>
      <c r="S711" s="3" t="s">
        <v>25</v>
      </c>
    </row>
    <row r="712" spans="1:19" x14ac:dyDescent="0.35">
      <c r="A712" s="3">
        <v>1711</v>
      </c>
      <c r="B712" s="3" t="s">
        <v>432</v>
      </c>
      <c r="C712" s="4">
        <v>45515</v>
      </c>
      <c r="D712" s="3" t="s">
        <v>179</v>
      </c>
      <c r="E712" s="4">
        <v>45555</v>
      </c>
      <c r="F712" s="4">
        <v>45559</v>
      </c>
      <c r="G712" s="3" t="s">
        <v>42</v>
      </c>
      <c r="H712" s="3" t="s">
        <v>35</v>
      </c>
      <c r="I712" s="3" t="s">
        <v>22</v>
      </c>
      <c r="J712" s="3" t="s">
        <v>46</v>
      </c>
      <c r="K712" s="3">
        <v>40</v>
      </c>
      <c r="L712" s="3">
        <v>4</v>
      </c>
      <c r="M712" s="3">
        <v>8876</v>
      </c>
      <c r="N712" s="3">
        <v>35504</v>
      </c>
      <c r="O712" s="3">
        <v>35504</v>
      </c>
      <c r="P712" s="3" t="s">
        <v>24</v>
      </c>
      <c r="Q712" s="3">
        <v>0</v>
      </c>
      <c r="R712" s="3" t="str">
        <f t="shared" si="11"/>
        <v>Not Cancelled</v>
      </c>
      <c r="S712" s="3" t="s">
        <v>31</v>
      </c>
    </row>
    <row r="713" spans="1:19" x14ac:dyDescent="0.35">
      <c r="A713" s="3">
        <v>1712</v>
      </c>
      <c r="B713" s="3" t="s">
        <v>647</v>
      </c>
      <c r="C713" s="4">
        <v>45494</v>
      </c>
      <c r="D713" s="3" t="s">
        <v>146</v>
      </c>
      <c r="E713" s="4">
        <v>45530</v>
      </c>
      <c r="F713" s="4">
        <v>45535</v>
      </c>
      <c r="G713" s="3" t="s">
        <v>45</v>
      </c>
      <c r="H713" s="3" t="s">
        <v>38</v>
      </c>
      <c r="I713" s="3" t="s">
        <v>39</v>
      </c>
      <c r="J713" s="3" t="s">
        <v>23</v>
      </c>
      <c r="K713" s="3">
        <v>36</v>
      </c>
      <c r="L713" s="3">
        <v>5</v>
      </c>
      <c r="M713" s="3">
        <v>3917</v>
      </c>
      <c r="N713" s="3">
        <v>19585</v>
      </c>
      <c r="O713" s="3">
        <v>0</v>
      </c>
      <c r="P713" s="3" t="s">
        <v>51</v>
      </c>
      <c r="Q713" s="3">
        <v>1</v>
      </c>
      <c r="R713" s="3" t="str">
        <f t="shared" si="11"/>
        <v>Cancelled</v>
      </c>
      <c r="S713" s="3" t="s">
        <v>25</v>
      </c>
    </row>
    <row r="714" spans="1:19" x14ac:dyDescent="0.35">
      <c r="A714" s="3">
        <v>1713</v>
      </c>
      <c r="B714" s="3" t="s">
        <v>648</v>
      </c>
      <c r="C714" s="4">
        <v>45547</v>
      </c>
      <c r="D714" s="3" t="s">
        <v>78</v>
      </c>
      <c r="E714" s="4">
        <v>45597</v>
      </c>
      <c r="F714" s="4">
        <v>45599</v>
      </c>
      <c r="G714" s="3" t="s">
        <v>28</v>
      </c>
      <c r="H714" s="3" t="s">
        <v>29</v>
      </c>
      <c r="I714" s="3" t="s">
        <v>39</v>
      </c>
      <c r="J714" s="3" t="s">
        <v>23</v>
      </c>
      <c r="K714" s="3">
        <v>50</v>
      </c>
      <c r="L714" s="3">
        <v>2</v>
      </c>
      <c r="M714" s="3">
        <v>4024</v>
      </c>
      <c r="N714" s="3">
        <v>8048</v>
      </c>
      <c r="O714" s="3">
        <v>8048</v>
      </c>
      <c r="P714" s="3" t="s">
        <v>24</v>
      </c>
      <c r="Q714" s="3">
        <v>0</v>
      </c>
      <c r="R714" s="3" t="str">
        <f t="shared" si="11"/>
        <v>Not Cancelled</v>
      </c>
      <c r="S714" s="3" t="s">
        <v>31</v>
      </c>
    </row>
    <row r="715" spans="1:19" x14ac:dyDescent="0.35">
      <c r="A715" s="3">
        <v>1714</v>
      </c>
      <c r="B715" s="3" t="s">
        <v>649</v>
      </c>
      <c r="C715" s="4">
        <v>45377</v>
      </c>
      <c r="D715" s="3" t="s">
        <v>66</v>
      </c>
      <c r="E715" s="4">
        <v>45420</v>
      </c>
      <c r="F715" s="4">
        <v>45421</v>
      </c>
      <c r="G715" s="3" t="s">
        <v>34</v>
      </c>
      <c r="H715" s="3" t="s">
        <v>21</v>
      </c>
      <c r="I715" s="3" t="s">
        <v>39</v>
      </c>
      <c r="J715" s="3" t="s">
        <v>30</v>
      </c>
      <c r="K715" s="3">
        <v>43</v>
      </c>
      <c r="L715" s="3">
        <v>1</v>
      </c>
      <c r="M715" s="3">
        <v>6266</v>
      </c>
      <c r="N715" s="3">
        <v>6266</v>
      </c>
      <c r="O715" s="3">
        <v>0</v>
      </c>
      <c r="P715" s="3" t="s">
        <v>51</v>
      </c>
      <c r="Q715" s="3">
        <v>1</v>
      </c>
      <c r="R715" s="3" t="str">
        <f t="shared" si="11"/>
        <v>Cancelled</v>
      </c>
      <c r="S715" s="3" t="s">
        <v>31</v>
      </c>
    </row>
    <row r="716" spans="1:19" x14ac:dyDescent="0.35">
      <c r="A716" s="3">
        <v>1715</v>
      </c>
      <c r="B716" s="3" t="s">
        <v>650</v>
      </c>
      <c r="C716" s="4">
        <v>45441</v>
      </c>
      <c r="D716" s="3" t="s">
        <v>105</v>
      </c>
      <c r="E716" s="4">
        <v>45478</v>
      </c>
      <c r="F716" s="4">
        <v>45481</v>
      </c>
      <c r="G716" s="3" t="s">
        <v>20</v>
      </c>
      <c r="H716" s="3" t="s">
        <v>35</v>
      </c>
      <c r="I716" s="3" t="s">
        <v>22</v>
      </c>
      <c r="J716" s="3" t="s">
        <v>30</v>
      </c>
      <c r="K716" s="3">
        <v>37</v>
      </c>
      <c r="L716" s="3">
        <v>3</v>
      </c>
      <c r="M716" s="3">
        <v>2750</v>
      </c>
      <c r="N716" s="3">
        <v>8250</v>
      </c>
      <c r="O716" s="3">
        <v>8250</v>
      </c>
      <c r="P716" s="3" t="s">
        <v>51</v>
      </c>
      <c r="Q716" s="3">
        <v>0</v>
      </c>
      <c r="R716" s="3" t="str">
        <f t="shared" si="11"/>
        <v>Not Cancelled</v>
      </c>
      <c r="S716" s="3" t="s">
        <v>31</v>
      </c>
    </row>
    <row r="717" spans="1:19" x14ac:dyDescent="0.35">
      <c r="A717" s="3">
        <v>1716</v>
      </c>
      <c r="B717" s="3" t="s">
        <v>651</v>
      </c>
      <c r="C717" s="4">
        <v>45526</v>
      </c>
      <c r="D717" s="3" t="s">
        <v>277</v>
      </c>
      <c r="E717" s="4">
        <v>45541</v>
      </c>
      <c r="F717" s="4">
        <v>45544</v>
      </c>
      <c r="G717" s="3" t="s">
        <v>20</v>
      </c>
      <c r="H717" s="3" t="s">
        <v>35</v>
      </c>
      <c r="I717" s="3" t="s">
        <v>39</v>
      </c>
      <c r="J717" s="3" t="s">
        <v>30</v>
      </c>
      <c r="K717" s="3">
        <v>15</v>
      </c>
      <c r="L717" s="3">
        <v>3</v>
      </c>
      <c r="M717" s="3">
        <v>4044</v>
      </c>
      <c r="N717" s="3">
        <v>12132</v>
      </c>
      <c r="O717" s="3">
        <v>0</v>
      </c>
      <c r="P717" s="3" t="s">
        <v>51</v>
      </c>
      <c r="Q717" s="3">
        <v>1</v>
      </c>
      <c r="R717" s="3" t="str">
        <f t="shared" si="11"/>
        <v>Cancelled</v>
      </c>
      <c r="S717" s="3" t="s">
        <v>25</v>
      </c>
    </row>
    <row r="718" spans="1:19" x14ac:dyDescent="0.35">
      <c r="A718" s="3">
        <v>1717</v>
      </c>
      <c r="B718" s="3" t="s">
        <v>652</v>
      </c>
      <c r="C718" s="4">
        <v>45636</v>
      </c>
      <c r="D718" s="3" t="s">
        <v>82</v>
      </c>
      <c r="E718" s="4">
        <v>45664</v>
      </c>
      <c r="F718" s="4">
        <v>45667</v>
      </c>
      <c r="G718" s="3" t="s">
        <v>20</v>
      </c>
      <c r="H718" s="3" t="s">
        <v>29</v>
      </c>
      <c r="I718" s="3" t="s">
        <v>22</v>
      </c>
      <c r="J718" s="3" t="s">
        <v>23</v>
      </c>
      <c r="K718" s="3">
        <v>28</v>
      </c>
      <c r="L718" s="3">
        <v>3</v>
      </c>
      <c r="M718" s="3">
        <v>2578</v>
      </c>
      <c r="N718" s="3">
        <v>7734</v>
      </c>
      <c r="O718" s="3">
        <v>0</v>
      </c>
      <c r="P718" s="3" t="s">
        <v>51</v>
      </c>
      <c r="Q718" s="3">
        <v>1</v>
      </c>
      <c r="R718" s="3" t="str">
        <f t="shared" si="11"/>
        <v>Cancelled</v>
      </c>
      <c r="S718" s="3" t="s">
        <v>31</v>
      </c>
    </row>
    <row r="719" spans="1:19" x14ac:dyDescent="0.35">
      <c r="A719" s="3">
        <v>1718</v>
      </c>
      <c r="B719" s="3" t="s">
        <v>653</v>
      </c>
      <c r="C719" s="4">
        <v>45313</v>
      </c>
      <c r="D719" s="3" t="s">
        <v>27</v>
      </c>
      <c r="E719" s="4">
        <v>45331</v>
      </c>
      <c r="F719" s="4">
        <v>45336</v>
      </c>
      <c r="G719" s="3" t="s">
        <v>45</v>
      </c>
      <c r="H719" s="3" t="s">
        <v>35</v>
      </c>
      <c r="I719" s="3" t="s">
        <v>39</v>
      </c>
      <c r="J719" s="3" t="s">
        <v>23</v>
      </c>
      <c r="K719" s="3">
        <v>18</v>
      </c>
      <c r="L719" s="3">
        <v>5</v>
      </c>
      <c r="M719" s="3">
        <v>5623</v>
      </c>
      <c r="N719" s="3">
        <v>28115</v>
      </c>
      <c r="O719" s="3">
        <v>0</v>
      </c>
      <c r="P719" s="3" t="s">
        <v>24</v>
      </c>
      <c r="Q719" s="3">
        <v>1</v>
      </c>
      <c r="R719" s="3" t="str">
        <f t="shared" si="11"/>
        <v>Cancelled</v>
      </c>
      <c r="S719" s="3" t="s">
        <v>25</v>
      </c>
    </row>
    <row r="720" spans="1:19" x14ac:dyDescent="0.35">
      <c r="A720" s="3">
        <v>1719</v>
      </c>
      <c r="B720" s="3" t="s">
        <v>431</v>
      </c>
      <c r="C720" s="4">
        <v>45639</v>
      </c>
      <c r="D720" s="3" t="s">
        <v>128</v>
      </c>
      <c r="E720" s="4">
        <v>45673</v>
      </c>
      <c r="F720" s="4">
        <v>45675</v>
      </c>
      <c r="G720" s="3" t="s">
        <v>28</v>
      </c>
      <c r="H720" s="3" t="s">
        <v>21</v>
      </c>
      <c r="I720" s="3" t="s">
        <v>39</v>
      </c>
      <c r="J720" s="3" t="s">
        <v>30</v>
      </c>
      <c r="K720" s="3">
        <v>34</v>
      </c>
      <c r="L720" s="3">
        <v>2</v>
      </c>
      <c r="M720" s="3">
        <v>3397</v>
      </c>
      <c r="N720" s="3">
        <v>6794</v>
      </c>
      <c r="O720" s="3">
        <v>0</v>
      </c>
      <c r="P720" s="3" t="s">
        <v>24</v>
      </c>
      <c r="Q720" s="3">
        <v>1</v>
      </c>
      <c r="R720" s="3" t="str">
        <f t="shared" si="11"/>
        <v>Cancelled</v>
      </c>
      <c r="S720" s="3" t="s">
        <v>25</v>
      </c>
    </row>
    <row r="721" spans="1:19" x14ac:dyDescent="0.35">
      <c r="A721" s="3">
        <v>1720</v>
      </c>
      <c r="B721" s="3" t="s">
        <v>654</v>
      </c>
      <c r="C721" s="4">
        <v>45576</v>
      </c>
      <c r="D721" s="3" t="s">
        <v>19</v>
      </c>
      <c r="E721" s="4">
        <v>45598</v>
      </c>
      <c r="F721" s="4">
        <v>45603</v>
      </c>
      <c r="G721" s="3" t="s">
        <v>45</v>
      </c>
      <c r="H721" s="3" t="s">
        <v>29</v>
      </c>
      <c r="I721" s="3" t="s">
        <v>39</v>
      </c>
      <c r="J721" s="3" t="s">
        <v>46</v>
      </c>
      <c r="K721" s="3">
        <v>22</v>
      </c>
      <c r="L721" s="3">
        <v>5</v>
      </c>
      <c r="M721" s="3">
        <v>7376</v>
      </c>
      <c r="N721" s="3">
        <v>36880</v>
      </c>
      <c r="O721" s="3">
        <v>0</v>
      </c>
      <c r="P721" s="3" t="s">
        <v>24</v>
      </c>
      <c r="Q721" s="3">
        <v>1</v>
      </c>
      <c r="R721" s="3" t="str">
        <f t="shared" si="11"/>
        <v>Cancelled</v>
      </c>
      <c r="S721" s="3" t="s">
        <v>25</v>
      </c>
    </row>
    <row r="722" spans="1:19" x14ac:dyDescent="0.35">
      <c r="A722" s="3">
        <v>1721</v>
      </c>
      <c r="B722" s="3" t="s">
        <v>655</v>
      </c>
      <c r="C722" s="4">
        <v>45560</v>
      </c>
      <c r="D722" s="3" t="s">
        <v>75</v>
      </c>
      <c r="E722" s="4">
        <v>45571</v>
      </c>
      <c r="F722" s="4">
        <v>45575</v>
      </c>
      <c r="G722" s="3" t="s">
        <v>42</v>
      </c>
      <c r="H722" s="3" t="s">
        <v>38</v>
      </c>
      <c r="I722" s="3" t="s">
        <v>22</v>
      </c>
      <c r="J722" s="3" t="s">
        <v>23</v>
      </c>
      <c r="K722" s="3">
        <v>11</v>
      </c>
      <c r="L722" s="3">
        <v>4</v>
      </c>
      <c r="M722" s="3">
        <v>2725</v>
      </c>
      <c r="N722" s="3">
        <v>10900</v>
      </c>
      <c r="O722" s="3">
        <v>0</v>
      </c>
      <c r="P722" s="3" t="s">
        <v>51</v>
      </c>
      <c r="Q722" s="3">
        <v>1</v>
      </c>
      <c r="R722" s="3" t="str">
        <f t="shared" si="11"/>
        <v>Cancelled</v>
      </c>
      <c r="S722" s="3" t="s">
        <v>25</v>
      </c>
    </row>
    <row r="723" spans="1:19" x14ac:dyDescent="0.35">
      <c r="A723" s="3">
        <v>1722</v>
      </c>
      <c r="B723" s="3" t="s">
        <v>656</v>
      </c>
      <c r="C723" s="4">
        <v>45549</v>
      </c>
      <c r="D723" s="3" t="s">
        <v>237</v>
      </c>
      <c r="E723" s="4">
        <v>45607</v>
      </c>
      <c r="F723" s="4">
        <v>45608</v>
      </c>
      <c r="G723" s="3" t="s">
        <v>34</v>
      </c>
      <c r="H723" s="3" t="s">
        <v>29</v>
      </c>
      <c r="I723" s="3" t="s">
        <v>22</v>
      </c>
      <c r="J723" s="3" t="s">
        <v>30</v>
      </c>
      <c r="K723" s="3">
        <v>58</v>
      </c>
      <c r="L723" s="3">
        <v>1</v>
      </c>
      <c r="M723" s="3">
        <v>7670</v>
      </c>
      <c r="N723" s="3">
        <v>7670</v>
      </c>
      <c r="O723" s="3">
        <v>7670</v>
      </c>
      <c r="P723" s="3" t="s">
        <v>24</v>
      </c>
      <c r="Q723" s="3">
        <v>0</v>
      </c>
      <c r="R723" s="3" t="str">
        <f t="shared" si="11"/>
        <v>Not Cancelled</v>
      </c>
      <c r="S723" s="3" t="s">
        <v>31</v>
      </c>
    </row>
    <row r="724" spans="1:19" x14ac:dyDescent="0.35">
      <c r="A724" s="3">
        <v>1723</v>
      </c>
      <c r="B724" s="3" t="s">
        <v>657</v>
      </c>
      <c r="C724" s="4">
        <v>45320</v>
      </c>
      <c r="D724" s="3" t="s">
        <v>100</v>
      </c>
      <c r="E724" s="4">
        <v>45377</v>
      </c>
      <c r="F724" s="4">
        <v>45378</v>
      </c>
      <c r="G724" s="3" t="s">
        <v>34</v>
      </c>
      <c r="H724" s="3" t="s">
        <v>29</v>
      </c>
      <c r="I724" s="3" t="s">
        <v>39</v>
      </c>
      <c r="J724" s="3" t="s">
        <v>46</v>
      </c>
      <c r="K724" s="3">
        <v>57</v>
      </c>
      <c r="L724" s="3">
        <v>1</v>
      </c>
      <c r="M724" s="3">
        <v>3709</v>
      </c>
      <c r="N724" s="3">
        <v>3709</v>
      </c>
      <c r="O724" s="3">
        <v>0</v>
      </c>
      <c r="P724" s="3" t="s">
        <v>51</v>
      </c>
      <c r="Q724" s="3">
        <v>1</v>
      </c>
      <c r="R724" s="3" t="str">
        <f t="shared" si="11"/>
        <v>Cancelled</v>
      </c>
      <c r="S724" s="3" t="s">
        <v>31</v>
      </c>
    </row>
    <row r="725" spans="1:19" x14ac:dyDescent="0.35">
      <c r="A725" s="3">
        <v>1724</v>
      </c>
      <c r="B725" s="3" t="s">
        <v>658</v>
      </c>
      <c r="C725" s="4">
        <v>45504</v>
      </c>
      <c r="D725" s="3" t="s">
        <v>44</v>
      </c>
      <c r="E725" s="4">
        <v>45517</v>
      </c>
      <c r="F725" s="4">
        <v>45520</v>
      </c>
      <c r="G725" s="3" t="s">
        <v>20</v>
      </c>
      <c r="H725" s="3" t="s">
        <v>38</v>
      </c>
      <c r="I725" s="3" t="s">
        <v>39</v>
      </c>
      <c r="J725" s="3" t="s">
        <v>23</v>
      </c>
      <c r="K725" s="3">
        <v>13</v>
      </c>
      <c r="L725" s="3">
        <v>3</v>
      </c>
      <c r="M725" s="3">
        <v>7653</v>
      </c>
      <c r="N725" s="3">
        <v>22959</v>
      </c>
      <c r="O725" s="3">
        <v>0</v>
      </c>
      <c r="P725" s="3" t="s">
        <v>24</v>
      </c>
      <c r="Q725" s="3">
        <v>1</v>
      </c>
      <c r="R725" s="3" t="str">
        <f t="shared" si="11"/>
        <v>Cancelled</v>
      </c>
      <c r="S725" s="3" t="s">
        <v>31</v>
      </c>
    </row>
    <row r="726" spans="1:19" x14ac:dyDescent="0.35">
      <c r="A726" s="3">
        <v>1725</v>
      </c>
      <c r="B726" s="3" t="s">
        <v>257</v>
      </c>
      <c r="C726" s="4">
        <v>45574</v>
      </c>
      <c r="D726" s="3" t="s">
        <v>42</v>
      </c>
      <c r="E726" s="4">
        <v>45578</v>
      </c>
      <c r="F726" s="4">
        <v>45581</v>
      </c>
      <c r="G726" s="3" t="s">
        <v>20</v>
      </c>
      <c r="H726" s="3" t="s">
        <v>21</v>
      </c>
      <c r="I726" s="3" t="s">
        <v>39</v>
      </c>
      <c r="J726" s="3" t="s">
        <v>46</v>
      </c>
      <c r="K726" s="3">
        <v>4</v>
      </c>
      <c r="L726" s="3">
        <v>3</v>
      </c>
      <c r="M726" s="3">
        <v>7398</v>
      </c>
      <c r="N726" s="3">
        <v>22194</v>
      </c>
      <c r="O726" s="3">
        <v>0</v>
      </c>
      <c r="P726" s="3" t="s">
        <v>51</v>
      </c>
      <c r="Q726" s="3">
        <v>1</v>
      </c>
      <c r="R726" s="3" t="str">
        <f t="shared" si="11"/>
        <v>Cancelled</v>
      </c>
      <c r="S726" s="3" t="s">
        <v>25</v>
      </c>
    </row>
    <row r="727" spans="1:19" x14ac:dyDescent="0.35">
      <c r="A727" s="3">
        <v>1726</v>
      </c>
      <c r="B727" s="3" t="s">
        <v>551</v>
      </c>
      <c r="C727" s="4">
        <v>45341</v>
      </c>
      <c r="D727" s="3" t="s">
        <v>19</v>
      </c>
      <c r="E727" s="4">
        <v>45363</v>
      </c>
      <c r="F727" s="4">
        <v>45366</v>
      </c>
      <c r="G727" s="3" t="s">
        <v>20</v>
      </c>
      <c r="H727" s="3" t="s">
        <v>60</v>
      </c>
      <c r="I727" s="3" t="s">
        <v>22</v>
      </c>
      <c r="J727" s="3" t="s">
        <v>46</v>
      </c>
      <c r="K727" s="3">
        <v>22</v>
      </c>
      <c r="L727" s="3">
        <v>3</v>
      </c>
      <c r="M727" s="3">
        <v>7337</v>
      </c>
      <c r="N727" s="3">
        <v>22011</v>
      </c>
      <c r="O727" s="3">
        <v>22011</v>
      </c>
      <c r="P727" s="3" t="s">
        <v>24</v>
      </c>
      <c r="Q727" s="3">
        <v>0</v>
      </c>
      <c r="R727" s="3" t="str">
        <f t="shared" si="11"/>
        <v>Not Cancelled</v>
      </c>
      <c r="S727" s="3" t="s">
        <v>31</v>
      </c>
    </row>
    <row r="728" spans="1:19" x14ac:dyDescent="0.35">
      <c r="A728" s="3">
        <v>1727</v>
      </c>
      <c r="B728" s="3" t="s">
        <v>539</v>
      </c>
      <c r="C728" s="4">
        <v>45386</v>
      </c>
      <c r="D728" s="3" t="s">
        <v>209</v>
      </c>
      <c r="E728" s="4">
        <v>45393</v>
      </c>
      <c r="F728" s="4">
        <v>45395</v>
      </c>
      <c r="G728" s="3" t="s">
        <v>28</v>
      </c>
      <c r="H728" s="3" t="s">
        <v>60</v>
      </c>
      <c r="I728" s="3" t="s">
        <v>22</v>
      </c>
      <c r="J728" s="3" t="s">
        <v>23</v>
      </c>
      <c r="K728" s="3">
        <v>7</v>
      </c>
      <c r="L728" s="3">
        <v>2</v>
      </c>
      <c r="M728" s="3">
        <v>4678</v>
      </c>
      <c r="N728" s="3">
        <v>9356</v>
      </c>
      <c r="O728" s="3">
        <v>0</v>
      </c>
      <c r="P728" s="3" t="s">
        <v>51</v>
      </c>
      <c r="Q728" s="3">
        <v>1</v>
      </c>
      <c r="R728" s="3" t="str">
        <f t="shared" si="11"/>
        <v>Cancelled</v>
      </c>
      <c r="S728" s="3" t="s">
        <v>25</v>
      </c>
    </row>
    <row r="729" spans="1:19" x14ac:dyDescent="0.35">
      <c r="A729" s="3">
        <v>1728</v>
      </c>
      <c r="B729" s="3" t="s">
        <v>659</v>
      </c>
      <c r="C729" s="4">
        <v>45379</v>
      </c>
      <c r="D729" s="3" t="s">
        <v>66</v>
      </c>
      <c r="E729" s="4">
        <v>45422</v>
      </c>
      <c r="F729" s="4">
        <v>45426</v>
      </c>
      <c r="G729" s="3" t="s">
        <v>42</v>
      </c>
      <c r="H729" s="3" t="s">
        <v>38</v>
      </c>
      <c r="I729" s="3" t="s">
        <v>39</v>
      </c>
      <c r="J729" s="3" t="s">
        <v>30</v>
      </c>
      <c r="K729" s="3">
        <v>43</v>
      </c>
      <c r="L729" s="3">
        <v>4</v>
      </c>
      <c r="M729" s="3">
        <v>5179</v>
      </c>
      <c r="N729" s="3">
        <v>20716</v>
      </c>
      <c r="O729" s="3">
        <v>20716</v>
      </c>
      <c r="P729" s="3" t="s">
        <v>51</v>
      </c>
      <c r="Q729" s="3">
        <v>0</v>
      </c>
      <c r="R729" s="3" t="str">
        <f t="shared" si="11"/>
        <v>Not Cancelled</v>
      </c>
      <c r="S729" s="3" t="s">
        <v>25</v>
      </c>
    </row>
    <row r="730" spans="1:19" x14ac:dyDescent="0.35">
      <c r="A730" s="3">
        <v>1729</v>
      </c>
      <c r="B730" s="3" t="s">
        <v>660</v>
      </c>
      <c r="C730" s="4">
        <v>45335</v>
      </c>
      <c r="D730" s="3" t="s">
        <v>117</v>
      </c>
      <c r="E730" s="4">
        <v>45389</v>
      </c>
      <c r="F730" s="4">
        <v>45393</v>
      </c>
      <c r="G730" s="3" t="s">
        <v>42</v>
      </c>
      <c r="H730" s="3" t="s">
        <v>21</v>
      </c>
      <c r="I730" s="3" t="s">
        <v>22</v>
      </c>
      <c r="J730" s="3" t="s">
        <v>46</v>
      </c>
      <c r="K730" s="3">
        <v>54</v>
      </c>
      <c r="L730" s="3">
        <v>4</v>
      </c>
      <c r="M730" s="3">
        <v>5385</v>
      </c>
      <c r="N730" s="3">
        <v>21540</v>
      </c>
      <c r="O730" s="3">
        <v>21540</v>
      </c>
      <c r="P730" s="3" t="s">
        <v>24</v>
      </c>
      <c r="Q730" s="3">
        <v>0</v>
      </c>
      <c r="R730" s="3" t="str">
        <f t="shared" si="11"/>
        <v>Not Cancelled</v>
      </c>
      <c r="S730" s="3" t="s">
        <v>25</v>
      </c>
    </row>
    <row r="731" spans="1:19" x14ac:dyDescent="0.35">
      <c r="A731" s="3">
        <v>1730</v>
      </c>
      <c r="B731" s="3" t="s">
        <v>661</v>
      </c>
      <c r="C731" s="4">
        <v>45569</v>
      </c>
      <c r="D731" s="3" t="s">
        <v>159</v>
      </c>
      <c r="E731" s="4">
        <v>45593</v>
      </c>
      <c r="F731" s="4">
        <v>45597</v>
      </c>
      <c r="G731" s="3" t="s">
        <v>42</v>
      </c>
      <c r="H731" s="3" t="s">
        <v>35</v>
      </c>
      <c r="I731" s="3" t="s">
        <v>22</v>
      </c>
      <c r="J731" s="3" t="s">
        <v>30</v>
      </c>
      <c r="K731" s="3">
        <v>24</v>
      </c>
      <c r="L731" s="3">
        <v>4</v>
      </c>
      <c r="M731" s="3">
        <v>5306</v>
      </c>
      <c r="N731" s="3">
        <v>21224</v>
      </c>
      <c r="O731" s="3">
        <v>0</v>
      </c>
      <c r="P731" s="3" t="s">
        <v>24</v>
      </c>
      <c r="Q731" s="3">
        <v>1</v>
      </c>
      <c r="R731" s="3" t="str">
        <f t="shared" si="11"/>
        <v>Cancelled</v>
      </c>
      <c r="S731" s="3" t="s">
        <v>31</v>
      </c>
    </row>
    <row r="732" spans="1:19" x14ac:dyDescent="0.35">
      <c r="A732" s="3">
        <v>1731</v>
      </c>
      <c r="B732" s="3" t="s">
        <v>662</v>
      </c>
      <c r="C732" s="4">
        <v>45462</v>
      </c>
      <c r="D732" s="3" t="s">
        <v>42</v>
      </c>
      <c r="E732" s="4">
        <v>45466</v>
      </c>
      <c r="F732" s="4">
        <v>45470</v>
      </c>
      <c r="G732" s="3" t="s">
        <v>42</v>
      </c>
      <c r="H732" s="3" t="s">
        <v>38</v>
      </c>
      <c r="I732" s="3" t="s">
        <v>22</v>
      </c>
      <c r="J732" s="3" t="s">
        <v>23</v>
      </c>
      <c r="K732" s="3">
        <v>4</v>
      </c>
      <c r="L732" s="3">
        <v>4</v>
      </c>
      <c r="M732" s="3">
        <v>3203</v>
      </c>
      <c r="N732" s="3">
        <v>12812</v>
      </c>
      <c r="O732" s="3">
        <v>12812</v>
      </c>
      <c r="P732" s="3" t="s">
        <v>24</v>
      </c>
      <c r="Q732" s="3">
        <v>0</v>
      </c>
      <c r="R732" s="3" t="str">
        <f t="shared" si="11"/>
        <v>Not Cancelled</v>
      </c>
      <c r="S732" s="3" t="s">
        <v>31</v>
      </c>
    </row>
    <row r="733" spans="1:19" x14ac:dyDescent="0.35">
      <c r="A733" s="3">
        <v>1732</v>
      </c>
      <c r="B733" s="3" t="s">
        <v>663</v>
      </c>
      <c r="C733" s="4">
        <v>45480</v>
      </c>
      <c r="D733" s="3" t="s">
        <v>82</v>
      </c>
      <c r="E733" s="4">
        <v>45508</v>
      </c>
      <c r="F733" s="4">
        <v>45511</v>
      </c>
      <c r="G733" s="3" t="s">
        <v>20</v>
      </c>
      <c r="H733" s="3" t="s">
        <v>60</v>
      </c>
      <c r="I733" s="3" t="s">
        <v>22</v>
      </c>
      <c r="J733" s="3" t="s">
        <v>46</v>
      </c>
      <c r="K733" s="3">
        <v>28</v>
      </c>
      <c r="L733" s="3">
        <v>3</v>
      </c>
      <c r="M733" s="3">
        <v>5044</v>
      </c>
      <c r="N733" s="3">
        <v>15132</v>
      </c>
      <c r="O733" s="3">
        <v>0</v>
      </c>
      <c r="P733" s="3" t="s">
        <v>51</v>
      </c>
      <c r="Q733" s="3">
        <v>1</v>
      </c>
      <c r="R733" s="3" t="str">
        <f t="shared" si="11"/>
        <v>Cancelled</v>
      </c>
      <c r="S733" s="3" t="s">
        <v>25</v>
      </c>
    </row>
    <row r="734" spans="1:19" x14ac:dyDescent="0.35">
      <c r="A734" s="3">
        <v>1733</v>
      </c>
      <c r="B734" s="3" t="s">
        <v>664</v>
      </c>
      <c r="C734" s="4">
        <v>45644</v>
      </c>
      <c r="D734" s="3" t="s">
        <v>277</v>
      </c>
      <c r="E734" s="4">
        <v>45659</v>
      </c>
      <c r="F734" s="4">
        <v>45660</v>
      </c>
      <c r="G734" s="3" t="s">
        <v>34</v>
      </c>
      <c r="H734" s="3" t="s">
        <v>21</v>
      </c>
      <c r="I734" s="3" t="s">
        <v>39</v>
      </c>
      <c r="J734" s="3" t="s">
        <v>46</v>
      </c>
      <c r="K734" s="3">
        <v>15</v>
      </c>
      <c r="L734" s="3">
        <v>1</v>
      </c>
      <c r="M734" s="3">
        <v>8022</v>
      </c>
      <c r="N734" s="3">
        <v>8022</v>
      </c>
      <c r="O734" s="3">
        <v>8022</v>
      </c>
      <c r="P734" s="3" t="s">
        <v>51</v>
      </c>
      <c r="Q734" s="3">
        <v>0</v>
      </c>
      <c r="R734" s="3" t="str">
        <f t="shared" si="11"/>
        <v>Not Cancelled</v>
      </c>
      <c r="S734" s="3" t="s">
        <v>31</v>
      </c>
    </row>
    <row r="735" spans="1:19" x14ac:dyDescent="0.35">
      <c r="A735" s="3">
        <v>1734</v>
      </c>
      <c r="B735" s="3" t="s">
        <v>202</v>
      </c>
      <c r="C735" s="4">
        <v>45475</v>
      </c>
      <c r="D735" s="3" t="s">
        <v>34</v>
      </c>
      <c r="E735" s="4">
        <v>45476</v>
      </c>
      <c r="F735" s="4">
        <v>45479</v>
      </c>
      <c r="G735" s="3" t="s">
        <v>20</v>
      </c>
      <c r="H735" s="3" t="s">
        <v>29</v>
      </c>
      <c r="I735" s="3" t="s">
        <v>39</v>
      </c>
      <c r="J735" s="3" t="s">
        <v>46</v>
      </c>
      <c r="K735" s="3">
        <v>1</v>
      </c>
      <c r="L735" s="3">
        <v>3</v>
      </c>
      <c r="M735" s="3">
        <v>4870</v>
      </c>
      <c r="N735" s="3">
        <v>14610</v>
      </c>
      <c r="O735" s="3">
        <v>14610</v>
      </c>
      <c r="P735" s="3" t="s">
        <v>51</v>
      </c>
      <c r="Q735" s="3">
        <v>0</v>
      </c>
      <c r="R735" s="3" t="str">
        <f t="shared" si="11"/>
        <v>Not Cancelled</v>
      </c>
      <c r="S735" s="3" t="s">
        <v>31</v>
      </c>
    </row>
    <row r="736" spans="1:19" x14ac:dyDescent="0.35">
      <c r="A736" s="3">
        <v>1735</v>
      </c>
      <c r="B736" s="3" t="s">
        <v>665</v>
      </c>
      <c r="C736" s="4">
        <v>45294</v>
      </c>
      <c r="D736" s="3" t="s">
        <v>113</v>
      </c>
      <c r="E736" s="4">
        <v>45349</v>
      </c>
      <c r="F736" s="4">
        <v>45353</v>
      </c>
      <c r="G736" s="3" t="s">
        <v>42</v>
      </c>
      <c r="H736" s="3" t="s">
        <v>21</v>
      </c>
      <c r="I736" s="3" t="s">
        <v>22</v>
      </c>
      <c r="J736" s="3" t="s">
        <v>46</v>
      </c>
      <c r="K736" s="3">
        <v>55</v>
      </c>
      <c r="L736" s="3">
        <v>4</v>
      </c>
      <c r="M736" s="3">
        <v>5781</v>
      </c>
      <c r="N736" s="3">
        <v>23124</v>
      </c>
      <c r="O736" s="3">
        <v>0</v>
      </c>
      <c r="P736" s="3" t="s">
        <v>24</v>
      </c>
      <c r="Q736" s="3">
        <v>1</v>
      </c>
      <c r="R736" s="3" t="str">
        <f t="shared" si="11"/>
        <v>Cancelled</v>
      </c>
      <c r="S736" s="3" t="s">
        <v>25</v>
      </c>
    </row>
    <row r="737" spans="1:19" x14ac:dyDescent="0.35">
      <c r="A737" s="3">
        <v>1736</v>
      </c>
      <c r="B737" s="3" t="s">
        <v>666</v>
      </c>
      <c r="C737" s="4">
        <v>45482</v>
      </c>
      <c r="D737" s="3" t="s">
        <v>20</v>
      </c>
      <c r="E737" s="4">
        <v>45485</v>
      </c>
      <c r="F737" s="4">
        <v>45488</v>
      </c>
      <c r="G737" s="3" t="s">
        <v>20</v>
      </c>
      <c r="H737" s="3" t="s">
        <v>21</v>
      </c>
      <c r="I737" s="3" t="s">
        <v>22</v>
      </c>
      <c r="J737" s="3" t="s">
        <v>46</v>
      </c>
      <c r="K737" s="3">
        <v>3</v>
      </c>
      <c r="L737" s="3">
        <v>3</v>
      </c>
      <c r="M737" s="3">
        <v>7210</v>
      </c>
      <c r="N737" s="3">
        <v>21630</v>
      </c>
      <c r="O737" s="3">
        <v>0</v>
      </c>
      <c r="P737" s="3" t="s">
        <v>51</v>
      </c>
      <c r="Q737" s="3">
        <v>1</v>
      </c>
      <c r="R737" s="3" t="str">
        <f t="shared" si="11"/>
        <v>Cancelled</v>
      </c>
      <c r="S737" s="3" t="s">
        <v>25</v>
      </c>
    </row>
    <row r="738" spans="1:19" x14ac:dyDescent="0.35">
      <c r="A738" s="3">
        <v>1737</v>
      </c>
      <c r="B738" s="3" t="s">
        <v>667</v>
      </c>
      <c r="C738" s="4">
        <v>45409</v>
      </c>
      <c r="D738" s="3" t="s">
        <v>33</v>
      </c>
      <c r="E738" s="4">
        <v>45423</v>
      </c>
      <c r="F738" s="4">
        <v>45427</v>
      </c>
      <c r="G738" s="3" t="s">
        <v>42</v>
      </c>
      <c r="H738" s="3" t="s">
        <v>60</v>
      </c>
      <c r="I738" s="3" t="s">
        <v>22</v>
      </c>
      <c r="J738" s="3" t="s">
        <v>23</v>
      </c>
      <c r="K738" s="3">
        <v>14</v>
      </c>
      <c r="L738" s="3">
        <v>4</v>
      </c>
      <c r="M738" s="3">
        <v>2828</v>
      </c>
      <c r="N738" s="3">
        <v>11312</v>
      </c>
      <c r="O738" s="3">
        <v>11312</v>
      </c>
      <c r="P738" s="3" t="s">
        <v>24</v>
      </c>
      <c r="Q738" s="3">
        <v>0</v>
      </c>
      <c r="R738" s="3" t="str">
        <f t="shared" si="11"/>
        <v>Not Cancelled</v>
      </c>
      <c r="S738" s="3" t="s">
        <v>31</v>
      </c>
    </row>
    <row r="739" spans="1:19" x14ac:dyDescent="0.35">
      <c r="A739" s="3">
        <v>1738</v>
      </c>
      <c r="B739" s="3" t="s">
        <v>668</v>
      </c>
      <c r="C739" s="4">
        <v>45310</v>
      </c>
      <c r="D739" s="3" t="s">
        <v>115</v>
      </c>
      <c r="E739" s="4">
        <v>45348</v>
      </c>
      <c r="F739" s="4">
        <v>45353</v>
      </c>
      <c r="G739" s="3" t="s">
        <v>45</v>
      </c>
      <c r="H739" s="3" t="s">
        <v>60</v>
      </c>
      <c r="I739" s="3" t="s">
        <v>39</v>
      </c>
      <c r="J739" s="3" t="s">
        <v>46</v>
      </c>
      <c r="K739" s="3">
        <v>38</v>
      </c>
      <c r="L739" s="3">
        <v>5</v>
      </c>
      <c r="M739" s="3">
        <v>7991</v>
      </c>
      <c r="N739" s="3">
        <v>39955</v>
      </c>
      <c r="O739" s="3">
        <v>0</v>
      </c>
      <c r="P739" s="3" t="s">
        <v>51</v>
      </c>
      <c r="Q739" s="3">
        <v>1</v>
      </c>
      <c r="R739" s="3" t="str">
        <f t="shared" si="11"/>
        <v>Cancelled</v>
      </c>
      <c r="S739" s="3" t="s">
        <v>25</v>
      </c>
    </row>
    <row r="740" spans="1:19" x14ac:dyDescent="0.35">
      <c r="A740" s="3">
        <v>1739</v>
      </c>
      <c r="B740" s="3" t="s">
        <v>310</v>
      </c>
      <c r="C740" s="4">
        <v>45314</v>
      </c>
      <c r="D740" s="3" t="s">
        <v>78</v>
      </c>
      <c r="E740" s="4">
        <v>45364</v>
      </c>
      <c r="F740" s="4">
        <v>45365</v>
      </c>
      <c r="G740" s="3" t="s">
        <v>34</v>
      </c>
      <c r="H740" s="3" t="s">
        <v>35</v>
      </c>
      <c r="I740" s="3" t="s">
        <v>39</v>
      </c>
      <c r="J740" s="3" t="s">
        <v>23</v>
      </c>
      <c r="K740" s="3">
        <v>50</v>
      </c>
      <c r="L740" s="3">
        <v>1</v>
      </c>
      <c r="M740" s="3">
        <v>8079</v>
      </c>
      <c r="N740" s="3">
        <v>8079</v>
      </c>
      <c r="O740" s="3">
        <v>0</v>
      </c>
      <c r="P740" s="3" t="s">
        <v>24</v>
      </c>
      <c r="Q740" s="3">
        <v>1</v>
      </c>
      <c r="R740" s="3" t="str">
        <f t="shared" si="11"/>
        <v>Cancelled</v>
      </c>
      <c r="S740" s="3" t="s">
        <v>25</v>
      </c>
    </row>
    <row r="741" spans="1:19" x14ac:dyDescent="0.35">
      <c r="A741" s="3">
        <v>1740</v>
      </c>
      <c r="B741" s="3" t="s">
        <v>322</v>
      </c>
      <c r="C741" s="4">
        <v>45321</v>
      </c>
      <c r="D741" s="3" t="s">
        <v>100</v>
      </c>
      <c r="E741" s="4">
        <v>45378</v>
      </c>
      <c r="F741" s="4">
        <v>45383</v>
      </c>
      <c r="G741" s="3" t="s">
        <v>45</v>
      </c>
      <c r="H741" s="3" t="s">
        <v>35</v>
      </c>
      <c r="I741" s="3" t="s">
        <v>22</v>
      </c>
      <c r="J741" s="3" t="s">
        <v>30</v>
      </c>
      <c r="K741" s="3">
        <v>57</v>
      </c>
      <c r="L741" s="3">
        <v>5</v>
      </c>
      <c r="M741" s="3">
        <v>6728</v>
      </c>
      <c r="N741" s="3">
        <v>33640</v>
      </c>
      <c r="O741" s="3">
        <v>0</v>
      </c>
      <c r="P741" s="3" t="s">
        <v>51</v>
      </c>
      <c r="Q741" s="3">
        <v>1</v>
      </c>
      <c r="R741" s="3" t="str">
        <f t="shared" si="11"/>
        <v>Cancelled</v>
      </c>
      <c r="S741" s="3" t="s">
        <v>31</v>
      </c>
    </row>
    <row r="742" spans="1:19" x14ac:dyDescent="0.35">
      <c r="A742" s="3">
        <v>1741</v>
      </c>
      <c r="B742" s="3" t="s">
        <v>669</v>
      </c>
      <c r="C742" s="4">
        <v>45586</v>
      </c>
      <c r="D742" s="3" t="s">
        <v>34</v>
      </c>
      <c r="E742" s="4">
        <v>45587</v>
      </c>
      <c r="F742" s="4">
        <v>45589</v>
      </c>
      <c r="G742" s="3" t="s">
        <v>28</v>
      </c>
      <c r="H742" s="3" t="s">
        <v>38</v>
      </c>
      <c r="I742" s="3" t="s">
        <v>22</v>
      </c>
      <c r="J742" s="3" t="s">
        <v>23</v>
      </c>
      <c r="K742" s="3">
        <v>1</v>
      </c>
      <c r="L742" s="3">
        <v>2</v>
      </c>
      <c r="M742" s="3">
        <v>7430</v>
      </c>
      <c r="N742" s="3">
        <v>14860</v>
      </c>
      <c r="O742" s="3">
        <v>14860</v>
      </c>
      <c r="P742" s="3" t="s">
        <v>51</v>
      </c>
      <c r="Q742" s="3">
        <v>0</v>
      </c>
      <c r="R742" s="3" t="str">
        <f t="shared" si="11"/>
        <v>Not Cancelled</v>
      </c>
      <c r="S742" s="3" t="s">
        <v>31</v>
      </c>
    </row>
    <row r="743" spans="1:19" x14ac:dyDescent="0.35">
      <c r="A743" s="3">
        <v>1742</v>
      </c>
      <c r="B743" s="3" t="s">
        <v>663</v>
      </c>
      <c r="C743" s="4">
        <v>45399</v>
      </c>
      <c r="D743" s="3" t="s">
        <v>115</v>
      </c>
      <c r="E743" s="4">
        <v>45437</v>
      </c>
      <c r="F743" s="4">
        <v>45440</v>
      </c>
      <c r="G743" s="3" t="s">
        <v>20</v>
      </c>
      <c r="H743" s="3" t="s">
        <v>29</v>
      </c>
      <c r="I743" s="3" t="s">
        <v>22</v>
      </c>
      <c r="J743" s="3" t="s">
        <v>46</v>
      </c>
      <c r="K743" s="3">
        <v>38</v>
      </c>
      <c r="L743" s="3">
        <v>3</v>
      </c>
      <c r="M743" s="3">
        <v>2620</v>
      </c>
      <c r="N743" s="3">
        <v>7860</v>
      </c>
      <c r="O743" s="3">
        <v>7860</v>
      </c>
      <c r="P743" s="3" t="s">
        <v>24</v>
      </c>
      <c r="Q743" s="3">
        <v>0</v>
      </c>
      <c r="R743" s="3" t="str">
        <f t="shared" si="11"/>
        <v>Not Cancelled</v>
      </c>
      <c r="S743" s="3" t="s">
        <v>25</v>
      </c>
    </row>
    <row r="744" spans="1:19" x14ac:dyDescent="0.35">
      <c r="A744" s="3">
        <v>1743</v>
      </c>
      <c r="B744" s="3" t="s">
        <v>307</v>
      </c>
      <c r="C744" s="4">
        <v>45572</v>
      </c>
      <c r="D744" s="3" t="s">
        <v>115</v>
      </c>
      <c r="E744" s="4">
        <v>45610</v>
      </c>
      <c r="F744" s="4">
        <v>45612</v>
      </c>
      <c r="G744" s="3" t="s">
        <v>28</v>
      </c>
      <c r="H744" s="3" t="s">
        <v>35</v>
      </c>
      <c r="I744" s="3" t="s">
        <v>22</v>
      </c>
      <c r="J744" s="3" t="s">
        <v>30</v>
      </c>
      <c r="K744" s="3">
        <v>38</v>
      </c>
      <c r="L744" s="3">
        <v>2</v>
      </c>
      <c r="M744" s="3">
        <v>8071</v>
      </c>
      <c r="N744" s="3">
        <v>16142</v>
      </c>
      <c r="O744" s="3">
        <v>0</v>
      </c>
      <c r="P744" s="3" t="s">
        <v>51</v>
      </c>
      <c r="Q744" s="3">
        <v>1</v>
      </c>
      <c r="R744" s="3" t="str">
        <f t="shared" si="11"/>
        <v>Cancelled</v>
      </c>
      <c r="S744" s="3" t="s">
        <v>31</v>
      </c>
    </row>
    <row r="745" spans="1:19" x14ac:dyDescent="0.35">
      <c r="A745" s="3">
        <v>1744</v>
      </c>
      <c r="B745" s="3" t="s">
        <v>670</v>
      </c>
      <c r="C745" s="4">
        <v>45419</v>
      </c>
      <c r="D745" s="3" t="s">
        <v>175</v>
      </c>
      <c r="E745" s="4">
        <v>45440</v>
      </c>
      <c r="F745" s="4">
        <v>45443</v>
      </c>
      <c r="G745" s="3" t="s">
        <v>20</v>
      </c>
      <c r="H745" s="3" t="s">
        <v>60</v>
      </c>
      <c r="I745" s="3" t="s">
        <v>39</v>
      </c>
      <c r="J745" s="3" t="s">
        <v>23</v>
      </c>
      <c r="K745" s="3">
        <v>21</v>
      </c>
      <c r="L745" s="3">
        <v>3</v>
      </c>
      <c r="M745" s="3">
        <v>3464</v>
      </c>
      <c r="N745" s="3">
        <v>10392</v>
      </c>
      <c r="O745" s="3">
        <v>10392</v>
      </c>
      <c r="P745" s="3" t="s">
        <v>51</v>
      </c>
      <c r="Q745" s="3">
        <v>0</v>
      </c>
      <c r="R745" s="3" t="str">
        <f t="shared" si="11"/>
        <v>Not Cancelled</v>
      </c>
      <c r="S745" s="3" t="s">
        <v>25</v>
      </c>
    </row>
    <row r="746" spans="1:19" x14ac:dyDescent="0.35">
      <c r="A746" s="3">
        <v>1745</v>
      </c>
      <c r="B746" s="3" t="s">
        <v>671</v>
      </c>
      <c r="C746" s="4">
        <v>45520</v>
      </c>
      <c r="D746" s="3" t="s">
        <v>73</v>
      </c>
      <c r="E746" s="4">
        <v>45568</v>
      </c>
      <c r="F746" s="4">
        <v>45573</v>
      </c>
      <c r="G746" s="3" t="s">
        <v>45</v>
      </c>
      <c r="H746" s="3" t="s">
        <v>21</v>
      </c>
      <c r="I746" s="3" t="s">
        <v>39</v>
      </c>
      <c r="J746" s="3" t="s">
        <v>23</v>
      </c>
      <c r="K746" s="3">
        <v>48</v>
      </c>
      <c r="L746" s="3">
        <v>5</v>
      </c>
      <c r="M746" s="3">
        <v>6724</v>
      </c>
      <c r="N746" s="3">
        <v>33620</v>
      </c>
      <c r="O746" s="3">
        <v>0</v>
      </c>
      <c r="P746" s="3" t="s">
        <v>24</v>
      </c>
      <c r="Q746" s="3">
        <v>1</v>
      </c>
      <c r="R746" s="3" t="str">
        <f t="shared" si="11"/>
        <v>Cancelled</v>
      </c>
      <c r="S746" s="3" t="s">
        <v>25</v>
      </c>
    </row>
    <row r="747" spans="1:19" x14ac:dyDescent="0.35">
      <c r="A747" s="3">
        <v>1746</v>
      </c>
      <c r="B747" s="3" t="s">
        <v>535</v>
      </c>
      <c r="C747" s="4">
        <v>45402</v>
      </c>
      <c r="D747" s="3" t="s">
        <v>57</v>
      </c>
      <c r="E747" s="4">
        <v>45431</v>
      </c>
      <c r="F747" s="4">
        <v>45435</v>
      </c>
      <c r="G747" s="3" t="s">
        <v>42</v>
      </c>
      <c r="H747" s="3" t="s">
        <v>38</v>
      </c>
      <c r="I747" s="3" t="s">
        <v>39</v>
      </c>
      <c r="J747" s="3" t="s">
        <v>23</v>
      </c>
      <c r="K747" s="3">
        <v>29</v>
      </c>
      <c r="L747" s="3">
        <v>4</v>
      </c>
      <c r="M747" s="3">
        <v>6175</v>
      </c>
      <c r="N747" s="3">
        <v>24700</v>
      </c>
      <c r="O747" s="3">
        <v>0</v>
      </c>
      <c r="P747" s="3" t="s">
        <v>51</v>
      </c>
      <c r="Q747" s="3">
        <v>1</v>
      </c>
      <c r="R747" s="3" t="str">
        <f t="shared" si="11"/>
        <v>Cancelled</v>
      </c>
      <c r="S747" s="3" t="s">
        <v>31</v>
      </c>
    </row>
    <row r="748" spans="1:19" x14ac:dyDescent="0.35">
      <c r="A748" s="3">
        <v>1747</v>
      </c>
      <c r="B748" s="3" t="s">
        <v>672</v>
      </c>
      <c r="C748" s="4">
        <v>45427</v>
      </c>
      <c r="D748" s="3" t="s">
        <v>45</v>
      </c>
      <c r="E748" s="4">
        <v>45432</v>
      </c>
      <c r="F748" s="4">
        <v>45436</v>
      </c>
      <c r="G748" s="3" t="s">
        <v>42</v>
      </c>
      <c r="H748" s="3" t="s">
        <v>35</v>
      </c>
      <c r="I748" s="3" t="s">
        <v>39</v>
      </c>
      <c r="J748" s="3" t="s">
        <v>46</v>
      </c>
      <c r="K748" s="3">
        <v>5</v>
      </c>
      <c r="L748" s="3">
        <v>4</v>
      </c>
      <c r="M748" s="3">
        <v>8194</v>
      </c>
      <c r="N748" s="3">
        <v>32776</v>
      </c>
      <c r="O748" s="3">
        <v>32776</v>
      </c>
      <c r="P748" s="3" t="s">
        <v>24</v>
      </c>
      <c r="Q748" s="3">
        <v>0</v>
      </c>
      <c r="R748" s="3" t="str">
        <f t="shared" si="11"/>
        <v>Not Cancelled</v>
      </c>
      <c r="S748" s="3" t="s">
        <v>25</v>
      </c>
    </row>
    <row r="749" spans="1:19" x14ac:dyDescent="0.35">
      <c r="A749" s="3">
        <v>1748</v>
      </c>
      <c r="B749" s="3" t="s">
        <v>673</v>
      </c>
      <c r="C749" s="4">
        <v>45653</v>
      </c>
      <c r="D749" s="3" t="s">
        <v>211</v>
      </c>
      <c r="E749" s="4">
        <v>45702</v>
      </c>
      <c r="F749" s="4">
        <v>45705</v>
      </c>
      <c r="G749" s="3" t="s">
        <v>20</v>
      </c>
      <c r="H749" s="3" t="s">
        <v>21</v>
      </c>
      <c r="I749" s="3" t="s">
        <v>39</v>
      </c>
      <c r="J749" s="3" t="s">
        <v>46</v>
      </c>
      <c r="K749" s="3">
        <v>49</v>
      </c>
      <c r="L749" s="3">
        <v>3</v>
      </c>
      <c r="M749" s="3">
        <v>4576</v>
      </c>
      <c r="N749" s="3">
        <v>13728</v>
      </c>
      <c r="O749" s="3">
        <v>0</v>
      </c>
      <c r="P749" s="3" t="s">
        <v>24</v>
      </c>
      <c r="Q749" s="3">
        <v>1</v>
      </c>
      <c r="R749" s="3" t="str">
        <f t="shared" si="11"/>
        <v>Cancelled</v>
      </c>
      <c r="S749" s="3" t="s">
        <v>25</v>
      </c>
    </row>
    <row r="750" spans="1:19" x14ac:dyDescent="0.35">
      <c r="A750" s="3">
        <v>1749</v>
      </c>
      <c r="B750" s="3" t="s">
        <v>674</v>
      </c>
      <c r="C750" s="4">
        <v>45477</v>
      </c>
      <c r="D750" s="3" t="s">
        <v>37</v>
      </c>
      <c r="E750" s="4">
        <v>45487</v>
      </c>
      <c r="F750" s="4">
        <v>45491</v>
      </c>
      <c r="G750" s="3" t="s">
        <v>42</v>
      </c>
      <c r="H750" s="3" t="s">
        <v>21</v>
      </c>
      <c r="I750" s="3" t="s">
        <v>39</v>
      </c>
      <c r="J750" s="3" t="s">
        <v>23</v>
      </c>
      <c r="K750" s="3">
        <v>10</v>
      </c>
      <c r="L750" s="3">
        <v>4</v>
      </c>
      <c r="M750" s="3">
        <v>8143</v>
      </c>
      <c r="N750" s="3">
        <v>32572</v>
      </c>
      <c r="O750" s="3">
        <v>32572</v>
      </c>
      <c r="P750" s="3" t="s">
        <v>51</v>
      </c>
      <c r="Q750" s="3">
        <v>0</v>
      </c>
      <c r="R750" s="3" t="str">
        <f t="shared" si="11"/>
        <v>Not Cancelled</v>
      </c>
      <c r="S750" s="3" t="s">
        <v>25</v>
      </c>
    </row>
    <row r="751" spans="1:19" x14ac:dyDescent="0.35">
      <c r="A751" s="3">
        <v>1750</v>
      </c>
      <c r="B751" s="3" t="s">
        <v>675</v>
      </c>
      <c r="C751" s="4">
        <v>45435</v>
      </c>
      <c r="D751" s="3" t="s">
        <v>82</v>
      </c>
      <c r="E751" s="4">
        <v>45463</v>
      </c>
      <c r="F751" s="4">
        <v>45468</v>
      </c>
      <c r="G751" s="3" t="s">
        <v>45</v>
      </c>
      <c r="H751" s="3" t="s">
        <v>35</v>
      </c>
      <c r="I751" s="3" t="s">
        <v>22</v>
      </c>
      <c r="J751" s="3" t="s">
        <v>23</v>
      </c>
      <c r="K751" s="3">
        <v>28</v>
      </c>
      <c r="L751" s="3">
        <v>5</v>
      </c>
      <c r="M751" s="3">
        <v>2832</v>
      </c>
      <c r="N751" s="3">
        <v>14160</v>
      </c>
      <c r="O751" s="3">
        <v>0</v>
      </c>
      <c r="P751" s="3" t="s">
        <v>51</v>
      </c>
      <c r="Q751" s="3">
        <v>1</v>
      </c>
      <c r="R751" s="3" t="str">
        <f t="shared" si="11"/>
        <v>Cancelled</v>
      </c>
      <c r="S751" s="3" t="s">
        <v>31</v>
      </c>
    </row>
    <row r="752" spans="1:19" x14ac:dyDescent="0.35">
      <c r="A752" s="3">
        <v>1751</v>
      </c>
      <c r="B752" s="3" t="s">
        <v>676</v>
      </c>
      <c r="C752" s="4">
        <v>45363</v>
      </c>
      <c r="D752" s="3" t="s">
        <v>175</v>
      </c>
      <c r="E752" s="4">
        <v>45384</v>
      </c>
      <c r="F752" s="4">
        <v>45388</v>
      </c>
      <c r="G752" s="3" t="s">
        <v>42</v>
      </c>
      <c r="H752" s="3" t="s">
        <v>29</v>
      </c>
      <c r="I752" s="3" t="s">
        <v>22</v>
      </c>
      <c r="J752" s="3" t="s">
        <v>30</v>
      </c>
      <c r="K752" s="3">
        <v>21</v>
      </c>
      <c r="L752" s="3">
        <v>4</v>
      </c>
      <c r="M752" s="3">
        <v>5868</v>
      </c>
      <c r="N752" s="3">
        <v>23472</v>
      </c>
      <c r="O752" s="3">
        <v>23472</v>
      </c>
      <c r="P752" s="3" t="s">
        <v>51</v>
      </c>
      <c r="Q752" s="3">
        <v>0</v>
      </c>
      <c r="R752" s="3" t="str">
        <f t="shared" si="11"/>
        <v>Not Cancelled</v>
      </c>
      <c r="S752" s="3" t="s">
        <v>31</v>
      </c>
    </row>
    <row r="753" spans="1:19" x14ac:dyDescent="0.35">
      <c r="A753" s="3">
        <v>1752</v>
      </c>
      <c r="B753" s="3" t="s">
        <v>677</v>
      </c>
      <c r="C753" s="4">
        <v>45420</v>
      </c>
      <c r="D753" s="3" t="s">
        <v>78</v>
      </c>
      <c r="E753" s="4">
        <v>45470</v>
      </c>
      <c r="F753" s="4">
        <v>45475</v>
      </c>
      <c r="G753" s="3" t="s">
        <v>45</v>
      </c>
      <c r="H753" s="3" t="s">
        <v>29</v>
      </c>
      <c r="I753" s="3" t="s">
        <v>39</v>
      </c>
      <c r="J753" s="3" t="s">
        <v>46</v>
      </c>
      <c r="K753" s="3">
        <v>50</v>
      </c>
      <c r="L753" s="3">
        <v>5</v>
      </c>
      <c r="M753" s="3">
        <v>7749</v>
      </c>
      <c r="N753" s="3">
        <v>38745</v>
      </c>
      <c r="O753" s="3">
        <v>0</v>
      </c>
      <c r="P753" s="3" t="s">
        <v>24</v>
      </c>
      <c r="Q753" s="3">
        <v>1</v>
      </c>
      <c r="R753" s="3" t="str">
        <f t="shared" si="11"/>
        <v>Cancelled</v>
      </c>
      <c r="S753" s="3" t="s">
        <v>31</v>
      </c>
    </row>
    <row r="754" spans="1:19" x14ac:dyDescent="0.35">
      <c r="A754" s="3">
        <v>1753</v>
      </c>
      <c r="B754" s="3" t="s">
        <v>632</v>
      </c>
      <c r="C754" s="4">
        <v>45655</v>
      </c>
      <c r="D754" s="3" t="s">
        <v>209</v>
      </c>
      <c r="E754" s="4">
        <v>45662</v>
      </c>
      <c r="F754" s="4">
        <v>45664</v>
      </c>
      <c r="G754" s="3" t="s">
        <v>28</v>
      </c>
      <c r="H754" s="3" t="s">
        <v>38</v>
      </c>
      <c r="I754" s="3" t="s">
        <v>39</v>
      </c>
      <c r="J754" s="3" t="s">
        <v>46</v>
      </c>
      <c r="K754" s="3">
        <v>7</v>
      </c>
      <c r="L754" s="3">
        <v>2</v>
      </c>
      <c r="M754" s="3">
        <v>3816</v>
      </c>
      <c r="N754" s="3">
        <v>7632</v>
      </c>
      <c r="O754" s="3">
        <v>7632</v>
      </c>
      <c r="P754" s="3" t="s">
        <v>51</v>
      </c>
      <c r="Q754" s="3">
        <v>0</v>
      </c>
      <c r="R754" s="3" t="str">
        <f t="shared" si="11"/>
        <v>Not Cancelled</v>
      </c>
      <c r="S754" s="3" t="s">
        <v>25</v>
      </c>
    </row>
    <row r="755" spans="1:19" x14ac:dyDescent="0.35">
      <c r="A755" s="3">
        <v>1754</v>
      </c>
      <c r="B755" s="3" t="s">
        <v>377</v>
      </c>
      <c r="C755" s="4">
        <v>45552</v>
      </c>
      <c r="D755" s="3" t="s">
        <v>20</v>
      </c>
      <c r="E755" s="4">
        <v>45555</v>
      </c>
      <c r="F755" s="4">
        <v>45560</v>
      </c>
      <c r="G755" s="3" t="s">
        <v>45</v>
      </c>
      <c r="H755" s="3" t="s">
        <v>29</v>
      </c>
      <c r="I755" s="3" t="s">
        <v>39</v>
      </c>
      <c r="J755" s="3" t="s">
        <v>30</v>
      </c>
      <c r="K755" s="3">
        <v>3</v>
      </c>
      <c r="L755" s="3">
        <v>5</v>
      </c>
      <c r="M755" s="3">
        <v>3696</v>
      </c>
      <c r="N755" s="3">
        <v>18480</v>
      </c>
      <c r="O755" s="3">
        <v>18480</v>
      </c>
      <c r="P755" s="3" t="s">
        <v>24</v>
      </c>
      <c r="Q755" s="3">
        <v>0</v>
      </c>
      <c r="R755" s="3" t="str">
        <f t="shared" si="11"/>
        <v>Not Cancelled</v>
      </c>
      <c r="S755" s="3" t="s">
        <v>25</v>
      </c>
    </row>
    <row r="756" spans="1:19" x14ac:dyDescent="0.35">
      <c r="A756" s="3">
        <v>1755</v>
      </c>
      <c r="B756" s="3" t="s">
        <v>678</v>
      </c>
      <c r="C756" s="4">
        <v>45294</v>
      </c>
      <c r="D756" s="3" t="s">
        <v>64</v>
      </c>
      <c r="E756" s="4">
        <v>45339</v>
      </c>
      <c r="F756" s="4">
        <v>45340</v>
      </c>
      <c r="G756" s="3" t="s">
        <v>34</v>
      </c>
      <c r="H756" s="3" t="s">
        <v>38</v>
      </c>
      <c r="I756" s="3" t="s">
        <v>22</v>
      </c>
      <c r="J756" s="3" t="s">
        <v>23</v>
      </c>
      <c r="K756" s="3">
        <v>45</v>
      </c>
      <c r="L756" s="3">
        <v>1</v>
      </c>
      <c r="M756" s="3">
        <v>5670</v>
      </c>
      <c r="N756" s="3">
        <v>5670</v>
      </c>
      <c r="O756" s="3">
        <v>5670</v>
      </c>
      <c r="P756" s="3" t="s">
        <v>51</v>
      </c>
      <c r="Q756" s="3">
        <v>0</v>
      </c>
      <c r="R756" s="3" t="str">
        <f t="shared" si="11"/>
        <v>Not Cancelled</v>
      </c>
      <c r="S756" s="3" t="s">
        <v>31</v>
      </c>
    </row>
    <row r="757" spans="1:19" x14ac:dyDescent="0.35">
      <c r="A757" s="3">
        <v>1756</v>
      </c>
      <c r="B757" s="3" t="s">
        <v>679</v>
      </c>
      <c r="C757" s="4">
        <v>45395</v>
      </c>
      <c r="D757" s="3" t="s">
        <v>148</v>
      </c>
      <c r="E757" s="4">
        <v>45442</v>
      </c>
      <c r="F757" s="4">
        <v>45443</v>
      </c>
      <c r="G757" s="3" t="s">
        <v>34</v>
      </c>
      <c r="H757" s="3" t="s">
        <v>60</v>
      </c>
      <c r="I757" s="3" t="s">
        <v>22</v>
      </c>
      <c r="J757" s="3" t="s">
        <v>23</v>
      </c>
      <c r="K757" s="3">
        <v>47</v>
      </c>
      <c r="L757" s="3">
        <v>1</v>
      </c>
      <c r="M757" s="3">
        <v>3929</v>
      </c>
      <c r="N757" s="3">
        <v>3929</v>
      </c>
      <c r="O757" s="3">
        <v>3929</v>
      </c>
      <c r="P757" s="3" t="s">
        <v>51</v>
      </c>
      <c r="Q757" s="3">
        <v>0</v>
      </c>
      <c r="R757" s="3" t="str">
        <f t="shared" si="11"/>
        <v>Not Cancelled</v>
      </c>
      <c r="S757" s="3" t="s">
        <v>31</v>
      </c>
    </row>
    <row r="758" spans="1:19" x14ac:dyDescent="0.35">
      <c r="A758" s="3">
        <v>1757</v>
      </c>
      <c r="B758" s="3" t="s">
        <v>455</v>
      </c>
      <c r="C758" s="4">
        <v>45515</v>
      </c>
      <c r="D758" s="3" t="s">
        <v>157</v>
      </c>
      <c r="E758" s="4">
        <v>45535</v>
      </c>
      <c r="F758" s="4">
        <v>45536</v>
      </c>
      <c r="G758" s="3" t="s">
        <v>34</v>
      </c>
      <c r="H758" s="3" t="s">
        <v>35</v>
      </c>
      <c r="I758" s="3" t="s">
        <v>22</v>
      </c>
      <c r="J758" s="3" t="s">
        <v>30</v>
      </c>
      <c r="K758" s="3">
        <v>20</v>
      </c>
      <c r="L758" s="3">
        <v>1</v>
      </c>
      <c r="M758" s="3">
        <v>2855</v>
      </c>
      <c r="N758" s="3">
        <v>2855</v>
      </c>
      <c r="O758" s="3">
        <v>0</v>
      </c>
      <c r="P758" s="3" t="s">
        <v>24</v>
      </c>
      <c r="Q758" s="3">
        <v>1</v>
      </c>
      <c r="R758" s="3" t="str">
        <f t="shared" si="11"/>
        <v>Cancelled</v>
      </c>
      <c r="S758" s="3" t="s">
        <v>31</v>
      </c>
    </row>
    <row r="759" spans="1:19" x14ac:dyDescent="0.35">
      <c r="A759" s="3">
        <v>1758</v>
      </c>
      <c r="B759" s="3" t="s">
        <v>221</v>
      </c>
      <c r="C759" s="4">
        <v>45611</v>
      </c>
      <c r="D759" s="3" t="s">
        <v>109</v>
      </c>
      <c r="E759" s="4">
        <v>45630</v>
      </c>
      <c r="F759" s="4">
        <v>45633</v>
      </c>
      <c r="G759" s="3" t="s">
        <v>20</v>
      </c>
      <c r="H759" s="3" t="s">
        <v>21</v>
      </c>
      <c r="I759" s="3" t="s">
        <v>22</v>
      </c>
      <c r="J759" s="3" t="s">
        <v>23</v>
      </c>
      <c r="K759" s="3">
        <v>19</v>
      </c>
      <c r="L759" s="3">
        <v>3</v>
      </c>
      <c r="M759" s="3">
        <v>6734</v>
      </c>
      <c r="N759" s="3">
        <v>20202</v>
      </c>
      <c r="O759" s="3">
        <v>20202</v>
      </c>
      <c r="P759" s="3" t="s">
        <v>51</v>
      </c>
      <c r="Q759" s="3">
        <v>0</v>
      </c>
      <c r="R759" s="3" t="str">
        <f t="shared" si="11"/>
        <v>Not Cancelled</v>
      </c>
      <c r="S759" s="3" t="s">
        <v>25</v>
      </c>
    </row>
    <row r="760" spans="1:19" x14ac:dyDescent="0.35">
      <c r="A760" s="3">
        <v>1759</v>
      </c>
      <c r="B760" s="3" t="s">
        <v>680</v>
      </c>
      <c r="C760" s="4">
        <v>45653</v>
      </c>
      <c r="D760" s="3" t="s">
        <v>91</v>
      </c>
      <c r="E760" s="4">
        <v>45688</v>
      </c>
      <c r="F760" s="4">
        <v>45691</v>
      </c>
      <c r="G760" s="3" t="s">
        <v>20</v>
      </c>
      <c r="H760" s="3" t="s">
        <v>38</v>
      </c>
      <c r="I760" s="3" t="s">
        <v>39</v>
      </c>
      <c r="J760" s="3" t="s">
        <v>23</v>
      </c>
      <c r="K760" s="3">
        <v>35</v>
      </c>
      <c r="L760" s="3">
        <v>3</v>
      </c>
      <c r="M760" s="3">
        <v>4026</v>
      </c>
      <c r="N760" s="3">
        <v>12078</v>
      </c>
      <c r="O760" s="3">
        <v>12078</v>
      </c>
      <c r="P760" s="3" t="s">
        <v>51</v>
      </c>
      <c r="Q760" s="3">
        <v>0</v>
      </c>
      <c r="R760" s="3" t="str">
        <f t="shared" si="11"/>
        <v>Not Cancelled</v>
      </c>
      <c r="S760" s="3" t="s">
        <v>31</v>
      </c>
    </row>
    <row r="761" spans="1:19" x14ac:dyDescent="0.35">
      <c r="A761" s="3">
        <v>1760</v>
      </c>
      <c r="B761" s="3" t="s">
        <v>515</v>
      </c>
      <c r="C761" s="4">
        <v>45645</v>
      </c>
      <c r="D761" s="3" t="s">
        <v>42</v>
      </c>
      <c r="E761" s="4">
        <v>45649</v>
      </c>
      <c r="F761" s="4">
        <v>45652</v>
      </c>
      <c r="G761" s="3" t="s">
        <v>20</v>
      </c>
      <c r="H761" s="3" t="s">
        <v>29</v>
      </c>
      <c r="I761" s="3" t="s">
        <v>22</v>
      </c>
      <c r="J761" s="3" t="s">
        <v>30</v>
      </c>
      <c r="K761" s="3">
        <v>4</v>
      </c>
      <c r="L761" s="3">
        <v>3</v>
      </c>
      <c r="M761" s="3">
        <v>6397</v>
      </c>
      <c r="N761" s="3">
        <v>19191</v>
      </c>
      <c r="O761" s="3">
        <v>0</v>
      </c>
      <c r="P761" s="3" t="s">
        <v>51</v>
      </c>
      <c r="Q761" s="3">
        <v>1</v>
      </c>
      <c r="R761" s="3" t="str">
        <f t="shared" si="11"/>
        <v>Cancelled</v>
      </c>
      <c r="S761" s="3" t="s">
        <v>25</v>
      </c>
    </row>
    <row r="762" spans="1:19" x14ac:dyDescent="0.35">
      <c r="A762" s="3">
        <v>1761</v>
      </c>
      <c r="B762" s="3" t="s">
        <v>681</v>
      </c>
      <c r="C762" s="4">
        <v>45301</v>
      </c>
      <c r="D762" s="3" t="s">
        <v>45</v>
      </c>
      <c r="E762" s="4">
        <v>45306</v>
      </c>
      <c r="F762" s="4">
        <v>45311</v>
      </c>
      <c r="G762" s="3" t="s">
        <v>45</v>
      </c>
      <c r="H762" s="3" t="s">
        <v>38</v>
      </c>
      <c r="I762" s="3" t="s">
        <v>39</v>
      </c>
      <c r="J762" s="3" t="s">
        <v>30</v>
      </c>
      <c r="K762" s="3">
        <v>5</v>
      </c>
      <c r="L762" s="3">
        <v>5</v>
      </c>
      <c r="M762" s="3">
        <v>7793</v>
      </c>
      <c r="N762" s="3">
        <v>38965</v>
      </c>
      <c r="O762" s="3">
        <v>38965</v>
      </c>
      <c r="P762" s="3" t="s">
        <v>51</v>
      </c>
      <c r="Q762" s="3">
        <v>0</v>
      </c>
      <c r="R762" s="3" t="str">
        <f t="shared" si="11"/>
        <v>Not Cancelled</v>
      </c>
      <c r="S762" s="3" t="s">
        <v>31</v>
      </c>
    </row>
    <row r="763" spans="1:19" x14ac:dyDescent="0.35">
      <c r="A763" s="3">
        <v>1762</v>
      </c>
      <c r="B763" s="3" t="s">
        <v>682</v>
      </c>
      <c r="C763" s="4">
        <v>45593</v>
      </c>
      <c r="D763" s="3" t="s">
        <v>34</v>
      </c>
      <c r="E763" s="4">
        <v>45594</v>
      </c>
      <c r="F763" s="4">
        <v>45597</v>
      </c>
      <c r="G763" s="3" t="s">
        <v>20</v>
      </c>
      <c r="H763" s="3" t="s">
        <v>38</v>
      </c>
      <c r="I763" s="3" t="s">
        <v>22</v>
      </c>
      <c r="J763" s="3" t="s">
        <v>30</v>
      </c>
      <c r="K763" s="3">
        <v>1</v>
      </c>
      <c r="L763" s="3">
        <v>3</v>
      </c>
      <c r="M763" s="3">
        <v>2528</v>
      </c>
      <c r="N763" s="3">
        <v>7584</v>
      </c>
      <c r="O763" s="3">
        <v>7584</v>
      </c>
      <c r="P763" s="3" t="s">
        <v>51</v>
      </c>
      <c r="Q763" s="3">
        <v>0</v>
      </c>
      <c r="R763" s="3" t="str">
        <f t="shared" si="11"/>
        <v>Not Cancelled</v>
      </c>
      <c r="S763" s="3" t="s">
        <v>25</v>
      </c>
    </row>
    <row r="764" spans="1:19" x14ac:dyDescent="0.35">
      <c r="A764" s="3">
        <v>1763</v>
      </c>
      <c r="B764" s="3" t="s">
        <v>683</v>
      </c>
      <c r="C764" s="4">
        <v>45522</v>
      </c>
      <c r="D764" s="3" t="s">
        <v>42</v>
      </c>
      <c r="E764" s="4">
        <v>45526</v>
      </c>
      <c r="F764" s="4">
        <v>45528</v>
      </c>
      <c r="G764" s="3" t="s">
        <v>28</v>
      </c>
      <c r="H764" s="3" t="s">
        <v>29</v>
      </c>
      <c r="I764" s="3" t="s">
        <v>22</v>
      </c>
      <c r="J764" s="3" t="s">
        <v>23</v>
      </c>
      <c r="K764" s="3">
        <v>4</v>
      </c>
      <c r="L764" s="3">
        <v>2</v>
      </c>
      <c r="M764" s="3">
        <v>7526</v>
      </c>
      <c r="N764" s="3">
        <v>15052</v>
      </c>
      <c r="O764" s="3">
        <v>15052</v>
      </c>
      <c r="P764" s="3" t="s">
        <v>24</v>
      </c>
      <c r="Q764" s="3">
        <v>0</v>
      </c>
      <c r="R764" s="3" t="str">
        <f t="shared" si="11"/>
        <v>Not Cancelled</v>
      </c>
      <c r="S764" s="3" t="s">
        <v>25</v>
      </c>
    </row>
    <row r="765" spans="1:19" x14ac:dyDescent="0.35">
      <c r="A765" s="3">
        <v>1764</v>
      </c>
      <c r="B765" s="3" t="s">
        <v>684</v>
      </c>
      <c r="C765" s="4">
        <v>45510</v>
      </c>
      <c r="D765" s="3" t="s">
        <v>102</v>
      </c>
      <c r="E765" s="4">
        <v>45522</v>
      </c>
      <c r="F765" s="4">
        <v>45523</v>
      </c>
      <c r="G765" s="3" t="s">
        <v>34</v>
      </c>
      <c r="H765" s="3" t="s">
        <v>29</v>
      </c>
      <c r="I765" s="3" t="s">
        <v>22</v>
      </c>
      <c r="J765" s="3" t="s">
        <v>30</v>
      </c>
      <c r="K765" s="3">
        <v>12</v>
      </c>
      <c r="L765" s="3">
        <v>1</v>
      </c>
      <c r="M765" s="3">
        <v>3513</v>
      </c>
      <c r="N765" s="3">
        <v>3513</v>
      </c>
      <c r="O765" s="3">
        <v>0</v>
      </c>
      <c r="P765" s="3" t="s">
        <v>51</v>
      </c>
      <c r="Q765" s="3">
        <v>1</v>
      </c>
      <c r="R765" s="3" t="str">
        <f t="shared" si="11"/>
        <v>Cancelled</v>
      </c>
      <c r="S765" s="3" t="s">
        <v>31</v>
      </c>
    </row>
    <row r="766" spans="1:19" x14ac:dyDescent="0.35">
      <c r="A766" s="3">
        <v>1765</v>
      </c>
      <c r="B766" s="3" t="s">
        <v>685</v>
      </c>
      <c r="C766" s="4">
        <v>45357</v>
      </c>
      <c r="D766" s="3" t="s">
        <v>185</v>
      </c>
      <c r="E766" s="4">
        <v>45384</v>
      </c>
      <c r="F766" s="4">
        <v>45389</v>
      </c>
      <c r="G766" s="3" t="s">
        <v>45</v>
      </c>
      <c r="H766" s="3" t="s">
        <v>35</v>
      </c>
      <c r="I766" s="3" t="s">
        <v>22</v>
      </c>
      <c r="J766" s="3" t="s">
        <v>23</v>
      </c>
      <c r="K766" s="3">
        <v>27</v>
      </c>
      <c r="L766" s="3">
        <v>5</v>
      </c>
      <c r="M766" s="3">
        <v>5202</v>
      </c>
      <c r="N766" s="3">
        <v>26010</v>
      </c>
      <c r="O766" s="3">
        <v>0</v>
      </c>
      <c r="P766" s="3" t="s">
        <v>24</v>
      </c>
      <c r="Q766" s="3">
        <v>1</v>
      </c>
      <c r="R766" s="3" t="str">
        <f t="shared" si="11"/>
        <v>Cancelled</v>
      </c>
      <c r="S766" s="3" t="s">
        <v>25</v>
      </c>
    </row>
    <row r="767" spans="1:19" x14ac:dyDescent="0.35">
      <c r="A767" s="3">
        <v>1766</v>
      </c>
      <c r="B767" s="3" t="s">
        <v>567</v>
      </c>
      <c r="C767" s="4">
        <v>45403</v>
      </c>
      <c r="D767" s="3" t="s">
        <v>94</v>
      </c>
      <c r="E767" s="4">
        <v>45459</v>
      </c>
      <c r="F767" s="4">
        <v>45460</v>
      </c>
      <c r="G767" s="3" t="s">
        <v>34</v>
      </c>
      <c r="H767" s="3" t="s">
        <v>21</v>
      </c>
      <c r="I767" s="3" t="s">
        <v>39</v>
      </c>
      <c r="J767" s="3" t="s">
        <v>46</v>
      </c>
      <c r="K767" s="3">
        <v>56</v>
      </c>
      <c r="L767" s="3">
        <v>1</v>
      </c>
      <c r="M767" s="3">
        <v>3327</v>
      </c>
      <c r="N767" s="3">
        <v>3327</v>
      </c>
      <c r="O767" s="3">
        <v>0</v>
      </c>
      <c r="P767" s="3" t="s">
        <v>51</v>
      </c>
      <c r="Q767" s="3">
        <v>1</v>
      </c>
      <c r="R767" s="3" t="str">
        <f t="shared" si="11"/>
        <v>Cancelled</v>
      </c>
      <c r="S767" s="3" t="s">
        <v>31</v>
      </c>
    </row>
    <row r="768" spans="1:19" x14ac:dyDescent="0.35">
      <c r="A768" s="3">
        <v>1767</v>
      </c>
      <c r="B768" s="3" t="s">
        <v>686</v>
      </c>
      <c r="C768" s="4">
        <v>45304</v>
      </c>
      <c r="D768" s="3" t="s">
        <v>140</v>
      </c>
      <c r="E768" s="4">
        <v>45346</v>
      </c>
      <c r="F768" s="4">
        <v>45349</v>
      </c>
      <c r="G768" s="3" t="s">
        <v>20</v>
      </c>
      <c r="H768" s="3" t="s">
        <v>35</v>
      </c>
      <c r="I768" s="3" t="s">
        <v>39</v>
      </c>
      <c r="J768" s="3" t="s">
        <v>46</v>
      </c>
      <c r="K768" s="3">
        <v>42</v>
      </c>
      <c r="L768" s="3">
        <v>3</v>
      </c>
      <c r="M768" s="3">
        <v>6946</v>
      </c>
      <c r="N768" s="3">
        <v>20838</v>
      </c>
      <c r="O768" s="3">
        <v>0</v>
      </c>
      <c r="P768" s="3" t="s">
        <v>51</v>
      </c>
      <c r="Q768" s="3">
        <v>1</v>
      </c>
      <c r="R768" s="3" t="str">
        <f t="shared" si="11"/>
        <v>Cancelled</v>
      </c>
      <c r="S768" s="3" t="s">
        <v>25</v>
      </c>
    </row>
    <row r="769" spans="1:19" x14ac:dyDescent="0.35">
      <c r="A769" s="3">
        <v>1768</v>
      </c>
      <c r="B769" s="3" t="s">
        <v>687</v>
      </c>
      <c r="C769" s="4">
        <v>45377</v>
      </c>
      <c r="D769" s="3" t="s">
        <v>111</v>
      </c>
      <c r="E769" s="4">
        <v>45400</v>
      </c>
      <c r="F769" s="4">
        <v>45405</v>
      </c>
      <c r="G769" s="3" t="s">
        <v>45</v>
      </c>
      <c r="H769" s="3" t="s">
        <v>35</v>
      </c>
      <c r="I769" s="3" t="s">
        <v>39</v>
      </c>
      <c r="J769" s="3" t="s">
        <v>30</v>
      </c>
      <c r="K769" s="3">
        <v>23</v>
      </c>
      <c r="L769" s="3">
        <v>5</v>
      </c>
      <c r="M769" s="3">
        <v>4524</v>
      </c>
      <c r="N769" s="3">
        <v>22620</v>
      </c>
      <c r="O769" s="3">
        <v>0</v>
      </c>
      <c r="P769" s="3" t="s">
        <v>24</v>
      </c>
      <c r="Q769" s="3">
        <v>1</v>
      </c>
      <c r="R769" s="3" t="str">
        <f t="shared" si="11"/>
        <v>Cancelled</v>
      </c>
      <c r="S769" s="3" t="s">
        <v>25</v>
      </c>
    </row>
    <row r="770" spans="1:19" x14ac:dyDescent="0.35">
      <c r="A770" s="3">
        <v>1769</v>
      </c>
      <c r="B770" s="3" t="s">
        <v>688</v>
      </c>
      <c r="C770" s="4">
        <v>45525</v>
      </c>
      <c r="D770" s="3" t="s">
        <v>107</v>
      </c>
      <c r="E770" s="4">
        <v>45550</v>
      </c>
      <c r="F770" s="4">
        <v>45554</v>
      </c>
      <c r="G770" s="3" t="s">
        <v>42</v>
      </c>
      <c r="H770" s="3" t="s">
        <v>29</v>
      </c>
      <c r="I770" s="3" t="s">
        <v>39</v>
      </c>
      <c r="J770" s="3" t="s">
        <v>23</v>
      </c>
      <c r="K770" s="3">
        <v>25</v>
      </c>
      <c r="L770" s="3">
        <v>4</v>
      </c>
      <c r="M770" s="3">
        <v>2798</v>
      </c>
      <c r="N770" s="3">
        <v>11192</v>
      </c>
      <c r="O770" s="3">
        <v>11192</v>
      </c>
      <c r="P770" s="3" t="s">
        <v>51</v>
      </c>
      <c r="Q770" s="3">
        <v>0</v>
      </c>
      <c r="R770" s="3" t="str">
        <f t="shared" si="11"/>
        <v>Not Cancelled</v>
      </c>
      <c r="S770" s="3" t="s">
        <v>31</v>
      </c>
    </row>
    <row r="771" spans="1:19" x14ac:dyDescent="0.35">
      <c r="A771" s="3">
        <v>1770</v>
      </c>
      <c r="B771" s="3" t="s">
        <v>689</v>
      </c>
      <c r="C771" s="4">
        <v>45381</v>
      </c>
      <c r="D771" s="3" t="s">
        <v>175</v>
      </c>
      <c r="E771" s="4">
        <v>45402</v>
      </c>
      <c r="F771" s="4">
        <v>45404</v>
      </c>
      <c r="G771" s="3" t="s">
        <v>28</v>
      </c>
      <c r="H771" s="3" t="s">
        <v>29</v>
      </c>
      <c r="I771" s="3" t="s">
        <v>39</v>
      </c>
      <c r="J771" s="3" t="s">
        <v>23</v>
      </c>
      <c r="K771" s="3">
        <v>21</v>
      </c>
      <c r="L771" s="3">
        <v>2</v>
      </c>
      <c r="M771" s="3">
        <v>8339</v>
      </c>
      <c r="N771" s="3">
        <v>16678</v>
      </c>
      <c r="O771" s="3">
        <v>16678</v>
      </c>
      <c r="P771" s="3" t="s">
        <v>51</v>
      </c>
      <c r="Q771" s="3">
        <v>0</v>
      </c>
      <c r="R771" s="3" t="str">
        <f t="shared" ref="R771:R834" si="12">IF(Q771=0,"Not Cancelled","Cancelled")</f>
        <v>Not Cancelled</v>
      </c>
      <c r="S771" s="3" t="s">
        <v>25</v>
      </c>
    </row>
    <row r="772" spans="1:19" x14ac:dyDescent="0.35">
      <c r="A772" s="3">
        <v>1771</v>
      </c>
      <c r="B772" s="3" t="s">
        <v>690</v>
      </c>
      <c r="C772" s="4">
        <v>45605</v>
      </c>
      <c r="D772" s="3" t="s">
        <v>237</v>
      </c>
      <c r="E772" s="4">
        <v>45663</v>
      </c>
      <c r="F772" s="4">
        <v>45666</v>
      </c>
      <c r="G772" s="3" t="s">
        <v>20</v>
      </c>
      <c r="H772" s="3" t="s">
        <v>21</v>
      </c>
      <c r="I772" s="3" t="s">
        <v>39</v>
      </c>
      <c r="J772" s="3" t="s">
        <v>23</v>
      </c>
      <c r="K772" s="3">
        <v>58</v>
      </c>
      <c r="L772" s="3">
        <v>3</v>
      </c>
      <c r="M772" s="3">
        <v>4365</v>
      </c>
      <c r="N772" s="3">
        <v>13095</v>
      </c>
      <c r="O772" s="3">
        <v>0</v>
      </c>
      <c r="P772" s="3" t="s">
        <v>24</v>
      </c>
      <c r="Q772" s="3">
        <v>1</v>
      </c>
      <c r="R772" s="3" t="str">
        <f t="shared" si="12"/>
        <v>Cancelled</v>
      </c>
      <c r="S772" s="3" t="s">
        <v>31</v>
      </c>
    </row>
    <row r="773" spans="1:19" x14ac:dyDescent="0.35">
      <c r="A773" s="3">
        <v>1772</v>
      </c>
      <c r="B773" s="3" t="s">
        <v>227</v>
      </c>
      <c r="C773" s="4">
        <v>45345</v>
      </c>
      <c r="D773" s="3" t="s">
        <v>226</v>
      </c>
      <c r="E773" s="4">
        <v>45397</v>
      </c>
      <c r="F773" s="4">
        <v>45400</v>
      </c>
      <c r="G773" s="3" t="s">
        <v>20</v>
      </c>
      <c r="H773" s="3" t="s">
        <v>38</v>
      </c>
      <c r="I773" s="3" t="s">
        <v>39</v>
      </c>
      <c r="J773" s="3" t="s">
        <v>30</v>
      </c>
      <c r="K773" s="3">
        <v>52</v>
      </c>
      <c r="L773" s="3">
        <v>3</v>
      </c>
      <c r="M773" s="3">
        <v>6516</v>
      </c>
      <c r="N773" s="3">
        <v>19548</v>
      </c>
      <c r="O773" s="3">
        <v>0</v>
      </c>
      <c r="P773" s="3" t="s">
        <v>24</v>
      </c>
      <c r="Q773" s="3">
        <v>1</v>
      </c>
      <c r="R773" s="3" t="str">
        <f t="shared" si="12"/>
        <v>Cancelled</v>
      </c>
      <c r="S773" s="3" t="s">
        <v>31</v>
      </c>
    </row>
    <row r="774" spans="1:19" x14ac:dyDescent="0.35">
      <c r="A774" s="3">
        <v>1773</v>
      </c>
      <c r="B774" s="3" t="s">
        <v>691</v>
      </c>
      <c r="C774" s="4">
        <v>45303</v>
      </c>
      <c r="D774" s="3" t="s">
        <v>159</v>
      </c>
      <c r="E774" s="4">
        <v>45327</v>
      </c>
      <c r="F774" s="4">
        <v>45329</v>
      </c>
      <c r="G774" s="3" t="s">
        <v>28</v>
      </c>
      <c r="H774" s="3" t="s">
        <v>35</v>
      </c>
      <c r="I774" s="3" t="s">
        <v>22</v>
      </c>
      <c r="J774" s="3" t="s">
        <v>23</v>
      </c>
      <c r="K774" s="3">
        <v>24</v>
      </c>
      <c r="L774" s="3">
        <v>2</v>
      </c>
      <c r="M774" s="3">
        <v>7811</v>
      </c>
      <c r="N774" s="3">
        <v>15622</v>
      </c>
      <c r="O774" s="3">
        <v>15622</v>
      </c>
      <c r="P774" s="3" t="s">
        <v>51</v>
      </c>
      <c r="Q774" s="3">
        <v>0</v>
      </c>
      <c r="R774" s="3" t="str">
        <f t="shared" si="12"/>
        <v>Not Cancelled</v>
      </c>
      <c r="S774" s="3" t="s">
        <v>31</v>
      </c>
    </row>
    <row r="775" spans="1:19" x14ac:dyDescent="0.35">
      <c r="A775" s="3">
        <v>1774</v>
      </c>
      <c r="B775" s="3" t="s">
        <v>232</v>
      </c>
      <c r="C775" s="4">
        <v>45500</v>
      </c>
      <c r="D775" s="3" t="s">
        <v>107</v>
      </c>
      <c r="E775" s="4">
        <v>45525</v>
      </c>
      <c r="F775" s="4">
        <v>45527</v>
      </c>
      <c r="G775" s="3" t="s">
        <v>28</v>
      </c>
      <c r="H775" s="3" t="s">
        <v>21</v>
      </c>
      <c r="I775" s="3" t="s">
        <v>39</v>
      </c>
      <c r="J775" s="3" t="s">
        <v>23</v>
      </c>
      <c r="K775" s="3">
        <v>25</v>
      </c>
      <c r="L775" s="3">
        <v>2</v>
      </c>
      <c r="M775" s="3">
        <v>8291</v>
      </c>
      <c r="N775" s="3">
        <v>16582</v>
      </c>
      <c r="O775" s="3">
        <v>16582</v>
      </c>
      <c r="P775" s="3" t="s">
        <v>24</v>
      </c>
      <c r="Q775" s="3">
        <v>0</v>
      </c>
      <c r="R775" s="3" t="str">
        <f t="shared" si="12"/>
        <v>Not Cancelled</v>
      </c>
      <c r="S775" s="3" t="s">
        <v>25</v>
      </c>
    </row>
    <row r="776" spans="1:19" x14ac:dyDescent="0.35">
      <c r="A776" s="3">
        <v>1775</v>
      </c>
      <c r="B776" s="3" t="s">
        <v>692</v>
      </c>
      <c r="C776" s="4">
        <v>45305</v>
      </c>
      <c r="D776" s="3" t="s">
        <v>64</v>
      </c>
      <c r="E776" s="4">
        <v>45350</v>
      </c>
      <c r="F776" s="4">
        <v>45354</v>
      </c>
      <c r="G776" s="3" t="s">
        <v>42</v>
      </c>
      <c r="H776" s="3" t="s">
        <v>35</v>
      </c>
      <c r="I776" s="3" t="s">
        <v>22</v>
      </c>
      <c r="J776" s="3" t="s">
        <v>23</v>
      </c>
      <c r="K776" s="3">
        <v>45</v>
      </c>
      <c r="L776" s="3">
        <v>4</v>
      </c>
      <c r="M776" s="3">
        <v>4611</v>
      </c>
      <c r="N776" s="3">
        <v>18444</v>
      </c>
      <c r="O776" s="3">
        <v>0</v>
      </c>
      <c r="P776" s="3" t="s">
        <v>24</v>
      </c>
      <c r="Q776" s="3">
        <v>1</v>
      </c>
      <c r="R776" s="3" t="str">
        <f t="shared" si="12"/>
        <v>Cancelled</v>
      </c>
      <c r="S776" s="3" t="s">
        <v>25</v>
      </c>
    </row>
    <row r="777" spans="1:19" x14ac:dyDescent="0.35">
      <c r="A777" s="3">
        <v>1776</v>
      </c>
      <c r="B777" s="3" t="s">
        <v>340</v>
      </c>
      <c r="C777" s="4">
        <v>45412</v>
      </c>
      <c r="D777" s="3" t="s">
        <v>113</v>
      </c>
      <c r="E777" s="4">
        <v>45467</v>
      </c>
      <c r="F777" s="4">
        <v>45470</v>
      </c>
      <c r="G777" s="3" t="s">
        <v>20</v>
      </c>
      <c r="H777" s="3" t="s">
        <v>38</v>
      </c>
      <c r="I777" s="3" t="s">
        <v>39</v>
      </c>
      <c r="J777" s="3" t="s">
        <v>46</v>
      </c>
      <c r="K777" s="3">
        <v>55</v>
      </c>
      <c r="L777" s="3">
        <v>3</v>
      </c>
      <c r="M777" s="3">
        <v>3254</v>
      </c>
      <c r="N777" s="3">
        <v>9762</v>
      </c>
      <c r="O777" s="3">
        <v>0</v>
      </c>
      <c r="P777" s="3" t="s">
        <v>24</v>
      </c>
      <c r="Q777" s="3">
        <v>1</v>
      </c>
      <c r="R777" s="3" t="str">
        <f t="shared" si="12"/>
        <v>Cancelled</v>
      </c>
      <c r="S777" s="3" t="s">
        <v>25</v>
      </c>
    </row>
    <row r="778" spans="1:19" x14ac:dyDescent="0.35">
      <c r="A778" s="3">
        <v>1777</v>
      </c>
      <c r="B778" s="3" t="s">
        <v>97</v>
      </c>
      <c r="C778" s="4">
        <v>45311</v>
      </c>
      <c r="D778" s="3" t="s">
        <v>41</v>
      </c>
      <c r="E778" s="4">
        <v>45357</v>
      </c>
      <c r="F778" s="4">
        <v>45360</v>
      </c>
      <c r="G778" s="3" t="s">
        <v>20</v>
      </c>
      <c r="H778" s="3" t="s">
        <v>35</v>
      </c>
      <c r="I778" s="3" t="s">
        <v>22</v>
      </c>
      <c r="J778" s="3" t="s">
        <v>23</v>
      </c>
      <c r="K778" s="3">
        <v>46</v>
      </c>
      <c r="L778" s="3">
        <v>3</v>
      </c>
      <c r="M778" s="3">
        <v>3269</v>
      </c>
      <c r="N778" s="3">
        <v>9807</v>
      </c>
      <c r="O778" s="3">
        <v>9807</v>
      </c>
      <c r="P778" s="3" t="s">
        <v>24</v>
      </c>
      <c r="Q778" s="3">
        <v>0</v>
      </c>
      <c r="R778" s="3" t="str">
        <f t="shared" si="12"/>
        <v>Not Cancelled</v>
      </c>
      <c r="S778" s="3" t="s">
        <v>31</v>
      </c>
    </row>
    <row r="779" spans="1:19" x14ac:dyDescent="0.35">
      <c r="A779" s="3">
        <v>1778</v>
      </c>
      <c r="B779" s="3" t="s">
        <v>291</v>
      </c>
      <c r="C779" s="4">
        <v>45366</v>
      </c>
      <c r="D779" s="3" t="s">
        <v>144</v>
      </c>
      <c r="E779" s="4">
        <v>45398</v>
      </c>
      <c r="F779" s="4">
        <v>45399</v>
      </c>
      <c r="G779" s="3" t="s">
        <v>34</v>
      </c>
      <c r="H779" s="3" t="s">
        <v>60</v>
      </c>
      <c r="I779" s="3" t="s">
        <v>39</v>
      </c>
      <c r="J779" s="3" t="s">
        <v>46</v>
      </c>
      <c r="K779" s="3">
        <v>32</v>
      </c>
      <c r="L779" s="3">
        <v>1</v>
      </c>
      <c r="M779" s="3">
        <v>6235</v>
      </c>
      <c r="N779" s="3">
        <v>6235</v>
      </c>
      <c r="O779" s="3">
        <v>6235</v>
      </c>
      <c r="P779" s="3" t="s">
        <v>51</v>
      </c>
      <c r="Q779" s="3">
        <v>0</v>
      </c>
      <c r="R779" s="3" t="str">
        <f t="shared" si="12"/>
        <v>Not Cancelled</v>
      </c>
      <c r="S779" s="3" t="s">
        <v>31</v>
      </c>
    </row>
    <row r="780" spans="1:19" x14ac:dyDescent="0.35">
      <c r="A780" s="3">
        <v>1779</v>
      </c>
      <c r="B780" s="3" t="s">
        <v>693</v>
      </c>
      <c r="C780" s="4">
        <v>45534</v>
      </c>
      <c r="D780" s="3" t="s">
        <v>113</v>
      </c>
      <c r="E780" s="4">
        <v>45589</v>
      </c>
      <c r="F780" s="4">
        <v>45594</v>
      </c>
      <c r="G780" s="3" t="s">
        <v>45</v>
      </c>
      <c r="H780" s="3" t="s">
        <v>21</v>
      </c>
      <c r="I780" s="3" t="s">
        <v>22</v>
      </c>
      <c r="J780" s="3" t="s">
        <v>23</v>
      </c>
      <c r="K780" s="3">
        <v>55</v>
      </c>
      <c r="L780" s="3">
        <v>5</v>
      </c>
      <c r="M780" s="3">
        <v>3738</v>
      </c>
      <c r="N780" s="3">
        <v>18690</v>
      </c>
      <c r="O780" s="3">
        <v>0</v>
      </c>
      <c r="P780" s="3" t="s">
        <v>51</v>
      </c>
      <c r="Q780" s="3">
        <v>1</v>
      </c>
      <c r="R780" s="3" t="str">
        <f t="shared" si="12"/>
        <v>Cancelled</v>
      </c>
      <c r="S780" s="3" t="s">
        <v>25</v>
      </c>
    </row>
    <row r="781" spans="1:19" x14ac:dyDescent="0.35">
      <c r="A781" s="3">
        <v>1780</v>
      </c>
      <c r="B781" s="3" t="s">
        <v>460</v>
      </c>
      <c r="C781" s="4">
        <v>45514</v>
      </c>
      <c r="D781" s="3" t="s">
        <v>144</v>
      </c>
      <c r="E781" s="4">
        <v>45546</v>
      </c>
      <c r="F781" s="4">
        <v>45551</v>
      </c>
      <c r="G781" s="3" t="s">
        <v>45</v>
      </c>
      <c r="H781" s="3" t="s">
        <v>29</v>
      </c>
      <c r="I781" s="3" t="s">
        <v>39</v>
      </c>
      <c r="J781" s="3" t="s">
        <v>23</v>
      </c>
      <c r="K781" s="3">
        <v>32</v>
      </c>
      <c r="L781" s="3">
        <v>5</v>
      </c>
      <c r="M781" s="3">
        <v>7429</v>
      </c>
      <c r="N781" s="3">
        <v>37145</v>
      </c>
      <c r="O781" s="3">
        <v>37145</v>
      </c>
      <c r="P781" s="3" t="s">
        <v>24</v>
      </c>
      <c r="Q781" s="3">
        <v>0</v>
      </c>
      <c r="R781" s="3" t="str">
        <f t="shared" si="12"/>
        <v>Not Cancelled</v>
      </c>
      <c r="S781" s="3" t="s">
        <v>25</v>
      </c>
    </row>
    <row r="782" spans="1:19" x14ac:dyDescent="0.35">
      <c r="A782" s="3">
        <v>1781</v>
      </c>
      <c r="B782" s="3" t="s">
        <v>390</v>
      </c>
      <c r="C782" s="4">
        <v>45361</v>
      </c>
      <c r="D782" s="3" t="s">
        <v>45</v>
      </c>
      <c r="E782" s="4">
        <v>45366</v>
      </c>
      <c r="F782" s="4">
        <v>45367</v>
      </c>
      <c r="G782" s="3" t="s">
        <v>34</v>
      </c>
      <c r="H782" s="3" t="s">
        <v>35</v>
      </c>
      <c r="I782" s="3" t="s">
        <v>39</v>
      </c>
      <c r="J782" s="3" t="s">
        <v>23</v>
      </c>
      <c r="K782" s="3">
        <v>5</v>
      </c>
      <c r="L782" s="3">
        <v>1</v>
      </c>
      <c r="M782" s="3">
        <v>4713</v>
      </c>
      <c r="N782" s="3">
        <v>4713</v>
      </c>
      <c r="O782" s="3">
        <v>0</v>
      </c>
      <c r="P782" s="3" t="s">
        <v>51</v>
      </c>
      <c r="Q782" s="3">
        <v>1</v>
      </c>
      <c r="R782" s="3" t="str">
        <f t="shared" si="12"/>
        <v>Cancelled</v>
      </c>
      <c r="S782" s="3" t="s">
        <v>31</v>
      </c>
    </row>
    <row r="783" spans="1:19" x14ac:dyDescent="0.35">
      <c r="A783" s="3">
        <v>1782</v>
      </c>
      <c r="B783" s="3" t="s">
        <v>622</v>
      </c>
      <c r="C783" s="4">
        <v>45603</v>
      </c>
      <c r="D783" s="3" t="s">
        <v>146</v>
      </c>
      <c r="E783" s="4">
        <v>45639</v>
      </c>
      <c r="F783" s="4">
        <v>45644</v>
      </c>
      <c r="G783" s="3" t="s">
        <v>45</v>
      </c>
      <c r="H783" s="3" t="s">
        <v>21</v>
      </c>
      <c r="I783" s="3" t="s">
        <v>39</v>
      </c>
      <c r="J783" s="3" t="s">
        <v>46</v>
      </c>
      <c r="K783" s="3">
        <v>36</v>
      </c>
      <c r="L783" s="3">
        <v>5</v>
      </c>
      <c r="M783" s="3">
        <v>4406</v>
      </c>
      <c r="N783" s="3">
        <v>22030</v>
      </c>
      <c r="O783" s="3">
        <v>0</v>
      </c>
      <c r="P783" s="3" t="s">
        <v>24</v>
      </c>
      <c r="Q783" s="3">
        <v>1</v>
      </c>
      <c r="R783" s="3" t="str">
        <f t="shared" si="12"/>
        <v>Cancelled</v>
      </c>
      <c r="S783" s="3" t="s">
        <v>25</v>
      </c>
    </row>
    <row r="784" spans="1:19" x14ac:dyDescent="0.35">
      <c r="A784" s="3">
        <v>1783</v>
      </c>
      <c r="B784" s="3" t="s">
        <v>675</v>
      </c>
      <c r="C784" s="4">
        <v>45502</v>
      </c>
      <c r="D784" s="3" t="s">
        <v>41</v>
      </c>
      <c r="E784" s="4">
        <v>45548</v>
      </c>
      <c r="F784" s="4">
        <v>45550</v>
      </c>
      <c r="G784" s="3" t="s">
        <v>28</v>
      </c>
      <c r="H784" s="3" t="s">
        <v>21</v>
      </c>
      <c r="I784" s="3" t="s">
        <v>39</v>
      </c>
      <c r="J784" s="3" t="s">
        <v>23</v>
      </c>
      <c r="K784" s="3">
        <v>46</v>
      </c>
      <c r="L784" s="3">
        <v>2</v>
      </c>
      <c r="M784" s="3">
        <v>4064</v>
      </c>
      <c r="N784" s="3">
        <v>8128</v>
      </c>
      <c r="O784" s="3">
        <v>0</v>
      </c>
      <c r="P784" s="3" t="s">
        <v>51</v>
      </c>
      <c r="Q784" s="3">
        <v>1</v>
      </c>
      <c r="R784" s="3" t="str">
        <f t="shared" si="12"/>
        <v>Cancelled</v>
      </c>
      <c r="S784" s="3" t="s">
        <v>31</v>
      </c>
    </row>
    <row r="785" spans="1:19" x14ac:dyDescent="0.35">
      <c r="A785" s="3">
        <v>1784</v>
      </c>
      <c r="B785" s="3" t="s">
        <v>694</v>
      </c>
      <c r="C785" s="4">
        <v>45392</v>
      </c>
      <c r="D785" s="3" t="s">
        <v>140</v>
      </c>
      <c r="E785" s="4">
        <v>45434</v>
      </c>
      <c r="F785" s="4">
        <v>45439</v>
      </c>
      <c r="G785" s="3" t="s">
        <v>45</v>
      </c>
      <c r="H785" s="3" t="s">
        <v>35</v>
      </c>
      <c r="I785" s="3" t="s">
        <v>22</v>
      </c>
      <c r="J785" s="3" t="s">
        <v>30</v>
      </c>
      <c r="K785" s="3">
        <v>42</v>
      </c>
      <c r="L785" s="3">
        <v>5</v>
      </c>
      <c r="M785" s="3">
        <v>3718</v>
      </c>
      <c r="N785" s="3">
        <v>18590</v>
      </c>
      <c r="O785" s="3">
        <v>0</v>
      </c>
      <c r="P785" s="3" t="s">
        <v>51</v>
      </c>
      <c r="Q785" s="3">
        <v>1</v>
      </c>
      <c r="R785" s="3" t="str">
        <f t="shared" si="12"/>
        <v>Cancelled</v>
      </c>
      <c r="S785" s="3" t="s">
        <v>25</v>
      </c>
    </row>
    <row r="786" spans="1:19" x14ac:dyDescent="0.35">
      <c r="A786" s="3">
        <v>1785</v>
      </c>
      <c r="B786" s="3" t="s">
        <v>695</v>
      </c>
      <c r="C786" s="4">
        <v>45477</v>
      </c>
      <c r="D786" s="3" t="s">
        <v>211</v>
      </c>
      <c r="E786" s="4">
        <v>45526</v>
      </c>
      <c r="F786" s="4">
        <v>45531</v>
      </c>
      <c r="G786" s="3" t="s">
        <v>45</v>
      </c>
      <c r="H786" s="3" t="s">
        <v>29</v>
      </c>
      <c r="I786" s="3" t="s">
        <v>39</v>
      </c>
      <c r="J786" s="3" t="s">
        <v>23</v>
      </c>
      <c r="K786" s="3">
        <v>49</v>
      </c>
      <c r="L786" s="3">
        <v>5</v>
      </c>
      <c r="M786" s="3">
        <v>7101</v>
      </c>
      <c r="N786" s="3">
        <v>35505</v>
      </c>
      <c r="O786" s="3">
        <v>35505</v>
      </c>
      <c r="P786" s="3" t="s">
        <v>24</v>
      </c>
      <c r="Q786" s="3">
        <v>0</v>
      </c>
      <c r="R786" s="3" t="str">
        <f t="shared" si="12"/>
        <v>Not Cancelled</v>
      </c>
      <c r="S786" s="3" t="s">
        <v>31</v>
      </c>
    </row>
    <row r="787" spans="1:19" x14ac:dyDescent="0.35">
      <c r="A787" s="3">
        <v>1786</v>
      </c>
      <c r="B787" s="3" t="s">
        <v>696</v>
      </c>
      <c r="C787" s="4">
        <v>45423</v>
      </c>
      <c r="D787" s="3" t="s">
        <v>140</v>
      </c>
      <c r="E787" s="4">
        <v>45465</v>
      </c>
      <c r="F787" s="4">
        <v>45466</v>
      </c>
      <c r="G787" s="3" t="s">
        <v>34</v>
      </c>
      <c r="H787" s="3" t="s">
        <v>29</v>
      </c>
      <c r="I787" s="3" t="s">
        <v>39</v>
      </c>
      <c r="J787" s="3" t="s">
        <v>46</v>
      </c>
      <c r="K787" s="3">
        <v>42</v>
      </c>
      <c r="L787" s="3">
        <v>1</v>
      </c>
      <c r="M787" s="3">
        <v>3857</v>
      </c>
      <c r="N787" s="3">
        <v>3857</v>
      </c>
      <c r="O787" s="3">
        <v>0</v>
      </c>
      <c r="P787" s="3" t="s">
        <v>24</v>
      </c>
      <c r="Q787" s="3">
        <v>1</v>
      </c>
      <c r="R787" s="3" t="str">
        <f t="shared" si="12"/>
        <v>Cancelled</v>
      </c>
      <c r="S787" s="3" t="s">
        <v>25</v>
      </c>
    </row>
    <row r="788" spans="1:19" x14ac:dyDescent="0.35">
      <c r="A788" s="3">
        <v>1787</v>
      </c>
      <c r="B788" s="3" t="s">
        <v>492</v>
      </c>
      <c r="C788" s="4">
        <v>45402</v>
      </c>
      <c r="D788" s="3" t="s">
        <v>237</v>
      </c>
      <c r="E788" s="4">
        <v>45460</v>
      </c>
      <c r="F788" s="4">
        <v>45464</v>
      </c>
      <c r="G788" s="3" t="s">
        <v>42</v>
      </c>
      <c r="H788" s="3" t="s">
        <v>35</v>
      </c>
      <c r="I788" s="3" t="s">
        <v>22</v>
      </c>
      <c r="J788" s="3" t="s">
        <v>46</v>
      </c>
      <c r="K788" s="3">
        <v>58</v>
      </c>
      <c r="L788" s="3">
        <v>4</v>
      </c>
      <c r="M788" s="3">
        <v>6339</v>
      </c>
      <c r="N788" s="3">
        <v>25356</v>
      </c>
      <c r="O788" s="3">
        <v>0</v>
      </c>
      <c r="P788" s="3" t="s">
        <v>51</v>
      </c>
      <c r="Q788" s="3">
        <v>1</v>
      </c>
      <c r="R788" s="3" t="str">
        <f t="shared" si="12"/>
        <v>Cancelled</v>
      </c>
      <c r="S788" s="3" t="s">
        <v>25</v>
      </c>
    </row>
    <row r="789" spans="1:19" x14ac:dyDescent="0.35">
      <c r="A789" s="3">
        <v>1788</v>
      </c>
      <c r="B789" s="3" t="s">
        <v>697</v>
      </c>
      <c r="C789" s="4">
        <v>45423</v>
      </c>
      <c r="D789" s="3" t="s">
        <v>153</v>
      </c>
      <c r="E789" s="4">
        <v>45462</v>
      </c>
      <c r="F789" s="4">
        <v>45467</v>
      </c>
      <c r="G789" s="3" t="s">
        <v>45</v>
      </c>
      <c r="H789" s="3" t="s">
        <v>21</v>
      </c>
      <c r="I789" s="3" t="s">
        <v>39</v>
      </c>
      <c r="J789" s="3" t="s">
        <v>30</v>
      </c>
      <c r="K789" s="3">
        <v>39</v>
      </c>
      <c r="L789" s="3">
        <v>5</v>
      </c>
      <c r="M789" s="3">
        <v>3960</v>
      </c>
      <c r="N789" s="3">
        <v>19800</v>
      </c>
      <c r="O789" s="3">
        <v>19800</v>
      </c>
      <c r="P789" s="3" t="s">
        <v>51</v>
      </c>
      <c r="Q789" s="3">
        <v>0</v>
      </c>
      <c r="R789" s="3" t="str">
        <f t="shared" si="12"/>
        <v>Not Cancelled</v>
      </c>
      <c r="S789" s="3" t="s">
        <v>31</v>
      </c>
    </row>
    <row r="790" spans="1:19" x14ac:dyDescent="0.35">
      <c r="A790" s="3">
        <v>1789</v>
      </c>
      <c r="B790" s="3" t="s">
        <v>616</v>
      </c>
      <c r="C790" s="4">
        <v>45311</v>
      </c>
      <c r="D790" s="3" t="s">
        <v>88</v>
      </c>
      <c r="E790" s="4">
        <v>45327</v>
      </c>
      <c r="F790" s="4">
        <v>45332</v>
      </c>
      <c r="G790" s="3" t="s">
        <v>45</v>
      </c>
      <c r="H790" s="3" t="s">
        <v>29</v>
      </c>
      <c r="I790" s="3" t="s">
        <v>22</v>
      </c>
      <c r="J790" s="3" t="s">
        <v>30</v>
      </c>
      <c r="K790" s="3">
        <v>16</v>
      </c>
      <c r="L790" s="3">
        <v>5</v>
      </c>
      <c r="M790" s="3">
        <v>6485</v>
      </c>
      <c r="N790" s="3">
        <v>32425</v>
      </c>
      <c r="O790" s="3">
        <v>0</v>
      </c>
      <c r="P790" s="3" t="s">
        <v>51</v>
      </c>
      <c r="Q790" s="3">
        <v>1</v>
      </c>
      <c r="R790" s="3" t="str">
        <f t="shared" si="12"/>
        <v>Cancelled</v>
      </c>
      <c r="S790" s="3" t="s">
        <v>31</v>
      </c>
    </row>
    <row r="791" spans="1:19" x14ac:dyDescent="0.35">
      <c r="A791" s="3">
        <v>1790</v>
      </c>
      <c r="B791" s="3" t="s">
        <v>698</v>
      </c>
      <c r="C791" s="4">
        <v>45315</v>
      </c>
      <c r="D791" s="3" t="s">
        <v>69</v>
      </c>
      <c r="E791" s="4">
        <v>45348</v>
      </c>
      <c r="F791" s="4">
        <v>45352</v>
      </c>
      <c r="G791" s="3" t="s">
        <v>42</v>
      </c>
      <c r="H791" s="3" t="s">
        <v>35</v>
      </c>
      <c r="I791" s="3" t="s">
        <v>22</v>
      </c>
      <c r="J791" s="3" t="s">
        <v>30</v>
      </c>
      <c r="K791" s="3">
        <v>33</v>
      </c>
      <c r="L791" s="3">
        <v>4</v>
      </c>
      <c r="M791" s="3">
        <v>3916</v>
      </c>
      <c r="N791" s="3">
        <v>15664</v>
      </c>
      <c r="O791" s="3">
        <v>15664</v>
      </c>
      <c r="P791" s="3" t="s">
        <v>24</v>
      </c>
      <c r="Q791" s="3">
        <v>0</v>
      </c>
      <c r="R791" s="3" t="str">
        <f t="shared" si="12"/>
        <v>Not Cancelled</v>
      </c>
      <c r="S791" s="3" t="s">
        <v>31</v>
      </c>
    </row>
    <row r="792" spans="1:19" x14ac:dyDescent="0.35">
      <c r="A792" s="3">
        <v>1791</v>
      </c>
      <c r="B792" s="3" t="s">
        <v>699</v>
      </c>
      <c r="C792" s="4">
        <v>45518</v>
      </c>
      <c r="D792" s="3" t="s">
        <v>211</v>
      </c>
      <c r="E792" s="4">
        <v>45567</v>
      </c>
      <c r="F792" s="4">
        <v>45568</v>
      </c>
      <c r="G792" s="3" t="s">
        <v>34</v>
      </c>
      <c r="H792" s="3" t="s">
        <v>35</v>
      </c>
      <c r="I792" s="3" t="s">
        <v>39</v>
      </c>
      <c r="J792" s="3" t="s">
        <v>46</v>
      </c>
      <c r="K792" s="3">
        <v>49</v>
      </c>
      <c r="L792" s="3">
        <v>1</v>
      </c>
      <c r="M792" s="3">
        <v>5353</v>
      </c>
      <c r="N792" s="3">
        <v>5353</v>
      </c>
      <c r="O792" s="3">
        <v>5353</v>
      </c>
      <c r="P792" s="3" t="s">
        <v>51</v>
      </c>
      <c r="Q792" s="3">
        <v>0</v>
      </c>
      <c r="R792" s="3" t="str">
        <f t="shared" si="12"/>
        <v>Not Cancelled</v>
      </c>
      <c r="S792" s="3" t="s">
        <v>25</v>
      </c>
    </row>
    <row r="793" spans="1:19" x14ac:dyDescent="0.35">
      <c r="A793" s="3">
        <v>1792</v>
      </c>
      <c r="B793" s="3" t="s">
        <v>668</v>
      </c>
      <c r="C793" s="4">
        <v>45445</v>
      </c>
      <c r="D793" s="3" t="s">
        <v>175</v>
      </c>
      <c r="E793" s="4">
        <v>45466</v>
      </c>
      <c r="F793" s="4">
        <v>45470</v>
      </c>
      <c r="G793" s="3" t="s">
        <v>42</v>
      </c>
      <c r="H793" s="3" t="s">
        <v>35</v>
      </c>
      <c r="I793" s="3" t="s">
        <v>39</v>
      </c>
      <c r="J793" s="3" t="s">
        <v>23</v>
      </c>
      <c r="K793" s="3">
        <v>21</v>
      </c>
      <c r="L793" s="3">
        <v>4</v>
      </c>
      <c r="M793" s="3">
        <v>7768</v>
      </c>
      <c r="N793" s="3">
        <v>31072</v>
      </c>
      <c r="O793" s="3">
        <v>31072</v>
      </c>
      <c r="P793" s="3" t="s">
        <v>24</v>
      </c>
      <c r="Q793" s="3">
        <v>0</v>
      </c>
      <c r="R793" s="3" t="str">
        <f t="shared" si="12"/>
        <v>Not Cancelled</v>
      </c>
      <c r="S793" s="3" t="s">
        <v>31</v>
      </c>
    </row>
    <row r="794" spans="1:19" x14ac:dyDescent="0.35">
      <c r="A794" s="3">
        <v>1793</v>
      </c>
      <c r="B794" s="3" t="s">
        <v>700</v>
      </c>
      <c r="C794" s="4">
        <v>45584</v>
      </c>
      <c r="D794" s="3" t="s">
        <v>165</v>
      </c>
      <c r="E794" s="4">
        <v>45593</v>
      </c>
      <c r="F794" s="4">
        <v>45594</v>
      </c>
      <c r="G794" s="3" t="s">
        <v>34</v>
      </c>
      <c r="H794" s="3" t="s">
        <v>21</v>
      </c>
      <c r="I794" s="3" t="s">
        <v>22</v>
      </c>
      <c r="J794" s="3" t="s">
        <v>23</v>
      </c>
      <c r="K794" s="3">
        <v>9</v>
      </c>
      <c r="L794" s="3">
        <v>1</v>
      </c>
      <c r="M794" s="3">
        <v>7356</v>
      </c>
      <c r="N794" s="3">
        <v>7356</v>
      </c>
      <c r="O794" s="3">
        <v>0</v>
      </c>
      <c r="P794" s="3" t="s">
        <v>24</v>
      </c>
      <c r="Q794" s="3">
        <v>1</v>
      </c>
      <c r="R794" s="3" t="str">
        <f t="shared" si="12"/>
        <v>Cancelled</v>
      </c>
      <c r="S794" s="3" t="s">
        <v>31</v>
      </c>
    </row>
    <row r="795" spans="1:19" x14ac:dyDescent="0.35">
      <c r="A795" s="3">
        <v>1794</v>
      </c>
      <c r="B795" s="3" t="s">
        <v>701</v>
      </c>
      <c r="C795" s="4">
        <v>45521</v>
      </c>
      <c r="D795" s="3" t="s">
        <v>55</v>
      </c>
      <c r="E795" s="4">
        <v>45527</v>
      </c>
      <c r="F795" s="4">
        <v>45529</v>
      </c>
      <c r="G795" s="3" t="s">
        <v>28</v>
      </c>
      <c r="H795" s="3" t="s">
        <v>29</v>
      </c>
      <c r="I795" s="3" t="s">
        <v>39</v>
      </c>
      <c r="J795" s="3" t="s">
        <v>30</v>
      </c>
      <c r="K795" s="3">
        <v>6</v>
      </c>
      <c r="L795" s="3">
        <v>2</v>
      </c>
      <c r="M795" s="3">
        <v>7428</v>
      </c>
      <c r="N795" s="3">
        <v>14856</v>
      </c>
      <c r="O795" s="3">
        <v>14856</v>
      </c>
      <c r="P795" s="3" t="s">
        <v>24</v>
      </c>
      <c r="Q795" s="3">
        <v>0</v>
      </c>
      <c r="R795" s="3" t="str">
        <f t="shared" si="12"/>
        <v>Not Cancelled</v>
      </c>
      <c r="S795" s="3" t="s">
        <v>25</v>
      </c>
    </row>
    <row r="796" spans="1:19" x14ac:dyDescent="0.35">
      <c r="A796" s="3">
        <v>1795</v>
      </c>
      <c r="B796" s="3" t="s">
        <v>553</v>
      </c>
      <c r="C796" s="4">
        <v>45601</v>
      </c>
      <c r="D796" s="3" t="s">
        <v>124</v>
      </c>
      <c r="E796" s="4">
        <v>45652</v>
      </c>
      <c r="F796" s="4">
        <v>45653</v>
      </c>
      <c r="G796" s="3" t="s">
        <v>34</v>
      </c>
      <c r="H796" s="3" t="s">
        <v>21</v>
      </c>
      <c r="I796" s="3" t="s">
        <v>22</v>
      </c>
      <c r="J796" s="3" t="s">
        <v>30</v>
      </c>
      <c r="K796" s="3">
        <v>51</v>
      </c>
      <c r="L796" s="3">
        <v>1</v>
      </c>
      <c r="M796" s="3">
        <v>3928</v>
      </c>
      <c r="N796" s="3">
        <v>3928</v>
      </c>
      <c r="O796" s="3">
        <v>0</v>
      </c>
      <c r="P796" s="3" t="s">
        <v>51</v>
      </c>
      <c r="Q796" s="3">
        <v>1</v>
      </c>
      <c r="R796" s="3" t="str">
        <f t="shared" si="12"/>
        <v>Cancelled</v>
      </c>
      <c r="S796" s="3" t="s">
        <v>31</v>
      </c>
    </row>
    <row r="797" spans="1:19" x14ac:dyDescent="0.35">
      <c r="A797" s="3">
        <v>1796</v>
      </c>
      <c r="B797" s="3" t="s">
        <v>702</v>
      </c>
      <c r="C797" s="4">
        <v>45650</v>
      </c>
      <c r="D797" s="3" t="s">
        <v>64</v>
      </c>
      <c r="E797" s="4">
        <v>45695</v>
      </c>
      <c r="F797" s="4">
        <v>45697</v>
      </c>
      <c r="G797" s="3" t="s">
        <v>28</v>
      </c>
      <c r="H797" s="3" t="s">
        <v>60</v>
      </c>
      <c r="I797" s="3" t="s">
        <v>39</v>
      </c>
      <c r="J797" s="3" t="s">
        <v>23</v>
      </c>
      <c r="K797" s="3">
        <v>45</v>
      </c>
      <c r="L797" s="3">
        <v>2</v>
      </c>
      <c r="M797" s="3">
        <v>6878</v>
      </c>
      <c r="N797" s="3">
        <v>13756</v>
      </c>
      <c r="O797" s="3">
        <v>0</v>
      </c>
      <c r="P797" s="3" t="s">
        <v>24</v>
      </c>
      <c r="Q797" s="3">
        <v>1</v>
      </c>
      <c r="R797" s="3" t="str">
        <f t="shared" si="12"/>
        <v>Cancelled</v>
      </c>
      <c r="S797" s="3" t="s">
        <v>31</v>
      </c>
    </row>
    <row r="798" spans="1:19" x14ac:dyDescent="0.35">
      <c r="A798" s="3">
        <v>1797</v>
      </c>
      <c r="B798" s="3" t="s">
        <v>438</v>
      </c>
      <c r="C798" s="4">
        <v>45493</v>
      </c>
      <c r="D798" s="3" t="s">
        <v>91</v>
      </c>
      <c r="E798" s="4">
        <v>45528</v>
      </c>
      <c r="F798" s="4">
        <v>45530</v>
      </c>
      <c r="G798" s="3" t="s">
        <v>28</v>
      </c>
      <c r="H798" s="3" t="s">
        <v>29</v>
      </c>
      <c r="I798" s="3" t="s">
        <v>39</v>
      </c>
      <c r="J798" s="3" t="s">
        <v>30</v>
      </c>
      <c r="K798" s="3">
        <v>35</v>
      </c>
      <c r="L798" s="3">
        <v>2</v>
      </c>
      <c r="M798" s="3">
        <v>6974</v>
      </c>
      <c r="N798" s="3">
        <v>13948</v>
      </c>
      <c r="O798" s="3">
        <v>0</v>
      </c>
      <c r="P798" s="3" t="s">
        <v>51</v>
      </c>
      <c r="Q798" s="3">
        <v>1</v>
      </c>
      <c r="R798" s="3" t="str">
        <f t="shared" si="12"/>
        <v>Cancelled</v>
      </c>
      <c r="S798" s="3" t="s">
        <v>31</v>
      </c>
    </row>
    <row r="799" spans="1:19" x14ac:dyDescent="0.35">
      <c r="A799" s="3">
        <v>1798</v>
      </c>
      <c r="B799" s="3" t="s">
        <v>425</v>
      </c>
      <c r="C799" s="4">
        <v>45329</v>
      </c>
      <c r="D799" s="3" t="s">
        <v>153</v>
      </c>
      <c r="E799" s="4">
        <v>45368</v>
      </c>
      <c r="F799" s="4">
        <v>45369</v>
      </c>
      <c r="G799" s="3" t="s">
        <v>34</v>
      </c>
      <c r="H799" s="3" t="s">
        <v>21</v>
      </c>
      <c r="I799" s="3" t="s">
        <v>22</v>
      </c>
      <c r="J799" s="3" t="s">
        <v>23</v>
      </c>
      <c r="K799" s="3">
        <v>39</v>
      </c>
      <c r="L799" s="3">
        <v>1</v>
      </c>
      <c r="M799" s="3">
        <v>6793</v>
      </c>
      <c r="N799" s="3">
        <v>6793</v>
      </c>
      <c r="O799" s="3">
        <v>6793</v>
      </c>
      <c r="P799" s="3" t="s">
        <v>24</v>
      </c>
      <c r="Q799" s="3">
        <v>0</v>
      </c>
      <c r="R799" s="3" t="str">
        <f t="shared" si="12"/>
        <v>Not Cancelled</v>
      </c>
      <c r="S799" s="3" t="s">
        <v>25</v>
      </c>
    </row>
    <row r="800" spans="1:19" x14ac:dyDescent="0.35">
      <c r="A800" s="3">
        <v>1799</v>
      </c>
      <c r="B800" s="3" t="s">
        <v>703</v>
      </c>
      <c r="C800" s="4">
        <v>45551</v>
      </c>
      <c r="D800" s="3" t="s">
        <v>19</v>
      </c>
      <c r="E800" s="4">
        <v>45573</v>
      </c>
      <c r="F800" s="4">
        <v>45576</v>
      </c>
      <c r="G800" s="3" t="s">
        <v>20</v>
      </c>
      <c r="H800" s="3" t="s">
        <v>29</v>
      </c>
      <c r="I800" s="3" t="s">
        <v>39</v>
      </c>
      <c r="J800" s="3" t="s">
        <v>23</v>
      </c>
      <c r="K800" s="3">
        <v>22</v>
      </c>
      <c r="L800" s="3">
        <v>3</v>
      </c>
      <c r="M800" s="3">
        <v>5562</v>
      </c>
      <c r="N800" s="3">
        <v>16686</v>
      </c>
      <c r="O800" s="3">
        <v>0</v>
      </c>
      <c r="P800" s="3" t="s">
        <v>51</v>
      </c>
      <c r="Q800" s="3">
        <v>1</v>
      </c>
      <c r="R800" s="3" t="str">
        <f t="shared" si="12"/>
        <v>Cancelled</v>
      </c>
      <c r="S800" s="3" t="s">
        <v>25</v>
      </c>
    </row>
    <row r="801" spans="1:19" x14ac:dyDescent="0.35">
      <c r="A801" s="3">
        <v>1800</v>
      </c>
      <c r="B801" s="3" t="s">
        <v>704</v>
      </c>
      <c r="C801" s="4">
        <v>45479</v>
      </c>
      <c r="D801" s="3" t="s">
        <v>86</v>
      </c>
      <c r="E801" s="4">
        <v>45520</v>
      </c>
      <c r="F801" s="4">
        <v>45521</v>
      </c>
      <c r="G801" s="3" t="s">
        <v>34</v>
      </c>
      <c r="H801" s="3" t="s">
        <v>60</v>
      </c>
      <c r="I801" s="3" t="s">
        <v>39</v>
      </c>
      <c r="J801" s="3" t="s">
        <v>23</v>
      </c>
      <c r="K801" s="3">
        <v>41</v>
      </c>
      <c r="L801" s="3">
        <v>1</v>
      </c>
      <c r="M801" s="3">
        <v>5571</v>
      </c>
      <c r="N801" s="3">
        <v>5571</v>
      </c>
      <c r="O801" s="3">
        <v>5571</v>
      </c>
      <c r="P801" s="3" t="s">
        <v>51</v>
      </c>
      <c r="Q801" s="3">
        <v>0</v>
      </c>
      <c r="R801" s="3" t="str">
        <f t="shared" si="12"/>
        <v>Not Cancelled</v>
      </c>
      <c r="S801" s="3" t="s">
        <v>25</v>
      </c>
    </row>
    <row r="802" spans="1:19" x14ac:dyDescent="0.35">
      <c r="A802" s="3">
        <v>1801</v>
      </c>
      <c r="B802" s="3" t="s">
        <v>705</v>
      </c>
      <c r="C802" s="4">
        <v>45348</v>
      </c>
      <c r="D802" s="3" t="s">
        <v>117</v>
      </c>
      <c r="E802" s="4">
        <v>45402</v>
      </c>
      <c r="F802" s="4">
        <v>45407</v>
      </c>
      <c r="G802" s="3" t="s">
        <v>45</v>
      </c>
      <c r="H802" s="3" t="s">
        <v>38</v>
      </c>
      <c r="I802" s="3" t="s">
        <v>39</v>
      </c>
      <c r="J802" s="3" t="s">
        <v>23</v>
      </c>
      <c r="K802" s="3">
        <v>54</v>
      </c>
      <c r="L802" s="3">
        <v>5</v>
      </c>
      <c r="M802" s="3">
        <v>3055</v>
      </c>
      <c r="N802" s="3">
        <v>15275</v>
      </c>
      <c r="O802" s="3">
        <v>0</v>
      </c>
      <c r="P802" s="3" t="s">
        <v>24</v>
      </c>
      <c r="Q802" s="3">
        <v>1</v>
      </c>
      <c r="R802" s="3" t="str">
        <f t="shared" si="12"/>
        <v>Cancelled</v>
      </c>
      <c r="S802" s="3" t="s">
        <v>31</v>
      </c>
    </row>
    <row r="803" spans="1:19" x14ac:dyDescent="0.35">
      <c r="A803" s="3">
        <v>1802</v>
      </c>
      <c r="B803" s="3" t="s">
        <v>332</v>
      </c>
      <c r="C803" s="4">
        <v>45311</v>
      </c>
      <c r="D803" s="3" t="s">
        <v>45</v>
      </c>
      <c r="E803" s="4">
        <v>45316</v>
      </c>
      <c r="F803" s="4">
        <v>45321</v>
      </c>
      <c r="G803" s="3" t="s">
        <v>45</v>
      </c>
      <c r="H803" s="3" t="s">
        <v>35</v>
      </c>
      <c r="I803" s="3" t="s">
        <v>22</v>
      </c>
      <c r="J803" s="3" t="s">
        <v>46</v>
      </c>
      <c r="K803" s="3">
        <v>5</v>
      </c>
      <c r="L803" s="3">
        <v>5</v>
      </c>
      <c r="M803" s="3">
        <v>2855</v>
      </c>
      <c r="N803" s="3">
        <v>14275</v>
      </c>
      <c r="O803" s="3">
        <v>14275</v>
      </c>
      <c r="P803" s="3" t="s">
        <v>24</v>
      </c>
      <c r="Q803" s="3">
        <v>0</v>
      </c>
      <c r="R803" s="3" t="str">
        <f t="shared" si="12"/>
        <v>Not Cancelled</v>
      </c>
      <c r="S803" s="3" t="s">
        <v>25</v>
      </c>
    </row>
    <row r="804" spans="1:19" x14ac:dyDescent="0.35">
      <c r="A804" s="3">
        <v>1803</v>
      </c>
      <c r="B804" s="3" t="s">
        <v>481</v>
      </c>
      <c r="C804" s="4">
        <v>45564</v>
      </c>
      <c r="D804" s="3" t="s">
        <v>140</v>
      </c>
      <c r="E804" s="4">
        <v>45606</v>
      </c>
      <c r="F804" s="4">
        <v>45609</v>
      </c>
      <c r="G804" s="3" t="s">
        <v>20</v>
      </c>
      <c r="H804" s="3" t="s">
        <v>21</v>
      </c>
      <c r="I804" s="3" t="s">
        <v>39</v>
      </c>
      <c r="J804" s="3" t="s">
        <v>23</v>
      </c>
      <c r="K804" s="3">
        <v>42</v>
      </c>
      <c r="L804" s="3">
        <v>3</v>
      </c>
      <c r="M804" s="3">
        <v>4063</v>
      </c>
      <c r="N804" s="3">
        <v>12189</v>
      </c>
      <c r="O804" s="3">
        <v>12189</v>
      </c>
      <c r="P804" s="3" t="s">
        <v>51</v>
      </c>
      <c r="Q804" s="3">
        <v>0</v>
      </c>
      <c r="R804" s="3" t="str">
        <f t="shared" si="12"/>
        <v>Not Cancelled</v>
      </c>
      <c r="S804" s="3" t="s">
        <v>31</v>
      </c>
    </row>
    <row r="805" spans="1:19" x14ac:dyDescent="0.35">
      <c r="A805" s="3">
        <v>1804</v>
      </c>
      <c r="B805" s="3" t="s">
        <v>706</v>
      </c>
      <c r="C805" s="4">
        <v>45410</v>
      </c>
      <c r="D805" s="3" t="s">
        <v>111</v>
      </c>
      <c r="E805" s="4">
        <v>45433</v>
      </c>
      <c r="F805" s="4">
        <v>45435</v>
      </c>
      <c r="G805" s="3" t="s">
        <v>28</v>
      </c>
      <c r="H805" s="3" t="s">
        <v>60</v>
      </c>
      <c r="I805" s="3" t="s">
        <v>22</v>
      </c>
      <c r="J805" s="3" t="s">
        <v>30</v>
      </c>
      <c r="K805" s="3">
        <v>23</v>
      </c>
      <c r="L805" s="3">
        <v>2</v>
      </c>
      <c r="M805" s="3">
        <v>6000</v>
      </c>
      <c r="N805" s="3">
        <v>12000</v>
      </c>
      <c r="O805" s="3">
        <v>0</v>
      </c>
      <c r="P805" s="3" t="s">
        <v>51</v>
      </c>
      <c r="Q805" s="3">
        <v>1</v>
      </c>
      <c r="R805" s="3" t="str">
        <f t="shared" si="12"/>
        <v>Cancelled</v>
      </c>
      <c r="S805" s="3" t="s">
        <v>31</v>
      </c>
    </row>
    <row r="806" spans="1:19" x14ac:dyDescent="0.35">
      <c r="A806" s="3">
        <v>1805</v>
      </c>
      <c r="B806" s="3" t="s">
        <v>257</v>
      </c>
      <c r="C806" s="4">
        <v>45362</v>
      </c>
      <c r="D806" s="3" t="s">
        <v>71</v>
      </c>
      <c r="E806" s="4">
        <v>45379</v>
      </c>
      <c r="F806" s="4">
        <v>45382</v>
      </c>
      <c r="G806" s="3" t="s">
        <v>20</v>
      </c>
      <c r="H806" s="3" t="s">
        <v>60</v>
      </c>
      <c r="I806" s="3" t="s">
        <v>39</v>
      </c>
      <c r="J806" s="3" t="s">
        <v>30</v>
      </c>
      <c r="K806" s="3">
        <v>17</v>
      </c>
      <c r="L806" s="3">
        <v>3</v>
      </c>
      <c r="M806" s="3">
        <v>3540</v>
      </c>
      <c r="N806" s="3">
        <v>10620</v>
      </c>
      <c r="O806" s="3">
        <v>0</v>
      </c>
      <c r="P806" s="3" t="s">
        <v>24</v>
      </c>
      <c r="Q806" s="3">
        <v>1</v>
      </c>
      <c r="R806" s="3" t="str">
        <f t="shared" si="12"/>
        <v>Cancelled</v>
      </c>
      <c r="S806" s="3" t="s">
        <v>31</v>
      </c>
    </row>
    <row r="807" spans="1:19" x14ac:dyDescent="0.35">
      <c r="A807" s="3">
        <v>1806</v>
      </c>
      <c r="B807" s="3" t="s">
        <v>707</v>
      </c>
      <c r="C807" s="4">
        <v>45295</v>
      </c>
      <c r="D807" s="3" t="s">
        <v>102</v>
      </c>
      <c r="E807" s="4">
        <v>45307</v>
      </c>
      <c r="F807" s="4">
        <v>45312</v>
      </c>
      <c r="G807" s="3" t="s">
        <v>45</v>
      </c>
      <c r="H807" s="3" t="s">
        <v>29</v>
      </c>
      <c r="I807" s="3" t="s">
        <v>22</v>
      </c>
      <c r="J807" s="3" t="s">
        <v>30</v>
      </c>
      <c r="K807" s="3">
        <v>12</v>
      </c>
      <c r="L807" s="3">
        <v>5</v>
      </c>
      <c r="M807" s="3">
        <v>5186</v>
      </c>
      <c r="N807" s="3">
        <v>25930</v>
      </c>
      <c r="O807" s="3">
        <v>25930</v>
      </c>
      <c r="P807" s="3" t="s">
        <v>24</v>
      </c>
      <c r="Q807" s="3">
        <v>0</v>
      </c>
      <c r="R807" s="3" t="str">
        <f t="shared" si="12"/>
        <v>Not Cancelled</v>
      </c>
      <c r="S807" s="3" t="s">
        <v>25</v>
      </c>
    </row>
    <row r="808" spans="1:19" x14ac:dyDescent="0.35">
      <c r="A808" s="3">
        <v>1807</v>
      </c>
      <c r="B808" s="3" t="s">
        <v>43</v>
      </c>
      <c r="C808" s="4">
        <v>45512</v>
      </c>
      <c r="D808" s="3" t="s">
        <v>111</v>
      </c>
      <c r="E808" s="4">
        <v>45535</v>
      </c>
      <c r="F808" s="4">
        <v>45538</v>
      </c>
      <c r="G808" s="3" t="s">
        <v>20</v>
      </c>
      <c r="H808" s="3" t="s">
        <v>29</v>
      </c>
      <c r="I808" s="3" t="s">
        <v>39</v>
      </c>
      <c r="J808" s="3" t="s">
        <v>30</v>
      </c>
      <c r="K808" s="3">
        <v>23</v>
      </c>
      <c r="L808" s="3">
        <v>3</v>
      </c>
      <c r="M808" s="3">
        <v>6974</v>
      </c>
      <c r="N808" s="3">
        <v>20922</v>
      </c>
      <c r="O808" s="3">
        <v>20922</v>
      </c>
      <c r="P808" s="3" t="s">
        <v>51</v>
      </c>
      <c r="Q808" s="3">
        <v>0</v>
      </c>
      <c r="R808" s="3" t="str">
        <f t="shared" si="12"/>
        <v>Not Cancelled</v>
      </c>
      <c r="S808" s="3" t="s">
        <v>25</v>
      </c>
    </row>
    <row r="809" spans="1:19" x14ac:dyDescent="0.35">
      <c r="A809" s="3">
        <v>1808</v>
      </c>
      <c r="B809" s="3" t="s">
        <v>490</v>
      </c>
      <c r="C809" s="4">
        <v>45305</v>
      </c>
      <c r="D809" s="3" t="s">
        <v>88</v>
      </c>
      <c r="E809" s="4">
        <v>45321</v>
      </c>
      <c r="F809" s="4">
        <v>45322</v>
      </c>
      <c r="G809" s="3" t="s">
        <v>34</v>
      </c>
      <c r="H809" s="3" t="s">
        <v>35</v>
      </c>
      <c r="I809" s="3" t="s">
        <v>39</v>
      </c>
      <c r="J809" s="3" t="s">
        <v>46</v>
      </c>
      <c r="K809" s="3">
        <v>16</v>
      </c>
      <c r="L809" s="3">
        <v>1</v>
      </c>
      <c r="M809" s="3">
        <v>7275</v>
      </c>
      <c r="N809" s="3">
        <v>7275</v>
      </c>
      <c r="O809" s="3">
        <v>7275</v>
      </c>
      <c r="P809" s="3" t="s">
        <v>51</v>
      </c>
      <c r="Q809" s="3">
        <v>0</v>
      </c>
      <c r="R809" s="3" t="str">
        <f t="shared" si="12"/>
        <v>Not Cancelled</v>
      </c>
      <c r="S809" s="3" t="s">
        <v>31</v>
      </c>
    </row>
    <row r="810" spans="1:19" x14ac:dyDescent="0.35">
      <c r="A810" s="3">
        <v>1809</v>
      </c>
      <c r="B810" s="3" t="s">
        <v>708</v>
      </c>
      <c r="C810" s="4">
        <v>45294</v>
      </c>
      <c r="D810" s="3" t="s">
        <v>20</v>
      </c>
      <c r="E810" s="4">
        <v>45297</v>
      </c>
      <c r="F810" s="4">
        <v>45300</v>
      </c>
      <c r="G810" s="3" t="s">
        <v>20</v>
      </c>
      <c r="H810" s="3" t="s">
        <v>29</v>
      </c>
      <c r="I810" s="3" t="s">
        <v>22</v>
      </c>
      <c r="J810" s="3" t="s">
        <v>23</v>
      </c>
      <c r="K810" s="3">
        <v>3</v>
      </c>
      <c r="L810" s="3">
        <v>3</v>
      </c>
      <c r="M810" s="3">
        <v>5053</v>
      </c>
      <c r="N810" s="3">
        <v>15159</v>
      </c>
      <c r="O810" s="3">
        <v>15159</v>
      </c>
      <c r="P810" s="3" t="s">
        <v>24</v>
      </c>
      <c r="Q810" s="3">
        <v>0</v>
      </c>
      <c r="R810" s="3" t="str">
        <f t="shared" si="12"/>
        <v>Not Cancelled</v>
      </c>
      <c r="S810" s="3" t="s">
        <v>31</v>
      </c>
    </row>
    <row r="811" spans="1:19" x14ac:dyDescent="0.35">
      <c r="A811" s="3">
        <v>1810</v>
      </c>
      <c r="B811" s="3" t="s">
        <v>709</v>
      </c>
      <c r="C811" s="4">
        <v>45507</v>
      </c>
      <c r="D811" s="3" t="s">
        <v>50</v>
      </c>
      <c r="E811" s="4">
        <v>45537</v>
      </c>
      <c r="F811" s="4">
        <v>45539</v>
      </c>
      <c r="G811" s="3" t="s">
        <v>28</v>
      </c>
      <c r="H811" s="3" t="s">
        <v>21</v>
      </c>
      <c r="I811" s="3" t="s">
        <v>39</v>
      </c>
      <c r="J811" s="3" t="s">
        <v>23</v>
      </c>
      <c r="K811" s="3">
        <v>30</v>
      </c>
      <c r="L811" s="3">
        <v>2</v>
      </c>
      <c r="M811" s="3">
        <v>4279</v>
      </c>
      <c r="N811" s="3">
        <v>8558</v>
      </c>
      <c r="O811" s="3">
        <v>0</v>
      </c>
      <c r="P811" s="3" t="s">
        <v>51</v>
      </c>
      <c r="Q811" s="3">
        <v>1</v>
      </c>
      <c r="R811" s="3" t="str">
        <f t="shared" si="12"/>
        <v>Cancelled</v>
      </c>
      <c r="S811" s="3" t="s">
        <v>25</v>
      </c>
    </row>
    <row r="812" spans="1:19" x14ac:dyDescent="0.35">
      <c r="A812" s="3">
        <v>1811</v>
      </c>
      <c r="B812" s="3" t="s">
        <v>374</v>
      </c>
      <c r="C812" s="4">
        <v>45520</v>
      </c>
      <c r="D812" s="3" t="s">
        <v>100</v>
      </c>
      <c r="E812" s="4">
        <v>45577</v>
      </c>
      <c r="F812" s="4">
        <v>45578</v>
      </c>
      <c r="G812" s="3" t="s">
        <v>34</v>
      </c>
      <c r="H812" s="3" t="s">
        <v>21</v>
      </c>
      <c r="I812" s="3" t="s">
        <v>22</v>
      </c>
      <c r="J812" s="3" t="s">
        <v>30</v>
      </c>
      <c r="K812" s="3">
        <v>57</v>
      </c>
      <c r="L812" s="3">
        <v>1</v>
      </c>
      <c r="M812" s="3">
        <v>7494</v>
      </c>
      <c r="N812" s="3">
        <v>7494</v>
      </c>
      <c r="O812" s="3">
        <v>7494</v>
      </c>
      <c r="P812" s="3" t="s">
        <v>24</v>
      </c>
      <c r="Q812" s="3">
        <v>0</v>
      </c>
      <c r="R812" s="3" t="str">
        <f t="shared" si="12"/>
        <v>Not Cancelled</v>
      </c>
      <c r="S812" s="3" t="s">
        <v>25</v>
      </c>
    </row>
    <row r="813" spans="1:19" x14ac:dyDescent="0.35">
      <c r="A813" s="3">
        <v>1812</v>
      </c>
      <c r="B813" s="3" t="s">
        <v>710</v>
      </c>
      <c r="C813" s="4">
        <v>45627</v>
      </c>
      <c r="D813" s="3" t="s">
        <v>19</v>
      </c>
      <c r="E813" s="4">
        <v>45649</v>
      </c>
      <c r="F813" s="4">
        <v>45653</v>
      </c>
      <c r="G813" s="3" t="s">
        <v>42</v>
      </c>
      <c r="H813" s="3" t="s">
        <v>21</v>
      </c>
      <c r="I813" s="3" t="s">
        <v>39</v>
      </c>
      <c r="J813" s="3" t="s">
        <v>30</v>
      </c>
      <c r="K813" s="3">
        <v>22</v>
      </c>
      <c r="L813" s="3">
        <v>4</v>
      </c>
      <c r="M813" s="3">
        <v>2575</v>
      </c>
      <c r="N813" s="3">
        <v>10300</v>
      </c>
      <c r="O813" s="3">
        <v>10300</v>
      </c>
      <c r="P813" s="3" t="s">
        <v>24</v>
      </c>
      <c r="Q813" s="3">
        <v>0</v>
      </c>
      <c r="R813" s="3" t="str">
        <f t="shared" si="12"/>
        <v>Not Cancelled</v>
      </c>
      <c r="S813" s="3" t="s">
        <v>25</v>
      </c>
    </row>
    <row r="814" spans="1:19" x14ac:dyDescent="0.35">
      <c r="A814" s="3">
        <v>1813</v>
      </c>
      <c r="B814" s="3" t="s">
        <v>694</v>
      </c>
      <c r="C814" s="4">
        <v>45477</v>
      </c>
      <c r="D814" s="3" t="s">
        <v>165</v>
      </c>
      <c r="E814" s="4">
        <v>45486</v>
      </c>
      <c r="F814" s="4">
        <v>45491</v>
      </c>
      <c r="G814" s="3" t="s">
        <v>45</v>
      </c>
      <c r="H814" s="3" t="s">
        <v>38</v>
      </c>
      <c r="I814" s="3" t="s">
        <v>22</v>
      </c>
      <c r="J814" s="3" t="s">
        <v>30</v>
      </c>
      <c r="K814" s="3">
        <v>9</v>
      </c>
      <c r="L814" s="3">
        <v>5</v>
      </c>
      <c r="M814" s="3">
        <v>6826</v>
      </c>
      <c r="N814" s="3">
        <v>34130</v>
      </c>
      <c r="O814" s="3">
        <v>34130</v>
      </c>
      <c r="P814" s="3" t="s">
        <v>24</v>
      </c>
      <c r="Q814" s="3">
        <v>0</v>
      </c>
      <c r="R814" s="3" t="str">
        <f t="shared" si="12"/>
        <v>Not Cancelled</v>
      </c>
      <c r="S814" s="3" t="s">
        <v>31</v>
      </c>
    </row>
    <row r="815" spans="1:19" x14ac:dyDescent="0.35">
      <c r="A815" s="3">
        <v>1814</v>
      </c>
      <c r="B815" s="3" t="s">
        <v>711</v>
      </c>
      <c r="C815" s="4">
        <v>45346</v>
      </c>
      <c r="D815" s="3" t="s">
        <v>57</v>
      </c>
      <c r="E815" s="4">
        <v>45375</v>
      </c>
      <c r="F815" s="4">
        <v>45380</v>
      </c>
      <c r="G815" s="3" t="s">
        <v>45</v>
      </c>
      <c r="H815" s="3" t="s">
        <v>21</v>
      </c>
      <c r="I815" s="3" t="s">
        <v>39</v>
      </c>
      <c r="J815" s="3" t="s">
        <v>23</v>
      </c>
      <c r="K815" s="3">
        <v>29</v>
      </c>
      <c r="L815" s="3">
        <v>5</v>
      </c>
      <c r="M815" s="3">
        <v>8335</v>
      </c>
      <c r="N815" s="3">
        <v>41675</v>
      </c>
      <c r="O815" s="3">
        <v>41675</v>
      </c>
      <c r="P815" s="3" t="s">
        <v>24</v>
      </c>
      <c r="Q815" s="3">
        <v>0</v>
      </c>
      <c r="R815" s="3" t="str">
        <f t="shared" si="12"/>
        <v>Not Cancelled</v>
      </c>
      <c r="S815" s="3" t="s">
        <v>25</v>
      </c>
    </row>
    <row r="816" spans="1:19" x14ac:dyDescent="0.35">
      <c r="A816" s="3">
        <v>1815</v>
      </c>
      <c r="B816" s="3" t="s">
        <v>712</v>
      </c>
      <c r="C816" s="4">
        <v>45545</v>
      </c>
      <c r="D816" s="3" t="s">
        <v>148</v>
      </c>
      <c r="E816" s="4">
        <v>45592</v>
      </c>
      <c r="F816" s="4">
        <v>45595</v>
      </c>
      <c r="G816" s="3" t="s">
        <v>20</v>
      </c>
      <c r="H816" s="3" t="s">
        <v>29</v>
      </c>
      <c r="I816" s="3" t="s">
        <v>22</v>
      </c>
      <c r="J816" s="3" t="s">
        <v>46</v>
      </c>
      <c r="K816" s="3">
        <v>47</v>
      </c>
      <c r="L816" s="3">
        <v>3</v>
      </c>
      <c r="M816" s="3">
        <v>7557</v>
      </c>
      <c r="N816" s="3">
        <v>22671</v>
      </c>
      <c r="O816" s="3">
        <v>0</v>
      </c>
      <c r="P816" s="3" t="s">
        <v>51</v>
      </c>
      <c r="Q816" s="3">
        <v>1</v>
      </c>
      <c r="R816" s="3" t="str">
        <f t="shared" si="12"/>
        <v>Cancelled</v>
      </c>
      <c r="S816" s="3" t="s">
        <v>25</v>
      </c>
    </row>
    <row r="817" spans="1:19" x14ac:dyDescent="0.35">
      <c r="A817" s="3">
        <v>1816</v>
      </c>
      <c r="B817" s="3" t="s">
        <v>447</v>
      </c>
      <c r="C817" s="4">
        <v>45315</v>
      </c>
      <c r="D817" s="3" t="s">
        <v>105</v>
      </c>
      <c r="E817" s="4">
        <v>45352</v>
      </c>
      <c r="F817" s="4">
        <v>45353</v>
      </c>
      <c r="G817" s="3" t="s">
        <v>34</v>
      </c>
      <c r="H817" s="3" t="s">
        <v>29</v>
      </c>
      <c r="I817" s="3" t="s">
        <v>39</v>
      </c>
      <c r="J817" s="3" t="s">
        <v>46</v>
      </c>
      <c r="K817" s="3">
        <v>37</v>
      </c>
      <c r="L817" s="3">
        <v>1</v>
      </c>
      <c r="M817" s="3">
        <v>5819</v>
      </c>
      <c r="N817" s="3">
        <v>5819</v>
      </c>
      <c r="O817" s="3">
        <v>0</v>
      </c>
      <c r="P817" s="3" t="s">
        <v>24</v>
      </c>
      <c r="Q817" s="3">
        <v>1</v>
      </c>
      <c r="R817" s="3" t="str">
        <f t="shared" si="12"/>
        <v>Cancelled</v>
      </c>
      <c r="S817" s="3" t="s">
        <v>25</v>
      </c>
    </row>
    <row r="818" spans="1:19" x14ac:dyDescent="0.35">
      <c r="A818" s="3">
        <v>1817</v>
      </c>
      <c r="B818" s="3" t="s">
        <v>713</v>
      </c>
      <c r="C818" s="4">
        <v>45453</v>
      </c>
      <c r="D818" s="3" t="s">
        <v>111</v>
      </c>
      <c r="E818" s="4">
        <v>45476</v>
      </c>
      <c r="F818" s="4">
        <v>45480</v>
      </c>
      <c r="G818" s="3" t="s">
        <v>42</v>
      </c>
      <c r="H818" s="3" t="s">
        <v>21</v>
      </c>
      <c r="I818" s="3" t="s">
        <v>22</v>
      </c>
      <c r="J818" s="3" t="s">
        <v>46</v>
      </c>
      <c r="K818" s="3">
        <v>23</v>
      </c>
      <c r="L818" s="3">
        <v>4</v>
      </c>
      <c r="M818" s="3">
        <v>4849</v>
      </c>
      <c r="N818" s="3">
        <v>19396</v>
      </c>
      <c r="O818" s="3">
        <v>0</v>
      </c>
      <c r="P818" s="3" t="s">
        <v>24</v>
      </c>
      <c r="Q818" s="3">
        <v>1</v>
      </c>
      <c r="R818" s="3" t="str">
        <f t="shared" si="12"/>
        <v>Cancelled</v>
      </c>
      <c r="S818" s="3" t="s">
        <v>31</v>
      </c>
    </row>
    <row r="819" spans="1:19" x14ac:dyDescent="0.35">
      <c r="A819" s="3">
        <v>1818</v>
      </c>
      <c r="B819" s="3" t="s">
        <v>714</v>
      </c>
      <c r="C819" s="4">
        <v>45449</v>
      </c>
      <c r="D819" s="3" t="s">
        <v>44</v>
      </c>
      <c r="E819" s="4">
        <v>45462</v>
      </c>
      <c r="F819" s="4">
        <v>45463</v>
      </c>
      <c r="G819" s="3" t="s">
        <v>34</v>
      </c>
      <c r="H819" s="3" t="s">
        <v>60</v>
      </c>
      <c r="I819" s="3" t="s">
        <v>22</v>
      </c>
      <c r="J819" s="3" t="s">
        <v>46</v>
      </c>
      <c r="K819" s="3">
        <v>13</v>
      </c>
      <c r="L819" s="3">
        <v>1</v>
      </c>
      <c r="M819" s="3">
        <v>5273</v>
      </c>
      <c r="N819" s="3">
        <v>5273</v>
      </c>
      <c r="O819" s="3">
        <v>5273</v>
      </c>
      <c r="P819" s="3" t="s">
        <v>51</v>
      </c>
      <c r="Q819" s="3">
        <v>0</v>
      </c>
      <c r="R819" s="3" t="str">
        <f t="shared" si="12"/>
        <v>Not Cancelled</v>
      </c>
      <c r="S819" s="3" t="s">
        <v>25</v>
      </c>
    </row>
    <row r="820" spans="1:19" x14ac:dyDescent="0.35">
      <c r="A820" s="3">
        <v>1819</v>
      </c>
      <c r="B820" s="3" t="s">
        <v>715</v>
      </c>
      <c r="C820" s="4">
        <v>45373</v>
      </c>
      <c r="D820" s="3" t="s">
        <v>144</v>
      </c>
      <c r="E820" s="4">
        <v>45405</v>
      </c>
      <c r="F820" s="4">
        <v>45410</v>
      </c>
      <c r="G820" s="3" t="s">
        <v>45</v>
      </c>
      <c r="H820" s="3" t="s">
        <v>60</v>
      </c>
      <c r="I820" s="3" t="s">
        <v>39</v>
      </c>
      <c r="J820" s="3" t="s">
        <v>30</v>
      </c>
      <c r="K820" s="3">
        <v>32</v>
      </c>
      <c r="L820" s="3">
        <v>5</v>
      </c>
      <c r="M820" s="3">
        <v>4762</v>
      </c>
      <c r="N820" s="3">
        <v>23810</v>
      </c>
      <c r="O820" s="3">
        <v>23810</v>
      </c>
      <c r="P820" s="3" t="s">
        <v>51</v>
      </c>
      <c r="Q820" s="3">
        <v>0</v>
      </c>
      <c r="R820" s="3" t="str">
        <f t="shared" si="12"/>
        <v>Not Cancelled</v>
      </c>
      <c r="S820" s="3" t="s">
        <v>31</v>
      </c>
    </row>
    <row r="821" spans="1:19" x14ac:dyDescent="0.35">
      <c r="A821" s="3">
        <v>1820</v>
      </c>
      <c r="B821" s="3" t="s">
        <v>716</v>
      </c>
      <c r="C821" s="4">
        <v>45450</v>
      </c>
      <c r="D821" s="3" t="s">
        <v>41</v>
      </c>
      <c r="E821" s="4">
        <v>45496</v>
      </c>
      <c r="F821" s="4">
        <v>45497</v>
      </c>
      <c r="G821" s="3" t="s">
        <v>34</v>
      </c>
      <c r="H821" s="3" t="s">
        <v>60</v>
      </c>
      <c r="I821" s="3" t="s">
        <v>22</v>
      </c>
      <c r="J821" s="3" t="s">
        <v>23</v>
      </c>
      <c r="K821" s="3">
        <v>46</v>
      </c>
      <c r="L821" s="3">
        <v>1</v>
      </c>
      <c r="M821" s="3">
        <v>5729</v>
      </c>
      <c r="N821" s="3">
        <v>5729</v>
      </c>
      <c r="O821" s="3">
        <v>0</v>
      </c>
      <c r="P821" s="3" t="s">
        <v>24</v>
      </c>
      <c r="Q821" s="3">
        <v>1</v>
      </c>
      <c r="R821" s="3" t="str">
        <f t="shared" si="12"/>
        <v>Cancelled</v>
      </c>
      <c r="S821" s="3" t="s">
        <v>31</v>
      </c>
    </row>
    <row r="822" spans="1:19" x14ac:dyDescent="0.35">
      <c r="A822" s="3">
        <v>1821</v>
      </c>
      <c r="B822" s="3" t="s">
        <v>301</v>
      </c>
      <c r="C822" s="4">
        <v>45479</v>
      </c>
      <c r="D822" s="3" t="s">
        <v>226</v>
      </c>
      <c r="E822" s="4">
        <v>45531</v>
      </c>
      <c r="F822" s="4">
        <v>45535</v>
      </c>
      <c r="G822" s="3" t="s">
        <v>42</v>
      </c>
      <c r="H822" s="3" t="s">
        <v>35</v>
      </c>
      <c r="I822" s="3" t="s">
        <v>22</v>
      </c>
      <c r="J822" s="3" t="s">
        <v>30</v>
      </c>
      <c r="K822" s="3">
        <v>52</v>
      </c>
      <c r="L822" s="3">
        <v>4</v>
      </c>
      <c r="M822" s="3">
        <v>4616</v>
      </c>
      <c r="N822" s="3">
        <v>18464</v>
      </c>
      <c r="O822" s="3">
        <v>0</v>
      </c>
      <c r="P822" s="3" t="s">
        <v>24</v>
      </c>
      <c r="Q822" s="3">
        <v>1</v>
      </c>
      <c r="R822" s="3" t="str">
        <f t="shared" si="12"/>
        <v>Cancelled</v>
      </c>
      <c r="S822" s="3" t="s">
        <v>31</v>
      </c>
    </row>
    <row r="823" spans="1:19" x14ac:dyDescent="0.35">
      <c r="A823" s="3">
        <v>1822</v>
      </c>
      <c r="B823" s="3" t="s">
        <v>331</v>
      </c>
      <c r="C823" s="4">
        <v>45351</v>
      </c>
      <c r="D823" s="3" t="s">
        <v>148</v>
      </c>
      <c r="E823" s="4">
        <v>45398</v>
      </c>
      <c r="F823" s="4">
        <v>45401</v>
      </c>
      <c r="G823" s="3" t="s">
        <v>20</v>
      </c>
      <c r="H823" s="3" t="s">
        <v>38</v>
      </c>
      <c r="I823" s="3" t="s">
        <v>39</v>
      </c>
      <c r="J823" s="3" t="s">
        <v>46</v>
      </c>
      <c r="K823" s="3">
        <v>47</v>
      </c>
      <c r="L823" s="3">
        <v>3</v>
      </c>
      <c r="M823" s="3">
        <v>2892</v>
      </c>
      <c r="N823" s="3">
        <v>8676</v>
      </c>
      <c r="O823" s="3">
        <v>8676</v>
      </c>
      <c r="P823" s="3" t="s">
        <v>24</v>
      </c>
      <c r="Q823" s="3">
        <v>0</v>
      </c>
      <c r="R823" s="3" t="str">
        <f t="shared" si="12"/>
        <v>Not Cancelled</v>
      </c>
      <c r="S823" s="3" t="s">
        <v>25</v>
      </c>
    </row>
    <row r="824" spans="1:19" x14ac:dyDescent="0.35">
      <c r="A824" s="3">
        <v>1823</v>
      </c>
      <c r="B824" s="3" t="s">
        <v>223</v>
      </c>
      <c r="C824" s="4">
        <v>45596</v>
      </c>
      <c r="D824" s="3" t="s">
        <v>73</v>
      </c>
      <c r="E824" s="4">
        <v>45644</v>
      </c>
      <c r="F824" s="4">
        <v>45646</v>
      </c>
      <c r="G824" s="3" t="s">
        <v>28</v>
      </c>
      <c r="H824" s="3" t="s">
        <v>21</v>
      </c>
      <c r="I824" s="3" t="s">
        <v>39</v>
      </c>
      <c r="J824" s="3" t="s">
        <v>30</v>
      </c>
      <c r="K824" s="3">
        <v>48</v>
      </c>
      <c r="L824" s="3">
        <v>2</v>
      </c>
      <c r="M824" s="3">
        <v>3608</v>
      </c>
      <c r="N824" s="3">
        <v>7216</v>
      </c>
      <c r="O824" s="3">
        <v>0</v>
      </c>
      <c r="P824" s="3" t="s">
        <v>24</v>
      </c>
      <c r="Q824" s="3">
        <v>1</v>
      </c>
      <c r="R824" s="3" t="str">
        <f t="shared" si="12"/>
        <v>Cancelled</v>
      </c>
      <c r="S824" s="3" t="s">
        <v>25</v>
      </c>
    </row>
    <row r="825" spans="1:19" x14ac:dyDescent="0.35">
      <c r="A825" s="3">
        <v>1824</v>
      </c>
      <c r="B825" s="3" t="s">
        <v>717</v>
      </c>
      <c r="C825" s="4">
        <v>45610</v>
      </c>
      <c r="D825" s="3" t="s">
        <v>111</v>
      </c>
      <c r="E825" s="4">
        <v>45633</v>
      </c>
      <c r="F825" s="4">
        <v>45634</v>
      </c>
      <c r="G825" s="3" t="s">
        <v>34</v>
      </c>
      <c r="H825" s="3" t="s">
        <v>35</v>
      </c>
      <c r="I825" s="3" t="s">
        <v>39</v>
      </c>
      <c r="J825" s="3" t="s">
        <v>46</v>
      </c>
      <c r="K825" s="3">
        <v>23</v>
      </c>
      <c r="L825" s="3">
        <v>1</v>
      </c>
      <c r="M825" s="3">
        <v>6862</v>
      </c>
      <c r="N825" s="3">
        <v>6862</v>
      </c>
      <c r="O825" s="3">
        <v>6862</v>
      </c>
      <c r="P825" s="3" t="s">
        <v>24</v>
      </c>
      <c r="Q825" s="3">
        <v>0</v>
      </c>
      <c r="R825" s="3" t="str">
        <f t="shared" si="12"/>
        <v>Not Cancelled</v>
      </c>
      <c r="S825" s="3" t="s">
        <v>25</v>
      </c>
    </row>
    <row r="826" spans="1:19" x14ac:dyDescent="0.35">
      <c r="A826" s="3">
        <v>1825</v>
      </c>
      <c r="B826" s="3" t="s">
        <v>718</v>
      </c>
      <c r="C826" s="4">
        <v>45502</v>
      </c>
      <c r="D826" s="3" t="s">
        <v>64</v>
      </c>
      <c r="E826" s="4">
        <v>45547</v>
      </c>
      <c r="F826" s="4">
        <v>45549</v>
      </c>
      <c r="G826" s="3" t="s">
        <v>28</v>
      </c>
      <c r="H826" s="3" t="s">
        <v>60</v>
      </c>
      <c r="I826" s="3" t="s">
        <v>39</v>
      </c>
      <c r="J826" s="3" t="s">
        <v>23</v>
      </c>
      <c r="K826" s="3">
        <v>45</v>
      </c>
      <c r="L826" s="3">
        <v>2</v>
      </c>
      <c r="M826" s="3">
        <v>7688</v>
      </c>
      <c r="N826" s="3">
        <v>15376</v>
      </c>
      <c r="O826" s="3">
        <v>15376</v>
      </c>
      <c r="P826" s="3" t="s">
        <v>24</v>
      </c>
      <c r="Q826" s="3">
        <v>0</v>
      </c>
      <c r="R826" s="3" t="str">
        <f t="shared" si="12"/>
        <v>Not Cancelled</v>
      </c>
      <c r="S826" s="3" t="s">
        <v>31</v>
      </c>
    </row>
    <row r="827" spans="1:19" x14ac:dyDescent="0.35">
      <c r="A827" s="3">
        <v>1826</v>
      </c>
      <c r="B827" s="3" t="s">
        <v>719</v>
      </c>
      <c r="C827" s="4">
        <v>45443</v>
      </c>
      <c r="D827" s="3" t="s">
        <v>71</v>
      </c>
      <c r="E827" s="4">
        <v>45460</v>
      </c>
      <c r="F827" s="4">
        <v>45465</v>
      </c>
      <c r="G827" s="3" t="s">
        <v>45</v>
      </c>
      <c r="H827" s="3" t="s">
        <v>21</v>
      </c>
      <c r="I827" s="3" t="s">
        <v>39</v>
      </c>
      <c r="J827" s="3" t="s">
        <v>46</v>
      </c>
      <c r="K827" s="3">
        <v>17</v>
      </c>
      <c r="L827" s="3">
        <v>5</v>
      </c>
      <c r="M827" s="3">
        <v>3110</v>
      </c>
      <c r="N827" s="3">
        <v>15550</v>
      </c>
      <c r="O827" s="3">
        <v>0</v>
      </c>
      <c r="P827" s="3" t="s">
        <v>51</v>
      </c>
      <c r="Q827" s="3">
        <v>1</v>
      </c>
      <c r="R827" s="3" t="str">
        <f t="shared" si="12"/>
        <v>Cancelled</v>
      </c>
      <c r="S827" s="3" t="s">
        <v>25</v>
      </c>
    </row>
    <row r="828" spans="1:19" x14ac:dyDescent="0.35">
      <c r="A828" s="3">
        <v>1827</v>
      </c>
      <c r="B828" s="3" t="s">
        <v>643</v>
      </c>
      <c r="C828" s="4">
        <v>45400</v>
      </c>
      <c r="D828" s="3" t="s">
        <v>113</v>
      </c>
      <c r="E828" s="4">
        <v>45455</v>
      </c>
      <c r="F828" s="4">
        <v>45458</v>
      </c>
      <c r="G828" s="3" t="s">
        <v>20</v>
      </c>
      <c r="H828" s="3" t="s">
        <v>35</v>
      </c>
      <c r="I828" s="3" t="s">
        <v>39</v>
      </c>
      <c r="J828" s="3" t="s">
        <v>30</v>
      </c>
      <c r="K828" s="3">
        <v>55</v>
      </c>
      <c r="L828" s="3">
        <v>3</v>
      </c>
      <c r="M828" s="3">
        <v>7966</v>
      </c>
      <c r="N828" s="3">
        <v>23898</v>
      </c>
      <c r="O828" s="3">
        <v>0</v>
      </c>
      <c r="P828" s="3" t="s">
        <v>51</v>
      </c>
      <c r="Q828" s="3">
        <v>1</v>
      </c>
      <c r="R828" s="3" t="str">
        <f t="shared" si="12"/>
        <v>Cancelled</v>
      </c>
      <c r="S828" s="3" t="s">
        <v>31</v>
      </c>
    </row>
    <row r="829" spans="1:19" x14ac:dyDescent="0.35">
      <c r="A829" s="3">
        <v>1828</v>
      </c>
      <c r="B829" s="3" t="s">
        <v>686</v>
      </c>
      <c r="C829" s="4">
        <v>45367</v>
      </c>
      <c r="D829" s="3" t="s">
        <v>179</v>
      </c>
      <c r="E829" s="4">
        <v>45407</v>
      </c>
      <c r="F829" s="4">
        <v>45410</v>
      </c>
      <c r="G829" s="3" t="s">
        <v>20</v>
      </c>
      <c r="H829" s="3" t="s">
        <v>29</v>
      </c>
      <c r="I829" s="3" t="s">
        <v>22</v>
      </c>
      <c r="J829" s="3" t="s">
        <v>23</v>
      </c>
      <c r="K829" s="3">
        <v>40</v>
      </c>
      <c r="L829" s="3">
        <v>3</v>
      </c>
      <c r="M829" s="3">
        <v>7604</v>
      </c>
      <c r="N829" s="3">
        <v>22812</v>
      </c>
      <c r="O829" s="3">
        <v>22812</v>
      </c>
      <c r="P829" s="3" t="s">
        <v>24</v>
      </c>
      <c r="Q829" s="3">
        <v>0</v>
      </c>
      <c r="R829" s="3" t="str">
        <f t="shared" si="12"/>
        <v>Not Cancelled</v>
      </c>
      <c r="S829" s="3" t="s">
        <v>25</v>
      </c>
    </row>
    <row r="830" spans="1:19" x14ac:dyDescent="0.35">
      <c r="A830" s="3">
        <v>1829</v>
      </c>
      <c r="B830" s="3" t="s">
        <v>250</v>
      </c>
      <c r="C830" s="4">
        <v>45321</v>
      </c>
      <c r="D830" s="3" t="s">
        <v>175</v>
      </c>
      <c r="E830" s="4">
        <v>45342</v>
      </c>
      <c r="F830" s="4">
        <v>45343</v>
      </c>
      <c r="G830" s="3" t="s">
        <v>34</v>
      </c>
      <c r="H830" s="3" t="s">
        <v>60</v>
      </c>
      <c r="I830" s="3" t="s">
        <v>22</v>
      </c>
      <c r="J830" s="3" t="s">
        <v>46</v>
      </c>
      <c r="K830" s="3">
        <v>21</v>
      </c>
      <c r="L830" s="3">
        <v>1</v>
      </c>
      <c r="M830" s="3">
        <v>7557</v>
      </c>
      <c r="N830" s="3">
        <v>7557</v>
      </c>
      <c r="O830" s="3">
        <v>7557</v>
      </c>
      <c r="P830" s="3" t="s">
        <v>51</v>
      </c>
      <c r="Q830" s="3">
        <v>0</v>
      </c>
      <c r="R830" s="3" t="str">
        <f t="shared" si="12"/>
        <v>Not Cancelled</v>
      </c>
      <c r="S830" s="3" t="s">
        <v>25</v>
      </c>
    </row>
    <row r="831" spans="1:19" x14ac:dyDescent="0.35">
      <c r="A831" s="3">
        <v>1830</v>
      </c>
      <c r="B831" s="3" t="s">
        <v>720</v>
      </c>
      <c r="C831" s="4">
        <v>45605</v>
      </c>
      <c r="D831" s="3" t="s">
        <v>28</v>
      </c>
      <c r="E831" s="4">
        <v>45607</v>
      </c>
      <c r="F831" s="4">
        <v>45610</v>
      </c>
      <c r="G831" s="3" t="s">
        <v>20</v>
      </c>
      <c r="H831" s="3" t="s">
        <v>35</v>
      </c>
      <c r="I831" s="3" t="s">
        <v>22</v>
      </c>
      <c r="J831" s="3" t="s">
        <v>46</v>
      </c>
      <c r="K831" s="3">
        <v>2</v>
      </c>
      <c r="L831" s="3">
        <v>3</v>
      </c>
      <c r="M831" s="3">
        <v>5275</v>
      </c>
      <c r="N831" s="3">
        <v>15825</v>
      </c>
      <c r="O831" s="3">
        <v>15825</v>
      </c>
      <c r="P831" s="3" t="s">
        <v>51</v>
      </c>
      <c r="Q831" s="3">
        <v>0</v>
      </c>
      <c r="R831" s="3" t="str">
        <f t="shared" si="12"/>
        <v>Not Cancelled</v>
      </c>
      <c r="S831" s="3" t="s">
        <v>25</v>
      </c>
    </row>
    <row r="832" spans="1:19" x14ac:dyDescent="0.35">
      <c r="A832" s="3">
        <v>1831</v>
      </c>
      <c r="B832" s="3" t="s">
        <v>721</v>
      </c>
      <c r="C832" s="4">
        <v>45408</v>
      </c>
      <c r="D832" s="3" t="s">
        <v>105</v>
      </c>
      <c r="E832" s="4">
        <v>45445</v>
      </c>
      <c r="F832" s="4">
        <v>45446</v>
      </c>
      <c r="G832" s="3" t="s">
        <v>34</v>
      </c>
      <c r="H832" s="3" t="s">
        <v>29</v>
      </c>
      <c r="I832" s="3" t="s">
        <v>39</v>
      </c>
      <c r="J832" s="3" t="s">
        <v>23</v>
      </c>
      <c r="K832" s="3">
        <v>37</v>
      </c>
      <c r="L832" s="3">
        <v>1</v>
      </c>
      <c r="M832" s="3">
        <v>6498</v>
      </c>
      <c r="N832" s="3">
        <v>6498</v>
      </c>
      <c r="O832" s="3">
        <v>0</v>
      </c>
      <c r="P832" s="3" t="s">
        <v>24</v>
      </c>
      <c r="Q832" s="3">
        <v>1</v>
      </c>
      <c r="R832" s="3" t="str">
        <f t="shared" si="12"/>
        <v>Cancelled</v>
      </c>
      <c r="S832" s="3" t="s">
        <v>25</v>
      </c>
    </row>
    <row r="833" spans="1:19" x14ac:dyDescent="0.35">
      <c r="A833" s="3">
        <v>1832</v>
      </c>
      <c r="B833" s="3" t="s">
        <v>722</v>
      </c>
      <c r="C833" s="4">
        <v>45647</v>
      </c>
      <c r="D833" s="3" t="s">
        <v>55</v>
      </c>
      <c r="E833" s="4">
        <v>45653</v>
      </c>
      <c r="F833" s="4">
        <v>45654</v>
      </c>
      <c r="G833" s="3" t="s">
        <v>34</v>
      </c>
      <c r="H833" s="3" t="s">
        <v>60</v>
      </c>
      <c r="I833" s="3" t="s">
        <v>39</v>
      </c>
      <c r="J833" s="3" t="s">
        <v>30</v>
      </c>
      <c r="K833" s="3">
        <v>6</v>
      </c>
      <c r="L833" s="3">
        <v>1</v>
      </c>
      <c r="M833" s="3">
        <v>3172</v>
      </c>
      <c r="N833" s="3">
        <v>3172</v>
      </c>
      <c r="O833" s="3">
        <v>3172</v>
      </c>
      <c r="P833" s="3" t="s">
        <v>51</v>
      </c>
      <c r="Q833" s="3">
        <v>0</v>
      </c>
      <c r="R833" s="3" t="str">
        <f t="shared" si="12"/>
        <v>Not Cancelled</v>
      </c>
      <c r="S833" s="3" t="s">
        <v>31</v>
      </c>
    </row>
    <row r="834" spans="1:19" x14ac:dyDescent="0.35">
      <c r="A834" s="3">
        <v>1833</v>
      </c>
      <c r="B834" s="3" t="s">
        <v>348</v>
      </c>
      <c r="C834" s="4">
        <v>45483</v>
      </c>
      <c r="D834" s="3" t="s">
        <v>62</v>
      </c>
      <c r="E834" s="4">
        <v>45527</v>
      </c>
      <c r="F834" s="4">
        <v>45529</v>
      </c>
      <c r="G834" s="3" t="s">
        <v>28</v>
      </c>
      <c r="H834" s="3" t="s">
        <v>38</v>
      </c>
      <c r="I834" s="3" t="s">
        <v>22</v>
      </c>
      <c r="J834" s="3" t="s">
        <v>23</v>
      </c>
      <c r="K834" s="3">
        <v>44</v>
      </c>
      <c r="L834" s="3">
        <v>2</v>
      </c>
      <c r="M834" s="3">
        <v>6177</v>
      </c>
      <c r="N834" s="3">
        <v>12354</v>
      </c>
      <c r="O834" s="3">
        <v>0</v>
      </c>
      <c r="P834" s="3" t="s">
        <v>51</v>
      </c>
      <c r="Q834" s="3">
        <v>1</v>
      </c>
      <c r="R834" s="3" t="str">
        <f t="shared" si="12"/>
        <v>Cancelled</v>
      </c>
      <c r="S834" s="3" t="s">
        <v>31</v>
      </c>
    </row>
    <row r="835" spans="1:19" x14ac:dyDescent="0.35">
      <c r="A835" s="3">
        <v>1834</v>
      </c>
      <c r="B835" s="3" t="s">
        <v>178</v>
      </c>
      <c r="C835" s="4">
        <v>45310</v>
      </c>
      <c r="D835" s="3" t="s">
        <v>27</v>
      </c>
      <c r="E835" s="4">
        <v>45328</v>
      </c>
      <c r="F835" s="4">
        <v>45331</v>
      </c>
      <c r="G835" s="3" t="s">
        <v>20</v>
      </c>
      <c r="H835" s="3" t="s">
        <v>60</v>
      </c>
      <c r="I835" s="3" t="s">
        <v>22</v>
      </c>
      <c r="J835" s="3" t="s">
        <v>30</v>
      </c>
      <c r="K835" s="3">
        <v>18</v>
      </c>
      <c r="L835" s="3">
        <v>3</v>
      </c>
      <c r="M835" s="3">
        <v>8296</v>
      </c>
      <c r="N835" s="3">
        <v>24888</v>
      </c>
      <c r="O835" s="3">
        <v>24888</v>
      </c>
      <c r="P835" s="3" t="s">
        <v>24</v>
      </c>
      <c r="Q835" s="3">
        <v>0</v>
      </c>
      <c r="R835" s="3" t="str">
        <f t="shared" ref="R835:R898" si="13">IF(Q835=0,"Not Cancelled","Cancelled")</f>
        <v>Not Cancelled</v>
      </c>
      <c r="S835" s="3" t="s">
        <v>31</v>
      </c>
    </row>
    <row r="836" spans="1:19" x14ac:dyDescent="0.35">
      <c r="A836" s="3">
        <v>1835</v>
      </c>
      <c r="B836" s="3" t="s">
        <v>723</v>
      </c>
      <c r="C836" s="4">
        <v>45464</v>
      </c>
      <c r="D836" s="3" t="s">
        <v>50</v>
      </c>
      <c r="E836" s="4">
        <v>45494</v>
      </c>
      <c r="F836" s="4">
        <v>45495</v>
      </c>
      <c r="G836" s="3" t="s">
        <v>34</v>
      </c>
      <c r="H836" s="3" t="s">
        <v>38</v>
      </c>
      <c r="I836" s="3" t="s">
        <v>39</v>
      </c>
      <c r="J836" s="3" t="s">
        <v>46</v>
      </c>
      <c r="K836" s="3">
        <v>30</v>
      </c>
      <c r="L836" s="3">
        <v>1</v>
      </c>
      <c r="M836" s="3">
        <v>8758</v>
      </c>
      <c r="N836" s="3">
        <v>8758</v>
      </c>
      <c r="O836" s="3">
        <v>8758</v>
      </c>
      <c r="P836" s="3" t="s">
        <v>24</v>
      </c>
      <c r="Q836" s="3">
        <v>0</v>
      </c>
      <c r="R836" s="3" t="str">
        <f t="shared" si="13"/>
        <v>Not Cancelled</v>
      </c>
      <c r="S836" s="3" t="s">
        <v>31</v>
      </c>
    </row>
    <row r="837" spans="1:19" x14ac:dyDescent="0.35">
      <c r="A837" s="3">
        <v>1836</v>
      </c>
      <c r="B837" s="3" t="s">
        <v>76</v>
      </c>
      <c r="C837" s="4">
        <v>45519</v>
      </c>
      <c r="D837" s="3" t="s">
        <v>19</v>
      </c>
      <c r="E837" s="4">
        <v>45541</v>
      </c>
      <c r="F837" s="4">
        <v>45543</v>
      </c>
      <c r="G837" s="3" t="s">
        <v>28</v>
      </c>
      <c r="H837" s="3" t="s">
        <v>38</v>
      </c>
      <c r="I837" s="3" t="s">
        <v>22</v>
      </c>
      <c r="J837" s="3" t="s">
        <v>46</v>
      </c>
      <c r="K837" s="3">
        <v>22</v>
      </c>
      <c r="L837" s="3">
        <v>2</v>
      </c>
      <c r="M837" s="3">
        <v>8863</v>
      </c>
      <c r="N837" s="3">
        <v>17726</v>
      </c>
      <c r="O837" s="3">
        <v>17726</v>
      </c>
      <c r="P837" s="3" t="s">
        <v>24</v>
      </c>
      <c r="Q837" s="3">
        <v>0</v>
      </c>
      <c r="R837" s="3" t="str">
        <f t="shared" si="13"/>
        <v>Not Cancelled</v>
      </c>
      <c r="S837" s="3" t="s">
        <v>25</v>
      </c>
    </row>
    <row r="838" spans="1:19" x14ac:dyDescent="0.35">
      <c r="A838" s="3">
        <v>1837</v>
      </c>
      <c r="B838" s="3" t="s">
        <v>711</v>
      </c>
      <c r="C838" s="4">
        <v>45641</v>
      </c>
      <c r="D838" s="3" t="s">
        <v>117</v>
      </c>
      <c r="E838" s="4">
        <v>45695</v>
      </c>
      <c r="F838" s="4">
        <v>45699</v>
      </c>
      <c r="G838" s="3" t="s">
        <v>42</v>
      </c>
      <c r="H838" s="3" t="s">
        <v>38</v>
      </c>
      <c r="I838" s="3" t="s">
        <v>39</v>
      </c>
      <c r="J838" s="3" t="s">
        <v>23</v>
      </c>
      <c r="K838" s="3">
        <v>54</v>
      </c>
      <c r="L838" s="3">
        <v>4</v>
      </c>
      <c r="M838" s="3">
        <v>2530</v>
      </c>
      <c r="N838" s="3">
        <v>10120</v>
      </c>
      <c r="O838" s="3">
        <v>10120</v>
      </c>
      <c r="P838" s="3" t="s">
        <v>51</v>
      </c>
      <c r="Q838" s="3">
        <v>0</v>
      </c>
      <c r="R838" s="3" t="str">
        <f t="shared" si="13"/>
        <v>Not Cancelled</v>
      </c>
      <c r="S838" s="3" t="s">
        <v>31</v>
      </c>
    </row>
    <row r="839" spans="1:19" x14ac:dyDescent="0.35">
      <c r="A839" s="3">
        <v>1838</v>
      </c>
      <c r="B839" s="3" t="s">
        <v>724</v>
      </c>
      <c r="C839" s="4">
        <v>45474</v>
      </c>
      <c r="D839" s="3" t="s">
        <v>69</v>
      </c>
      <c r="E839" s="4">
        <v>45507</v>
      </c>
      <c r="F839" s="4">
        <v>45509</v>
      </c>
      <c r="G839" s="3" t="s">
        <v>28</v>
      </c>
      <c r="H839" s="3" t="s">
        <v>21</v>
      </c>
      <c r="I839" s="3" t="s">
        <v>39</v>
      </c>
      <c r="J839" s="3" t="s">
        <v>46</v>
      </c>
      <c r="K839" s="3">
        <v>33</v>
      </c>
      <c r="L839" s="3">
        <v>2</v>
      </c>
      <c r="M839" s="3">
        <v>7962</v>
      </c>
      <c r="N839" s="3">
        <v>15924</v>
      </c>
      <c r="O839" s="3">
        <v>15924</v>
      </c>
      <c r="P839" s="3" t="s">
        <v>24</v>
      </c>
      <c r="Q839" s="3">
        <v>0</v>
      </c>
      <c r="R839" s="3" t="str">
        <f t="shared" si="13"/>
        <v>Not Cancelled</v>
      </c>
      <c r="S839" s="3" t="s">
        <v>31</v>
      </c>
    </row>
    <row r="840" spans="1:19" x14ac:dyDescent="0.35">
      <c r="A840" s="3">
        <v>1839</v>
      </c>
      <c r="B840" s="3" t="s">
        <v>377</v>
      </c>
      <c r="C840" s="4">
        <v>45404</v>
      </c>
      <c r="D840" s="3" t="s">
        <v>50</v>
      </c>
      <c r="E840" s="4">
        <v>45434</v>
      </c>
      <c r="F840" s="4">
        <v>45436</v>
      </c>
      <c r="G840" s="3" t="s">
        <v>28</v>
      </c>
      <c r="H840" s="3" t="s">
        <v>21</v>
      </c>
      <c r="I840" s="3" t="s">
        <v>22</v>
      </c>
      <c r="J840" s="3" t="s">
        <v>23</v>
      </c>
      <c r="K840" s="3">
        <v>30</v>
      </c>
      <c r="L840" s="3">
        <v>2</v>
      </c>
      <c r="M840" s="3">
        <v>3900</v>
      </c>
      <c r="N840" s="3">
        <v>7800</v>
      </c>
      <c r="O840" s="3">
        <v>0</v>
      </c>
      <c r="P840" s="3" t="s">
        <v>51</v>
      </c>
      <c r="Q840" s="3">
        <v>1</v>
      </c>
      <c r="R840" s="3" t="str">
        <f t="shared" si="13"/>
        <v>Cancelled</v>
      </c>
      <c r="S840" s="3" t="s">
        <v>31</v>
      </c>
    </row>
    <row r="841" spans="1:19" x14ac:dyDescent="0.35">
      <c r="A841" s="3">
        <v>1840</v>
      </c>
      <c r="B841" s="3" t="s">
        <v>725</v>
      </c>
      <c r="C841" s="4">
        <v>45474</v>
      </c>
      <c r="D841" s="3" t="s">
        <v>71</v>
      </c>
      <c r="E841" s="4">
        <v>45491</v>
      </c>
      <c r="F841" s="4">
        <v>45492</v>
      </c>
      <c r="G841" s="3" t="s">
        <v>34</v>
      </c>
      <c r="H841" s="3" t="s">
        <v>38</v>
      </c>
      <c r="I841" s="3" t="s">
        <v>39</v>
      </c>
      <c r="J841" s="3" t="s">
        <v>46</v>
      </c>
      <c r="K841" s="3">
        <v>17</v>
      </c>
      <c r="L841" s="3">
        <v>1</v>
      </c>
      <c r="M841" s="3">
        <v>7749</v>
      </c>
      <c r="N841" s="3">
        <v>7749</v>
      </c>
      <c r="O841" s="3">
        <v>7749</v>
      </c>
      <c r="P841" s="3" t="s">
        <v>24</v>
      </c>
      <c r="Q841" s="3">
        <v>0</v>
      </c>
      <c r="R841" s="3" t="str">
        <f t="shared" si="13"/>
        <v>Not Cancelled</v>
      </c>
      <c r="S841" s="3" t="s">
        <v>25</v>
      </c>
    </row>
    <row r="842" spans="1:19" x14ac:dyDescent="0.35">
      <c r="A842" s="3">
        <v>1841</v>
      </c>
      <c r="B842" s="3" t="s">
        <v>726</v>
      </c>
      <c r="C842" s="4">
        <v>45437</v>
      </c>
      <c r="D842" s="3" t="s">
        <v>66</v>
      </c>
      <c r="E842" s="4">
        <v>45480</v>
      </c>
      <c r="F842" s="4">
        <v>45485</v>
      </c>
      <c r="G842" s="3" t="s">
        <v>45</v>
      </c>
      <c r="H842" s="3" t="s">
        <v>29</v>
      </c>
      <c r="I842" s="3" t="s">
        <v>39</v>
      </c>
      <c r="J842" s="3" t="s">
        <v>46</v>
      </c>
      <c r="K842" s="3">
        <v>43</v>
      </c>
      <c r="L842" s="3">
        <v>5</v>
      </c>
      <c r="M842" s="3">
        <v>6571</v>
      </c>
      <c r="N842" s="3">
        <v>32855</v>
      </c>
      <c r="O842" s="3">
        <v>32855</v>
      </c>
      <c r="P842" s="3" t="s">
        <v>24</v>
      </c>
      <c r="Q842" s="3">
        <v>0</v>
      </c>
      <c r="R842" s="3" t="str">
        <f t="shared" si="13"/>
        <v>Not Cancelled</v>
      </c>
      <c r="S842" s="3" t="s">
        <v>31</v>
      </c>
    </row>
    <row r="843" spans="1:19" x14ac:dyDescent="0.35">
      <c r="A843" s="3">
        <v>1842</v>
      </c>
      <c r="B843" s="3" t="s">
        <v>721</v>
      </c>
      <c r="C843" s="4">
        <v>45610</v>
      </c>
      <c r="D843" s="3" t="s">
        <v>144</v>
      </c>
      <c r="E843" s="4">
        <v>45642</v>
      </c>
      <c r="F843" s="4">
        <v>45647</v>
      </c>
      <c r="G843" s="3" t="s">
        <v>45</v>
      </c>
      <c r="H843" s="3" t="s">
        <v>38</v>
      </c>
      <c r="I843" s="3" t="s">
        <v>39</v>
      </c>
      <c r="J843" s="3" t="s">
        <v>30</v>
      </c>
      <c r="K843" s="3">
        <v>32</v>
      </c>
      <c r="L843" s="3">
        <v>5</v>
      </c>
      <c r="M843" s="3">
        <v>3116</v>
      </c>
      <c r="N843" s="3">
        <v>15580</v>
      </c>
      <c r="O843" s="3">
        <v>0</v>
      </c>
      <c r="P843" s="3" t="s">
        <v>24</v>
      </c>
      <c r="Q843" s="3">
        <v>1</v>
      </c>
      <c r="R843" s="3" t="str">
        <f t="shared" si="13"/>
        <v>Cancelled</v>
      </c>
      <c r="S843" s="3" t="s">
        <v>31</v>
      </c>
    </row>
    <row r="844" spans="1:19" x14ac:dyDescent="0.35">
      <c r="A844" s="3">
        <v>1843</v>
      </c>
      <c r="B844" s="3" t="s">
        <v>727</v>
      </c>
      <c r="C844" s="4">
        <v>45407</v>
      </c>
      <c r="D844" s="3" t="s">
        <v>140</v>
      </c>
      <c r="E844" s="4">
        <v>45449</v>
      </c>
      <c r="F844" s="4">
        <v>45454</v>
      </c>
      <c r="G844" s="3" t="s">
        <v>45</v>
      </c>
      <c r="H844" s="3" t="s">
        <v>35</v>
      </c>
      <c r="I844" s="3" t="s">
        <v>39</v>
      </c>
      <c r="J844" s="3" t="s">
        <v>23</v>
      </c>
      <c r="K844" s="3">
        <v>42</v>
      </c>
      <c r="L844" s="3">
        <v>5</v>
      </c>
      <c r="M844" s="3">
        <v>7134</v>
      </c>
      <c r="N844" s="3">
        <v>35670</v>
      </c>
      <c r="O844" s="3">
        <v>0</v>
      </c>
      <c r="P844" s="3" t="s">
        <v>24</v>
      </c>
      <c r="Q844" s="3">
        <v>1</v>
      </c>
      <c r="R844" s="3" t="str">
        <f t="shared" si="13"/>
        <v>Cancelled</v>
      </c>
      <c r="S844" s="3" t="s">
        <v>25</v>
      </c>
    </row>
    <row r="845" spans="1:19" x14ac:dyDescent="0.35">
      <c r="A845" s="3">
        <v>1844</v>
      </c>
      <c r="B845" s="3" t="s">
        <v>728</v>
      </c>
      <c r="C845" s="4">
        <v>45404</v>
      </c>
      <c r="D845" s="3" t="s">
        <v>124</v>
      </c>
      <c r="E845" s="4">
        <v>45455</v>
      </c>
      <c r="F845" s="4">
        <v>45457</v>
      </c>
      <c r="G845" s="3" t="s">
        <v>28</v>
      </c>
      <c r="H845" s="3" t="s">
        <v>38</v>
      </c>
      <c r="I845" s="3" t="s">
        <v>22</v>
      </c>
      <c r="J845" s="3" t="s">
        <v>23</v>
      </c>
      <c r="K845" s="3">
        <v>51</v>
      </c>
      <c r="L845" s="3">
        <v>2</v>
      </c>
      <c r="M845" s="3">
        <v>5286</v>
      </c>
      <c r="N845" s="3">
        <v>10572</v>
      </c>
      <c r="O845" s="3">
        <v>0</v>
      </c>
      <c r="P845" s="3" t="s">
        <v>51</v>
      </c>
      <c r="Q845" s="3">
        <v>1</v>
      </c>
      <c r="R845" s="3" t="str">
        <f t="shared" si="13"/>
        <v>Cancelled</v>
      </c>
      <c r="S845" s="3" t="s">
        <v>25</v>
      </c>
    </row>
    <row r="846" spans="1:19" x14ac:dyDescent="0.35">
      <c r="A846" s="3">
        <v>1845</v>
      </c>
      <c r="B846" s="3" t="s">
        <v>729</v>
      </c>
      <c r="C846" s="4">
        <v>45542</v>
      </c>
      <c r="D846" s="3" t="s">
        <v>33</v>
      </c>
      <c r="E846" s="4">
        <v>45556</v>
      </c>
      <c r="F846" s="4">
        <v>45557</v>
      </c>
      <c r="G846" s="3" t="s">
        <v>34</v>
      </c>
      <c r="H846" s="3" t="s">
        <v>21</v>
      </c>
      <c r="I846" s="3" t="s">
        <v>39</v>
      </c>
      <c r="J846" s="3" t="s">
        <v>46</v>
      </c>
      <c r="K846" s="3">
        <v>14</v>
      </c>
      <c r="L846" s="3">
        <v>1</v>
      </c>
      <c r="M846" s="3">
        <v>3370</v>
      </c>
      <c r="N846" s="3">
        <v>3370</v>
      </c>
      <c r="O846" s="3">
        <v>3370</v>
      </c>
      <c r="P846" s="3" t="s">
        <v>51</v>
      </c>
      <c r="Q846" s="3">
        <v>0</v>
      </c>
      <c r="R846" s="3" t="str">
        <f t="shared" si="13"/>
        <v>Not Cancelled</v>
      </c>
      <c r="S846" s="3" t="s">
        <v>31</v>
      </c>
    </row>
    <row r="847" spans="1:19" x14ac:dyDescent="0.35">
      <c r="A847" s="3">
        <v>1846</v>
      </c>
      <c r="B847" s="3" t="s">
        <v>730</v>
      </c>
      <c r="C847" s="4">
        <v>45542</v>
      </c>
      <c r="D847" s="3" t="s">
        <v>237</v>
      </c>
      <c r="E847" s="4">
        <v>45600</v>
      </c>
      <c r="F847" s="4">
        <v>45603</v>
      </c>
      <c r="G847" s="3" t="s">
        <v>20</v>
      </c>
      <c r="H847" s="3" t="s">
        <v>21</v>
      </c>
      <c r="I847" s="3" t="s">
        <v>39</v>
      </c>
      <c r="J847" s="3" t="s">
        <v>30</v>
      </c>
      <c r="K847" s="3">
        <v>58</v>
      </c>
      <c r="L847" s="3">
        <v>3</v>
      </c>
      <c r="M847" s="3">
        <v>6696</v>
      </c>
      <c r="N847" s="3">
        <v>20088</v>
      </c>
      <c r="O847" s="3">
        <v>0</v>
      </c>
      <c r="P847" s="3" t="s">
        <v>24</v>
      </c>
      <c r="Q847" s="3">
        <v>1</v>
      </c>
      <c r="R847" s="3" t="str">
        <f t="shared" si="13"/>
        <v>Cancelled</v>
      </c>
      <c r="S847" s="3" t="s">
        <v>31</v>
      </c>
    </row>
    <row r="848" spans="1:19" x14ac:dyDescent="0.35">
      <c r="A848" s="3">
        <v>1847</v>
      </c>
      <c r="B848" s="3" t="s">
        <v>731</v>
      </c>
      <c r="C848" s="4">
        <v>45594</v>
      </c>
      <c r="D848" s="3" t="s">
        <v>37</v>
      </c>
      <c r="E848" s="4">
        <v>45604</v>
      </c>
      <c r="F848" s="4">
        <v>45606</v>
      </c>
      <c r="G848" s="3" t="s">
        <v>28</v>
      </c>
      <c r="H848" s="3" t="s">
        <v>35</v>
      </c>
      <c r="I848" s="3" t="s">
        <v>22</v>
      </c>
      <c r="J848" s="3" t="s">
        <v>30</v>
      </c>
      <c r="K848" s="3">
        <v>10</v>
      </c>
      <c r="L848" s="3">
        <v>2</v>
      </c>
      <c r="M848" s="3">
        <v>6104</v>
      </c>
      <c r="N848" s="3">
        <v>12208</v>
      </c>
      <c r="O848" s="3">
        <v>12208</v>
      </c>
      <c r="P848" s="3" t="s">
        <v>51</v>
      </c>
      <c r="Q848" s="3">
        <v>0</v>
      </c>
      <c r="R848" s="3" t="str">
        <f t="shared" si="13"/>
        <v>Not Cancelled</v>
      </c>
      <c r="S848" s="3" t="s">
        <v>25</v>
      </c>
    </row>
    <row r="849" spans="1:19" x14ac:dyDescent="0.35">
      <c r="A849" s="3">
        <v>1848</v>
      </c>
      <c r="B849" s="3" t="s">
        <v>725</v>
      </c>
      <c r="C849" s="4">
        <v>45604</v>
      </c>
      <c r="D849" s="3" t="s">
        <v>148</v>
      </c>
      <c r="E849" s="4">
        <v>45651</v>
      </c>
      <c r="F849" s="4">
        <v>45653</v>
      </c>
      <c r="G849" s="3" t="s">
        <v>28</v>
      </c>
      <c r="H849" s="3" t="s">
        <v>35</v>
      </c>
      <c r="I849" s="3" t="s">
        <v>39</v>
      </c>
      <c r="J849" s="3" t="s">
        <v>23</v>
      </c>
      <c r="K849" s="3">
        <v>47</v>
      </c>
      <c r="L849" s="3">
        <v>2</v>
      </c>
      <c r="M849" s="3">
        <v>3912</v>
      </c>
      <c r="N849" s="3">
        <v>7824</v>
      </c>
      <c r="O849" s="3">
        <v>0</v>
      </c>
      <c r="P849" s="3" t="s">
        <v>24</v>
      </c>
      <c r="Q849" s="3">
        <v>1</v>
      </c>
      <c r="R849" s="3" t="str">
        <f t="shared" si="13"/>
        <v>Cancelled</v>
      </c>
      <c r="S849" s="3" t="s">
        <v>31</v>
      </c>
    </row>
    <row r="850" spans="1:19" x14ac:dyDescent="0.35">
      <c r="A850" s="3">
        <v>1849</v>
      </c>
      <c r="B850" s="3" t="s">
        <v>380</v>
      </c>
      <c r="C850" s="4">
        <v>45409</v>
      </c>
      <c r="D850" s="3" t="s">
        <v>124</v>
      </c>
      <c r="E850" s="4">
        <v>45460</v>
      </c>
      <c r="F850" s="4">
        <v>45461</v>
      </c>
      <c r="G850" s="3" t="s">
        <v>34</v>
      </c>
      <c r="H850" s="3" t="s">
        <v>60</v>
      </c>
      <c r="I850" s="3" t="s">
        <v>39</v>
      </c>
      <c r="J850" s="3" t="s">
        <v>23</v>
      </c>
      <c r="K850" s="3">
        <v>51</v>
      </c>
      <c r="L850" s="3">
        <v>1</v>
      </c>
      <c r="M850" s="3">
        <v>5239</v>
      </c>
      <c r="N850" s="3">
        <v>5239</v>
      </c>
      <c r="O850" s="3">
        <v>0</v>
      </c>
      <c r="P850" s="3" t="s">
        <v>24</v>
      </c>
      <c r="Q850" s="3">
        <v>1</v>
      </c>
      <c r="R850" s="3" t="str">
        <f t="shared" si="13"/>
        <v>Cancelled</v>
      </c>
      <c r="S850" s="3" t="s">
        <v>25</v>
      </c>
    </row>
    <row r="851" spans="1:19" x14ac:dyDescent="0.35">
      <c r="A851" s="3">
        <v>1850</v>
      </c>
      <c r="B851" s="3" t="s">
        <v>732</v>
      </c>
      <c r="C851" s="4">
        <v>45592</v>
      </c>
      <c r="D851" s="3" t="s">
        <v>146</v>
      </c>
      <c r="E851" s="4">
        <v>45628</v>
      </c>
      <c r="F851" s="4">
        <v>45632</v>
      </c>
      <c r="G851" s="3" t="s">
        <v>42</v>
      </c>
      <c r="H851" s="3" t="s">
        <v>29</v>
      </c>
      <c r="I851" s="3" t="s">
        <v>22</v>
      </c>
      <c r="J851" s="3" t="s">
        <v>46</v>
      </c>
      <c r="K851" s="3">
        <v>36</v>
      </c>
      <c r="L851" s="3">
        <v>4</v>
      </c>
      <c r="M851" s="3">
        <v>3440</v>
      </c>
      <c r="N851" s="3">
        <v>13760</v>
      </c>
      <c r="O851" s="3">
        <v>13760</v>
      </c>
      <c r="P851" s="3" t="s">
        <v>51</v>
      </c>
      <c r="Q851" s="3">
        <v>0</v>
      </c>
      <c r="R851" s="3" t="str">
        <f t="shared" si="13"/>
        <v>Not Cancelled</v>
      </c>
      <c r="S851" s="3" t="s">
        <v>31</v>
      </c>
    </row>
    <row r="852" spans="1:19" x14ac:dyDescent="0.35">
      <c r="A852" s="3">
        <v>1851</v>
      </c>
      <c r="B852" s="3" t="s">
        <v>418</v>
      </c>
      <c r="C852" s="4">
        <v>45452</v>
      </c>
      <c r="D852" s="3" t="s">
        <v>128</v>
      </c>
      <c r="E852" s="4">
        <v>45486</v>
      </c>
      <c r="F852" s="4">
        <v>45488</v>
      </c>
      <c r="G852" s="3" t="s">
        <v>28</v>
      </c>
      <c r="H852" s="3" t="s">
        <v>29</v>
      </c>
      <c r="I852" s="3" t="s">
        <v>22</v>
      </c>
      <c r="J852" s="3" t="s">
        <v>23</v>
      </c>
      <c r="K852" s="3">
        <v>34</v>
      </c>
      <c r="L852" s="3">
        <v>2</v>
      </c>
      <c r="M852" s="3">
        <v>2840</v>
      </c>
      <c r="N852" s="3">
        <v>5680</v>
      </c>
      <c r="O852" s="3">
        <v>0</v>
      </c>
      <c r="P852" s="3" t="s">
        <v>51</v>
      </c>
      <c r="Q852" s="3">
        <v>1</v>
      </c>
      <c r="R852" s="3" t="str">
        <f t="shared" si="13"/>
        <v>Cancelled</v>
      </c>
      <c r="S852" s="3" t="s">
        <v>31</v>
      </c>
    </row>
    <row r="853" spans="1:19" x14ac:dyDescent="0.35">
      <c r="A853" s="3">
        <v>1852</v>
      </c>
      <c r="B853" s="3" t="s">
        <v>154</v>
      </c>
      <c r="C853" s="4">
        <v>45489</v>
      </c>
      <c r="D853" s="3" t="s">
        <v>165</v>
      </c>
      <c r="E853" s="4">
        <v>45498</v>
      </c>
      <c r="F853" s="4">
        <v>45502</v>
      </c>
      <c r="G853" s="3" t="s">
        <v>42</v>
      </c>
      <c r="H853" s="3" t="s">
        <v>29</v>
      </c>
      <c r="I853" s="3" t="s">
        <v>39</v>
      </c>
      <c r="J853" s="3" t="s">
        <v>46</v>
      </c>
      <c r="K853" s="3">
        <v>9</v>
      </c>
      <c r="L853" s="3">
        <v>4</v>
      </c>
      <c r="M853" s="3">
        <v>5408</v>
      </c>
      <c r="N853" s="3">
        <v>21632</v>
      </c>
      <c r="O853" s="3">
        <v>21632</v>
      </c>
      <c r="P853" s="3" t="s">
        <v>24</v>
      </c>
      <c r="Q853" s="3">
        <v>0</v>
      </c>
      <c r="R853" s="3" t="str">
        <f t="shared" si="13"/>
        <v>Not Cancelled</v>
      </c>
      <c r="S853" s="3" t="s">
        <v>31</v>
      </c>
    </row>
    <row r="854" spans="1:19" x14ac:dyDescent="0.35">
      <c r="A854" s="3">
        <v>1853</v>
      </c>
      <c r="B854" s="3" t="s">
        <v>733</v>
      </c>
      <c r="C854" s="4">
        <v>45551</v>
      </c>
      <c r="D854" s="3" t="s">
        <v>140</v>
      </c>
      <c r="E854" s="4">
        <v>45593</v>
      </c>
      <c r="F854" s="4">
        <v>45597</v>
      </c>
      <c r="G854" s="3" t="s">
        <v>42</v>
      </c>
      <c r="H854" s="3" t="s">
        <v>21</v>
      </c>
      <c r="I854" s="3" t="s">
        <v>39</v>
      </c>
      <c r="J854" s="3" t="s">
        <v>30</v>
      </c>
      <c r="K854" s="3">
        <v>42</v>
      </c>
      <c r="L854" s="3">
        <v>4</v>
      </c>
      <c r="M854" s="3">
        <v>7639</v>
      </c>
      <c r="N854" s="3">
        <v>30556</v>
      </c>
      <c r="O854" s="3">
        <v>30556</v>
      </c>
      <c r="P854" s="3" t="s">
        <v>24</v>
      </c>
      <c r="Q854" s="3">
        <v>0</v>
      </c>
      <c r="R854" s="3" t="str">
        <f t="shared" si="13"/>
        <v>Not Cancelled</v>
      </c>
      <c r="S854" s="3" t="s">
        <v>31</v>
      </c>
    </row>
    <row r="855" spans="1:19" x14ac:dyDescent="0.35">
      <c r="A855" s="3">
        <v>1854</v>
      </c>
      <c r="B855" s="3" t="s">
        <v>734</v>
      </c>
      <c r="C855" s="4">
        <v>45439</v>
      </c>
      <c r="D855" s="3" t="s">
        <v>82</v>
      </c>
      <c r="E855" s="4">
        <v>45467</v>
      </c>
      <c r="F855" s="4">
        <v>45472</v>
      </c>
      <c r="G855" s="3" t="s">
        <v>45</v>
      </c>
      <c r="H855" s="3" t="s">
        <v>29</v>
      </c>
      <c r="I855" s="3" t="s">
        <v>22</v>
      </c>
      <c r="J855" s="3" t="s">
        <v>23</v>
      </c>
      <c r="K855" s="3">
        <v>28</v>
      </c>
      <c r="L855" s="3">
        <v>5</v>
      </c>
      <c r="M855" s="3">
        <v>6633</v>
      </c>
      <c r="N855" s="3">
        <v>33165</v>
      </c>
      <c r="O855" s="3">
        <v>33165</v>
      </c>
      <c r="P855" s="3" t="s">
        <v>24</v>
      </c>
      <c r="Q855" s="3">
        <v>0</v>
      </c>
      <c r="R855" s="3" t="str">
        <f t="shared" si="13"/>
        <v>Not Cancelled</v>
      </c>
      <c r="S855" s="3" t="s">
        <v>31</v>
      </c>
    </row>
    <row r="856" spans="1:19" x14ac:dyDescent="0.35">
      <c r="A856" s="3">
        <v>1855</v>
      </c>
      <c r="B856" s="3" t="s">
        <v>735</v>
      </c>
      <c r="C856" s="4">
        <v>45531</v>
      </c>
      <c r="D856" s="3" t="s">
        <v>75</v>
      </c>
      <c r="E856" s="4">
        <v>45542</v>
      </c>
      <c r="F856" s="4">
        <v>45543</v>
      </c>
      <c r="G856" s="3" t="s">
        <v>34</v>
      </c>
      <c r="H856" s="3" t="s">
        <v>60</v>
      </c>
      <c r="I856" s="3" t="s">
        <v>39</v>
      </c>
      <c r="J856" s="3" t="s">
        <v>30</v>
      </c>
      <c r="K856" s="3">
        <v>11</v>
      </c>
      <c r="L856" s="3">
        <v>1</v>
      </c>
      <c r="M856" s="3">
        <v>3159</v>
      </c>
      <c r="N856" s="3">
        <v>3159</v>
      </c>
      <c r="O856" s="3">
        <v>0</v>
      </c>
      <c r="P856" s="3" t="s">
        <v>51</v>
      </c>
      <c r="Q856" s="3">
        <v>1</v>
      </c>
      <c r="R856" s="3" t="str">
        <f t="shared" si="13"/>
        <v>Cancelled</v>
      </c>
      <c r="S856" s="3" t="s">
        <v>25</v>
      </c>
    </row>
    <row r="857" spans="1:19" x14ac:dyDescent="0.35">
      <c r="A857" s="3">
        <v>1856</v>
      </c>
      <c r="B857" s="3" t="s">
        <v>736</v>
      </c>
      <c r="C857" s="4">
        <v>45338</v>
      </c>
      <c r="D857" s="3" t="s">
        <v>33</v>
      </c>
      <c r="E857" s="4">
        <v>45352</v>
      </c>
      <c r="F857" s="4">
        <v>45356</v>
      </c>
      <c r="G857" s="3" t="s">
        <v>42</v>
      </c>
      <c r="H857" s="3" t="s">
        <v>60</v>
      </c>
      <c r="I857" s="3" t="s">
        <v>39</v>
      </c>
      <c r="J857" s="3" t="s">
        <v>30</v>
      </c>
      <c r="K857" s="3">
        <v>14</v>
      </c>
      <c r="L857" s="3">
        <v>4</v>
      </c>
      <c r="M857" s="3">
        <v>4533</v>
      </c>
      <c r="N857" s="3">
        <v>18132</v>
      </c>
      <c r="O857" s="3">
        <v>18132</v>
      </c>
      <c r="P857" s="3" t="s">
        <v>24</v>
      </c>
      <c r="Q857" s="3">
        <v>0</v>
      </c>
      <c r="R857" s="3" t="str">
        <f t="shared" si="13"/>
        <v>Not Cancelled</v>
      </c>
      <c r="S857" s="3" t="s">
        <v>25</v>
      </c>
    </row>
    <row r="858" spans="1:19" x14ac:dyDescent="0.35">
      <c r="A858" s="3">
        <v>1857</v>
      </c>
      <c r="B858" s="3" t="s">
        <v>737</v>
      </c>
      <c r="C858" s="4">
        <v>45489</v>
      </c>
      <c r="D858" s="3" t="s">
        <v>153</v>
      </c>
      <c r="E858" s="4">
        <v>45528</v>
      </c>
      <c r="F858" s="4">
        <v>45529</v>
      </c>
      <c r="G858" s="3" t="s">
        <v>34</v>
      </c>
      <c r="H858" s="3" t="s">
        <v>29</v>
      </c>
      <c r="I858" s="3" t="s">
        <v>39</v>
      </c>
      <c r="J858" s="3" t="s">
        <v>46</v>
      </c>
      <c r="K858" s="3">
        <v>39</v>
      </c>
      <c r="L858" s="3">
        <v>1</v>
      </c>
      <c r="M858" s="3">
        <v>4060</v>
      </c>
      <c r="N858" s="3">
        <v>4060</v>
      </c>
      <c r="O858" s="3">
        <v>4060</v>
      </c>
      <c r="P858" s="3" t="s">
        <v>24</v>
      </c>
      <c r="Q858" s="3">
        <v>0</v>
      </c>
      <c r="R858" s="3" t="str">
        <f t="shared" si="13"/>
        <v>Not Cancelled</v>
      </c>
      <c r="S858" s="3" t="s">
        <v>31</v>
      </c>
    </row>
    <row r="859" spans="1:19" x14ac:dyDescent="0.35">
      <c r="A859" s="3">
        <v>1858</v>
      </c>
      <c r="B859" s="3" t="s">
        <v>738</v>
      </c>
      <c r="C859" s="4">
        <v>45338</v>
      </c>
      <c r="D859" s="3" t="s">
        <v>113</v>
      </c>
      <c r="E859" s="4">
        <v>45393</v>
      </c>
      <c r="F859" s="4">
        <v>45398</v>
      </c>
      <c r="G859" s="3" t="s">
        <v>45</v>
      </c>
      <c r="H859" s="3" t="s">
        <v>35</v>
      </c>
      <c r="I859" s="3" t="s">
        <v>22</v>
      </c>
      <c r="J859" s="3" t="s">
        <v>30</v>
      </c>
      <c r="K859" s="3">
        <v>55</v>
      </c>
      <c r="L859" s="3">
        <v>5</v>
      </c>
      <c r="M859" s="3">
        <v>5957</v>
      </c>
      <c r="N859" s="3">
        <v>29785</v>
      </c>
      <c r="O859" s="3">
        <v>29785</v>
      </c>
      <c r="P859" s="3" t="s">
        <v>24</v>
      </c>
      <c r="Q859" s="3">
        <v>0</v>
      </c>
      <c r="R859" s="3" t="str">
        <f t="shared" si="13"/>
        <v>Not Cancelled</v>
      </c>
      <c r="S859" s="3" t="s">
        <v>31</v>
      </c>
    </row>
    <row r="860" spans="1:19" x14ac:dyDescent="0.35">
      <c r="A860" s="3">
        <v>1859</v>
      </c>
      <c r="B860" s="3" t="s">
        <v>739</v>
      </c>
      <c r="C860" s="4">
        <v>45369</v>
      </c>
      <c r="D860" s="3" t="s">
        <v>148</v>
      </c>
      <c r="E860" s="4">
        <v>45416</v>
      </c>
      <c r="F860" s="4">
        <v>45417</v>
      </c>
      <c r="G860" s="3" t="s">
        <v>34</v>
      </c>
      <c r="H860" s="3" t="s">
        <v>60</v>
      </c>
      <c r="I860" s="3" t="s">
        <v>39</v>
      </c>
      <c r="J860" s="3" t="s">
        <v>46</v>
      </c>
      <c r="K860" s="3">
        <v>47</v>
      </c>
      <c r="L860" s="3">
        <v>1</v>
      </c>
      <c r="M860" s="3">
        <v>4156</v>
      </c>
      <c r="N860" s="3">
        <v>4156</v>
      </c>
      <c r="O860" s="3">
        <v>0</v>
      </c>
      <c r="P860" s="3" t="s">
        <v>24</v>
      </c>
      <c r="Q860" s="3">
        <v>1</v>
      </c>
      <c r="R860" s="3" t="str">
        <f t="shared" si="13"/>
        <v>Cancelled</v>
      </c>
      <c r="S860" s="3" t="s">
        <v>31</v>
      </c>
    </row>
    <row r="861" spans="1:19" x14ac:dyDescent="0.35">
      <c r="A861" s="3">
        <v>1860</v>
      </c>
      <c r="B861" s="3" t="s">
        <v>649</v>
      </c>
      <c r="C861" s="4">
        <v>45415</v>
      </c>
      <c r="D861" s="3" t="s">
        <v>117</v>
      </c>
      <c r="E861" s="4">
        <v>45469</v>
      </c>
      <c r="F861" s="4">
        <v>45471</v>
      </c>
      <c r="G861" s="3" t="s">
        <v>28</v>
      </c>
      <c r="H861" s="3" t="s">
        <v>35</v>
      </c>
      <c r="I861" s="3" t="s">
        <v>22</v>
      </c>
      <c r="J861" s="3" t="s">
        <v>46</v>
      </c>
      <c r="K861" s="3">
        <v>54</v>
      </c>
      <c r="L861" s="3">
        <v>2</v>
      </c>
      <c r="M861" s="3">
        <v>5475</v>
      </c>
      <c r="N861" s="3">
        <v>10950</v>
      </c>
      <c r="O861" s="3">
        <v>0</v>
      </c>
      <c r="P861" s="3" t="s">
        <v>24</v>
      </c>
      <c r="Q861" s="3">
        <v>1</v>
      </c>
      <c r="R861" s="3" t="str">
        <f t="shared" si="13"/>
        <v>Cancelled</v>
      </c>
      <c r="S861" s="3" t="s">
        <v>25</v>
      </c>
    </row>
    <row r="862" spans="1:19" x14ac:dyDescent="0.35">
      <c r="A862" s="3">
        <v>1861</v>
      </c>
      <c r="B862" s="3" t="s">
        <v>412</v>
      </c>
      <c r="C862" s="4">
        <v>45366</v>
      </c>
      <c r="D862" s="3" t="s">
        <v>109</v>
      </c>
      <c r="E862" s="4">
        <v>45385</v>
      </c>
      <c r="F862" s="4">
        <v>45389</v>
      </c>
      <c r="G862" s="3" t="s">
        <v>42</v>
      </c>
      <c r="H862" s="3" t="s">
        <v>21</v>
      </c>
      <c r="I862" s="3" t="s">
        <v>22</v>
      </c>
      <c r="J862" s="3" t="s">
        <v>30</v>
      </c>
      <c r="K862" s="3">
        <v>19</v>
      </c>
      <c r="L862" s="3">
        <v>4</v>
      </c>
      <c r="M862" s="3">
        <v>3549</v>
      </c>
      <c r="N862" s="3">
        <v>14196</v>
      </c>
      <c r="O862" s="3">
        <v>14196</v>
      </c>
      <c r="P862" s="3" t="s">
        <v>24</v>
      </c>
      <c r="Q862" s="3">
        <v>0</v>
      </c>
      <c r="R862" s="3" t="str">
        <f t="shared" si="13"/>
        <v>Not Cancelled</v>
      </c>
      <c r="S862" s="3" t="s">
        <v>25</v>
      </c>
    </row>
    <row r="863" spans="1:19" x14ac:dyDescent="0.35">
      <c r="A863" s="3">
        <v>1862</v>
      </c>
      <c r="B863" s="3" t="s">
        <v>731</v>
      </c>
      <c r="C863" s="4">
        <v>45650</v>
      </c>
      <c r="D863" s="3" t="s">
        <v>117</v>
      </c>
      <c r="E863" s="4">
        <v>45704</v>
      </c>
      <c r="F863" s="4">
        <v>45705</v>
      </c>
      <c r="G863" s="3" t="s">
        <v>34</v>
      </c>
      <c r="H863" s="3" t="s">
        <v>60</v>
      </c>
      <c r="I863" s="3" t="s">
        <v>22</v>
      </c>
      <c r="J863" s="3" t="s">
        <v>30</v>
      </c>
      <c r="K863" s="3">
        <v>54</v>
      </c>
      <c r="L863" s="3">
        <v>1</v>
      </c>
      <c r="M863" s="3">
        <v>2953</v>
      </c>
      <c r="N863" s="3">
        <v>2953</v>
      </c>
      <c r="O863" s="3">
        <v>2953</v>
      </c>
      <c r="P863" s="3" t="s">
        <v>51</v>
      </c>
      <c r="Q863" s="3">
        <v>0</v>
      </c>
      <c r="R863" s="3" t="str">
        <f t="shared" si="13"/>
        <v>Not Cancelled</v>
      </c>
      <c r="S863" s="3" t="s">
        <v>25</v>
      </c>
    </row>
    <row r="864" spans="1:19" x14ac:dyDescent="0.35">
      <c r="A864" s="3">
        <v>1863</v>
      </c>
      <c r="B864" s="3" t="s">
        <v>740</v>
      </c>
      <c r="C864" s="4">
        <v>45428</v>
      </c>
      <c r="D864" s="3" t="s">
        <v>277</v>
      </c>
      <c r="E864" s="4">
        <v>45443</v>
      </c>
      <c r="F864" s="4">
        <v>45446</v>
      </c>
      <c r="G864" s="3" t="s">
        <v>20</v>
      </c>
      <c r="H864" s="3" t="s">
        <v>35</v>
      </c>
      <c r="I864" s="3" t="s">
        <v>22</v>
      </c>
      <c r="J864" s="3" t="s">
        <v>46</v>
      </c>
      <c r="K864" s="3">
        <v>15</v>
      </c>
      <c r="L864" s="3">
        <v>3</v>
      </c>
      <c r="M864" s="3">
        <v>4204</v>
      </c>
      <c r="N864" s="3">
        <v>12612</v>
      </c>
      <c r="O864" s="3">
        <v>12612</v>
      </c>
      <c r="P864" s="3" t="s">
        <v>24</v>
      </c>
      <c r="Q864" s="3">
        <v>0</v>
      </c>
      <c r="R864" s="3" t="str">
        <f t="shared" si="13"/>
        <v>Not Cancelled</v>
      </c>
      <c r="S864" s="3" t="s">
        <v>25</v>
      </c>
    </row>
    <row r="865" spans="1:19" x14ac:dyDescent="0.35">
      <c r="A865" s="3">
        <v>1864</v>
      </c>
      <c r="B865" s="3" t="s">
        <v>741</v>
      </c>
      <c r="C865" s="4">
        <v>45381</v>
      </c>
      <c r="D865" s="3" t="s">
        <v>82</v>
      </c>
      <c r="E865" s="4">
        <v>45409</v>
      </c>
      <c r="F865" s="4">
        <v>45410</v>
      </c>
      <c r="G865" s="3" t="s">
        <v>34</v>
      </c>
      <c r="H865" s="3" t="s">
        <v>29</v>
      </c>
      <c r="I865" s="3" t="s">
        <v>39</v>
      </c>
      <c r="J865" s="3" t="s">
        <v>46</v>
      </c>
      <c r="K865" s="3">
        <v>28</v>
      </c>
      <c r="L865" s="3">
        <v>1</v>
      </c>
      <c r="M865" s="3">
        <v>7942</v>
      </c>
      <c r="N865" s="3">
        <v>7942</v>
      </c>
      <c r="O865" s="3">
        <v>0</v>
      </c>
      <c r="P865" s="3" t="s">
        <v>24</v>
      </c>
      <c r="Q865" s="3">
        <v>1</v>
      </c>
      <c r="R865" s="3" t="str">
        <f t="shared" si="13"/>
        <v>Cancelled</v>
      </c>
      <c r="S865" s="3" t="s">
        <v>25</v>
      </c>
    </row>
    <row r="866" spans="1:19" x14ac:dyDescent="0.35">
      <c r="A866" s="3">
        <v>1865</v>
      </c>
      <c r="B866" s="3" t="s">
        <v>742</v>
      </c>
      <c r="C866" s="4">
        <v>45616</v>
      </c>
      <c r="D866" s="3" t="s">
        <v>159</v>
      </c>
      <c r="E866" s="4">
        <v>45640</v>
      </c>
      <c r="F866" s="4">
        <v>45644</v>
      </c>
      <c r="G866" s="3" t="s">
        <v>42</v>
      </c>
      <c r="H866" s="3" t="s">
        <v>21</v>
      </c>
      <c r="I866" s="3" t="s">
        <v>22</v>
      </c>
      <c r="J866" s="3" t="s">
        <v>30</v>
      </c>
      <c r="K866" s="3">
        <v>24</v>
      </c>
      <c r="L866" s="3">
        <v>4</v>
      </c>
      <c r="M866" s="3">
        <v>5284</v>
      </c>
      <c r="N866" s="3">
        <v>21136</v>
      </c>
      <c r="O866" s="3">
        <v>0</v>
      </c>
      <c r="P866" s="3" t="s">
        <v>51</v>
      </c>
      <c r="Q866" s="3">
        <v>1</v>
      </c>
      <c r="R866" s="3" t="str">
        <f t="shared" si="13"/>
        <v>Cancelled</v>
      </c>
      <c r="S866" s="3" t="s">
        <v>25</v>
      </c>
    </row>
    <row r="867" spans="1:19" x14ac:dyDescent="0.35">
      <c r="A867" s="3">
        <v>1866</v>
      </c>
      <c r="B867" s="3" t="s">
        <v>743</v>
      </c>
      <c r="C867" s="4">
        <v>45352</v>
      </c>
      <c r="D867" s="3" t="s">
        <v>59</v>
      </c>
      <c r="E867" s="4">
        <v>45360</v>
      </c>
      <c r="F867" s="4">
        <v>45365</v>
      </c>
      <c r="G867" s="3" t="s">
        <v>45</v>
      </c>
      <c r="H867" s="3" t="s">
        <v>38</v>
      </c>
      <c r="I867" s="3" t="s">
        <v>39</v>
      </c>
      <c r="J867" s="3" t="s">
        <v>46</v>
      </c>
      <c r="K867" s="3">
        <v>8</v>
      </c>
      <c r="L867" s="3">
        <v>5</v>
      </c>
      <c r="M867" s="3">
        <v>3318</v>
      </c>
      <c r="N867" s="3">
        <v>16590</v>
      </c>
      <c r="O867" s="3">
        <v>16590</v>
      </c>
      <c r="P867" s="3" t="s">
        <v>51</v>
      </c>
      <c r="Q867" s="3">
        <v>0</v>
      </c>
      <c r="R867" s="3" t="str">
        <f t="shared" si="13"/>
        <v>Not Cancelled</v>
      </c>
      <c r="S867" s="3" t="s">
        <v>25</v>
      </c>
    </row>
    <row r="868" spans="1:19" x14ac:dyDescent="0.35">
      <c r="A868" s="3">
        <v>1867</v>
      </c>
      <c r="B868" s="3" t="s">
        <v>744</v>
      </c>
      <c r="C868" s="4">
        <v>45429</v>
      </c>
      <c r="D868" s="3" t="s">
        <v>66</v>
      </c>
      <c r="E868" s="4">
        <v>45472</v>
      </c>
      <c r="F868" s="4">
        <v>45477</v>
      </c>
      <c r="G868" s="3" t="s">
        <v>45</v>
      </c>
      <c r="H868" s="3" t="s">
        <v>38</v>
      </c>
      <c r="I868" s="3" t="s">
        <v>22</v>
      </c>
      <c r="J868" s="3" t="s">
        <v>46</v>
      </c>
      <c r="K868" s="3">
        <v>43</v>
      </c>
      <c r="L868" s="3">
        <v>5</v>
      </c>
      <c r="M868" s="3">
        <v>7368</v>
      </c>
      <c r="N868" s="3">
        <v>36840</v>
      </c>
      <c r="O868" s="3">
        <v>0</v>
      </c>
      <c r="P868" s="3" t="s">
        <v>24</v>
      </c>
      <c r="Q868" s="3">
        <v>1</v>
      </c>
      <c r="R868" s="3" t="str">
        <f t="shared" si="13"/>
        <v>Cancelled</v>
      </c>
      <c r="S868" s="3" t="s">
        <v>25</v>
      </c>
    </row>
    <row r="869" spans="1:19" x14ac:dyDescent="0.35">
      <c r="A869" s="3">
        <v>1868</v>
      </c>
      <c r="B869" s="3" t="s">
        <v>745</v>
      </c>
      <c r="C869" s="4">
        <v>45341</v>
      </c>
      <c r="D869" s="3" t="s">
        <v>165</v>
      </c>
      <c r="E869" s="4">
        <v>45350</v>
      </c>
      <c r="F869" s="4">
        <v>45354</v>
      </c>
      <c r="G869" s="3" t="s">
        <v>42</v>
      </c>
      <c r="H869" s="3" t="s">
        <v>29</v>
      </c>
      <c r="I869" s="3" t="s">
        <v>22</v>
      </c>
      <c r="J869" s="3" t="s">
        <v>23</v>
      </c>
      <c r="K869" s="3">
        <v>9</v>
      </c>
      <c r="L869" s="3">
        <v>4</v>
      </c>
      <c r="M869" s="3">
        <v>2512</v>
      </c>
      <c r="N869" s="3">
        <v>10048</v>
      </c>
      <c r="O869" s="3">
        <v>0</v>
      </c>
      <c r="P869" s="3" t="s">
        <v>51</v>
      </c>
      <c r="Q869" s="3">
        <v>1</v>
      </c>
      <c r="R869" s="3" t="str">
        <f t="shared" si="13"/>
        <v>Cancelled</v>
      </c>
      <c r="S869" s="3" t="s">
        <v>31</v>
      </c>
    </row>
    <row r="870" spans="1:19" x14ac:dyDescent="0.35">
      <c r="A870" s="3">
        <v>1869</v>
      </c>
      <c r="B870" s="3" t="s">
        <v>746</v>
      </c>
      <c r="C870" s="4">
        <v>45550</v>
      </c>
      <c r="D870" s="3" t="s">
        <v>148</v>
      </c>
      <c r="E870" s="4">
        <v>45597</v>
      </c>
      <c r="F870" s="4">
        <v>45599</v>
      </c>
      <c r="G870" s="3" t="s">
        <v>28</v>
      </c>
      <c r="H870" s="3" t="s">
        <v>21</v>
      </c>
      <c r="I870" s="3" t="s">
        <v>39</v>
      </c>
      <c r="J870" s="3" t="s">
        <v>23</v>
      </c>
      <c r="K870" s="3">
        <v>47</v>
      </c>
      <c r="L870" s="3">
        <v>2</v>
      </c>
      <c r="M870" s="3">
        <v>6479</v>
      </c>
      <c r="N870" s="3">
        <v>12958</v>
      </c>
      <c r="O870" s="3">
        <v>12958</v>
      </c>
      <c r="P870" s="3" t="s">
        <v>24</v>
      </c>
      <c r="Q870" s="3">
        <v>0</v>
      </c>
      <c r="R870" s="3" t="str">
        <f t="shared" si="13"/>
        <v>Not Cancelled</v>
      </c>
      <c r="S870" s="3" t="s">
        <v>25</v>
      </c>
    </row>
    <row r="871" spans="1:19" x14ac:dyDescent="0.35">
      <c r="A871" s="3">
        <v>1870</v>
      </c>
      <c r="B871" s="3" t="s">
        <v>747</v>
      </c>
      <c r="C871" s="4">
        <v>45398</v>
      </c>
      <c r="D871" s="3" t="s">
        <v>69</v>
      </c>
      <c r="E871" s="4">
        <v>45431</v>
      </c>
      <c r="F871" s="4">
        <v>45433</v>
      </c>
      <c r="G871" s="3" t="s">
        <v>28</v>
      </c>
      <c r="H871" s="3" t="s">
        <v>21</v>
      </c>
      <c r="I871" s="3" t="s">
        <v>22</v>
      </c>
      <c r="J871" s="3" t="s">
        <v>23</v>
      </c>
      <c r="K871" s="3">
        <v>33</v>
      </c>
      <c r="L871" s="3">
        <v>2</v>
      </c>
      <c r="M871" s="3">
        <v>3420</v>
      </c>
      <c r="N871" s="3">
        <v>6840</v>
      </c>
      <c r="O871" s="3">
        <v>0</v>
      </c>
      <c r="P871" s="3" t="s">
        <v>51</v>
      </c>
      <c r="Q871" s="3">
        <v>1</v>
      </c>
      <c r="R871" s="3" t="str">
        <f t="shared" si="13"/>
        <v>Cancelled</v>
      </c>
      <c r="S871" s="3" t="s">
        <v>25</v>
      </c>
    </row>
    <row r="872" spans="1:19" x14ac:dyDescent="0.35">
      <c r="A872" s="3">
        <v>1871</v>
      </c>
      <c r="B872" s="3" t="s">
        <v>550</v>
      </c>
      <c r="C872" s="4">
        <v>45404</v>
      </c>
      <c r="D872" s="3" t="s">
        <v>69</v>
      </c>
      <c r="E872" s="4">
        <v>45437</v>
      </c>
      <c r="F872" s="4">
        <v>45442</v>
      </c>
      <c r="G872" s="3" t="s">
        <v>45</v>
      </c>
      <c r="H872" s="3" t="s">
        <v>21</v>
      </c>
      <c r="I872" s="3" t="s">
        <v>22</v>
      </c>
      <c r="J872" s="3" t="s">
        <v>23</v>
      </c>
      <c r="K872" s="3">
        <v>33</v>
      </c>
      <c r="L872" s="3">
        <v>5</v>
      </c>
      <c r="M872" s="3">
        <v>7420</v>
      </c>
      <c r="N872" s="3">
        <v>37100</v>
      </c>
      <c r="O872" s="3">
        <v>37100</v>
      </c>
      <c r="P872" s="3" t="s">
        <v>51</v>
      </c>
      <c r="Q872" s="3">
        <v>0</v>
      </c>
      <c r="R872" s="3" t="str">
        <f t="shared" si="13"/>
        <v>Not Cancelled</v>
      </c>
      <c r="S872" s="3" t="s">
        <v>25</v>
      </c>
    </row>
    <row r="873" spans="1:19" x14ac:dyDescent="0.35">
      <c r="A873" s="3">
        <v>1872</v>
      </c>
      <c r="B873" s="3" t="s">
        <v>748</v>
      </c>
      <c r="C873" s="4">
        <v>45641</v>
      </c>
      <c r="D873" s="3" t="s">
        <v>109</v>
      </c>
      <c r="E873" s="4">
        <v>45660</v>
      </c>
      <c r="F873" s="4">
        <v>45665</v>
      </c>
      <c r="G873" s="3" t="s">
        <v>45</v>
      </c>
      <c r="H873" s="3" t="s">
        <v>21</v>
      </c>
      <c r="I873" s="3" t="s">
        <v>39</v>
      </c>
      <c r="J873" s="3" t="s">
        <v>23</v>
      </c>
      <c r="K873" s="3">
        <v>19</v>
      </c>
      <c r="L873" s="3">
        <v>5</v>
      </c>
      <c r="M873" s="3">
        <v>4918</v>
      </c>
      <c r="N873" s="3">
        <v>24590</v>
      </c>
      <c r="O873" s="3">
        <v>0</v>
      </c>
      <c r="P873" s="3" t="s">
        <v>24</v>
      </c>
      <c r="Q873" s="3">
        <v>1</v>
      </c>
      <c r="R873" s="3" t="str">
        <f t="shared" si="13"/>
        <v>Cancelled</v>
      </c>
      <c r="S873" s="3" t="s">
        <v>25</v>
      </c>
    </row>
    <row r="874" spans="1:19" x14ac:dyDescent="0.35">
      <c r="A874" s="3">
        <v>1873</v>
      </c>
      <c r="B874" s="3" t="s">
        <v>749</v>
      </c>
      <c r="C874" s="4">
        <v>45545</v>
      </c>
      <c r="D874" s="3" t="s">
        <v>20</v>
      </c>
      <c r="E874" s="4">
        <v>45548</v>
      </c>
      <c r="F874" s="4">
        <v>45552</v>
      </c>
      <c r="G874" s="3" t="s">
        <v>42</v>
      </c>
      <c r="H874" s="3" t="s">
        <v>38</v>
      </c>
      <c r="I874" s="3" t="s">
        <v>22</v>
      </c>
      <c r="J874" s="3" t="s">
        <v>46</v>
      </c>
      <c r="K874" s="3">
        <v>3</v>
      </c>
      <c r="L874" s="3">
        <v>4</v>
      </c>
      <c r="M874" s="3">
        <v>3814</v>
      </c>
      <c r="N874" s="3">
        <v>15256</v>
      </c>
      <c r="O874" s="3">
        <v>15256</v>
      </c>
      <c r="P874" s="3" t="s">
        <v>51</v>
      </c>
      <c r="Q874" s="3">
        <v>0</v>
      </c>
      <c r="R874" s="3" t="str">
        <f t="shared" si="13"/>
        <v>Not Cancelled</v>
      </c>
      <c r="S874" s="3" t="s">
        <v>31</v>
      </c>
    </row>
    <row r="875" spans="1:19" x14ac:dyDescent="0.35">
      <c r="A875" s="3">
        <v>1874</v>
      </c>
      <c r="B875" s="3" t="s">
        <v>707</v>
      </c>
      <c r="C875" s="4">
        <v>45409</v>
      </c>
      <c r="D875" s="3" t="s">
        <v>37</v>
      </c>
      <c r="E875" s="4">
        <v>45419</v>
      </c>
      <c r="F875" s="4">
        <v>45421</v>
      </c>
      <c r="G875" s="3" t="s">
        <v>28</v>
      </c>
      <c r="H875" s="3" t="s">
        <v>35</v>
      </c>
      <c r="I875" s="3" t="s">
        <v>22</v>
      </c>
      <c r="J875" s="3" t="s">
        <v>46</v>
      </c>
      <c r="K875" s="3">
        <v>10</v>
      </c>
      <c r="L875" s="3">
        <v>2</v>
      </c>
      <c r="M875" s="3">
        <v>8975</v>
      </c>
      <c r="N875" s="3">
        <v>17950</v>
      </c>
      <c r="O875" s="3">
        <v>0</v>
      </c>
      <c r="P875" s="3" t="s">
        <v>24</v>
      </c>
      <c r="Q875" s="3">
        <v>1</v>
      </c>
      <c r="R875" s="3" t="str">
        <f t="shared" si="13"/>
        <v>Cancelled</v>
      </c>
      <c r="S875" s="3" t="s">
        <v>25</v>
      </c>
    </row>
    <row r="876" spans="1:19" x14ac:dyDescent="0.35">
      <c r="A876" s="3">
        <v>1875</v>
      </c>
      <c r="B876" s="3" t="s">
        <v>276</v>
      </c>
      <c r="C876" s="4">
        <v>45489</v>
      </c>
      <c r="D876" s="3" t="s">
        <v>179</v>
      </c>
      <c r="E876" s="4">
        <v>45529</v>
      </c>
      <c r="F876" s="4">
        <v>45534</v>
      </c>
      <c r="G876" s="3" t="s">
        <v>45</v>
      </c>
      <c r="H876" s="3" t="s">
        <v>21</v>
      </c>
      <c r="I876" s="3" t="s">
        <v>22</v>
      </c>
      <c r="J876" s="3" t="s">
        <v>23</v>
      </c>
      <c r="K876" s="3">
        <v>40</v>
      </c>
      <c r="L876" s="3">
        <v>5</v>
      </c>
      <c r="M876" s="3">
        <v>6177</v>
      </c>
      <c r="N876" s="3">
        <v>30885</v>
      </c>
      <c r="O876" s="3">
        <v>0</v>
      </c>
      <c r="P876" s="3" t="s">
        <v>51</v>
      </c>
      <c r="Q876" s="3">
        <v>1</v>
      </c>
      <c r="R876" s="3" t="str">
        <f t="shared" si="13"/>
        <v>Cancelled</v>
      </c>
      <c r="S876" s="3" t="s">
        <v>31</v>
      </c>
    </row>
    <row r="877" spans="1:19" x14ac:dyDescent="0.35">
      <c r="A877" s="3">
        <v>1876</v>
      </c>
      <c r="B877" s="3" t="s">
        <v>736</v>
      </c>
      <c r="C877" s="4">
        <v>45628</v>
      </c>
      <c r="D877" s="3" t="s">
        <v>148</v>
      </c>
      <c r="E877" s="4">
        <v>45675</v>
      </c>
      <c r="F877" s="4">
        <v>45677</v>
      </c>
      <c r="G877" s="3" t="s">
        <v>28</v>
      </c>
      <c r="H877" s="3" t="s">
        <v>35</v>
      </c>
      <c r="I877" s="3" t="s">
        <v>39</v>
      </c>
      <c r="J877" s="3" t="s">
        <v>30</v>
      </c>
      <c r="K877" s="3">
        <v>47</v>
      </c>
      <c r="L877" s="3">
        <v>2</v>
      </c>
      <c r="M877" s="3">
        <v>8904</v>
      </c>
      <c r="N877" s="3">
        <v>17808</v>
      </c>
      <c r="O877" s="3">
        <v>17808</v>
      </c>
      <c r="P877" s="3" t="s">
        <v>24</v>
      </c>
      <c r="Q877" s="3">
        <v>0</v>
      </c>
      <c r="R877" s="3" t="str">
        <f t="shared" si="13"/>
        <v>Not Cancelled</v>
      </c>
      <c r="S877" s="3" t="s">
        <v>31</v>
      </c>
    </row>
    <row r="878" spans="1:19" x14ac:dyDescent="0.35">
      <c r="A878" s="3">
        <v>1877</v>
      </c>
      <c r="B878" s="3" t="s">
        <v>750</v>
      </c>
      <c r="C878" s="4">
        <v>45656</v>
      </c>
      <c r="D878" s="3" t="s">
        <v>140</v>
      </c>
      <c r="E878" s="4">
        <v>45698</v>
      </c>
      <c r="F878" s="4">
        <v>45703</v>
      </c>
      <c r="G878" s="3" t="s">
        <v>45</v>
      </c>
      <c r="H878" s="3" t="s">
        <v>21</v>
      </c>
      <c r="I878" s="3" t="s">
        <v>22</v>
      </c>
      <c r="J878" s="3" t="s">
        <v>23</v>
      </c>
      <c r="K878" s="3">
        <v>42</v>
      </c>
      <c r="L878" s="3">
        <v>5</v>
      </c>
      <c r="M878" s="3">
        <v>4517</v>
      </c>
      <c r="N878" s="3">
        <v>22585</v>
      </c>
      <c r="O878" s="3">
        <v>22585</v>
      </c>
      <c r="P878" s="3" t="s">
        <v>51</v>
      </c>
      <c r="Q878" s="3">
        <v>0</v>
      </c>
      <c r="R878" s="3" t="str">
        <f t="shared" si="13"/>
        <v>Not Cancelled</v>
      </c>
      <c r="S878" s="3" t="s">
        <v>31</v>
      </c>
    </row>
    <row r="879" spans="1:19" x14ac:dyDescent="0.35">
      <c r="A879" s="3">
        <v>1878</v>
      </c>
      <c r="B879" s="3" t="s">
        <v>736</v>
      </c>
      <c r="C879" s="4">
        <v>45342</v>
      </c>
      <c r="D879" s="3" t="s">
        <v>34</v>
      </c>
      <c r="E879" s="4">
        <v>45343</v>
      </c>
      <c r="F879" s="4">
        <v>45344</v>
      </c>
      <c r="G879" s="3" t="s">
        <v>34</v>
      </c>
      <c r="H879" s="3" t="s">
        <v>60</v>
      </c>
      <c r="I879" s="3" t="s">
        <v>39</v>
      </c>
      <c r="J879" s="3" t="s">
        <v>30</v>
      </c>
      <c r="K879" s="3">
        <v>1</v>
      </c>
      <c r="L879" s="3">
        <v>1</v>
      </c>
      <c r="M879" s="3">
        <v>3728</v>
      </c>
      <c r="N879" s="3">
        <v>3728</v>
      </c>
      <c r="O879" s="3">
        <v>0</v>
      </c>
      <c r="P879" s="3" t="s">
        <v>24</v>
      </c>
      <c r="Q879" s="3">
        <v>1</v>
      </c>
      <c r="R879" s="3" t="str">
        <f t="shared" si="13"/>
        <v>Cancelled</v>
      </c>
      <c r="S879" s="3" t="s">
        <v>25</v>
      </c>
    </row>
    <row r="880" spans="1:19" x14ac:dyDescent="0.35">
      <c r="A880" s="3">
        <v>1879</v>
      </c>
      <c r="B880" s="3" t="s">
        <v>751</v>
      </c>
      <c r="C880" s="4">
        <v>45536</v>
      </c>
      <c r="D880" s="3" t="s">
        <v>57</v>
      </c>
      <c r="E880" s="4">
        <v>45565</v>
      </c>
      <c r="F880" s="4">
        <v>45568</v>
      </c>
      <c r="G880" s="3" t="s">
        <v>20</v>
      </c>
      <c r="H880" s="3" t="s">
        <v>60</v>
      </c>
      <c r="I880" s="3" t="s">
        <v>39</v>
      </c>
      <c r="J880" s="3" t="s">
        <v>46</v>
      </c>
      <c r="K880" s="3">
        <v>29</v>
      </c>
      <c r="L880" s="3">
        <v>3</v>
      </c>
      <c r="M880" s="3">
        <v>7292</v>
      </c>
      <c r="N880" s="3">
        <v>21876</v>
      </c>
      <c r="O880" s="3">
        <v>0</v>
      </c>
      <c r="P880" s="3" t="s">
        <v>24</v>
      </c>
      <c r="Q880" s="3">
        <v>1</v>
      </c>
      <c r="R880" s="3" t="str">
        <f t="shared" si="13"/>
        <v>Cancelled</v>
      </c>
      <c r="S880" s="3" t="s">
        <v>25</v>
      </c>
    </row>
    <row r="881" spans="1:19" x14ac:dyDescent="0.35">
      <c r="A881" s="3">
        <v>1880</v>
      </c>
      <c r="B881" s="3" t="s">
        <v>364</v>
      </c>
      <c r="C881" s="4">
        <v>45326</v>
      </c>
      <c r="D881" s="3" t="s">
        <v>78</v>
      </c>
      <c r="E881" s="4">
        <v>45376</v>
      </c>
      <c r="F881" s="4">
        <v>45377</v>
      </c>
      <c r="G881" s="3" t="s">
        <v>34</v>
      </c>
      <c r="H881" s="3" t="s">
        <v>60</v>
      </c>
      <c r="I881" s="3" t="s">
        <v>39</v>
      </c>
      <c r="J881" s="3" t="s">
        <v>30</v>
      </c>
      <c r="K881" s="3">
        <v>50</v>
      </c>
      <c r="L881" s="3">
        <v>1</v>
      </c>
      <c r="M881" s="3">
        <v>7545</v>
      </c>
      <c r="N881" s="3">
        <v>7545</v>
      </c>
      <c r="O881" s="3">
        <v>0</v>
      </c>
      <c r="P881" s="3" t="s">
        <v>24</v>
      </c>
      <c r="Q881" s="3">
        <v>1</v>
      </c>
      <c r="R881" s="3" t="str">
        <f t="shared" si="13"/>
        <v>Cancelled</v>
      </c>
      <c r="S881" s="3" t="s">
        <v>25</v>
      </c>
    </row>
    <row r="882" spans="1:19" x14ac:dyDescent="0.35">
      <c r="A882" s="3">
        <v>1881</v>
      </c>
      <c r="B882" s="3" t="s">
        <v>364</v>
      </c>
      <c r="C882" s="4">
        <v>45593</v>
      </c>
      <c r="D882" s="3" t="s">
        <v>128</v>
      </c>
      <c r="E882" s="4">
        <v>45627</v>
      </c>
      <c r="F882" s="4">
        <v>45632</v>
      </c>
      <c r="G882" s="3" t="s">
        <v>45</v>
      </c>
      <c r="H882" s="3" t="s">
        <v>21</v>
      </c>
      <c r="I882" s="3" t="s">
        <v>22</v>
      </c>
      <c r="J882" s="3" t="s">
        <v>46</v>
      </c>
      <c r="K882" s="3">
        <v>34</v>
      </c>
      <c r="L882" s="3">
        <v>5</v>
      </c>
      <c r="M882" s="3">
        <v>4934</v>
      </c>
      <c r="N882" s="3">
        <v>24670</v>
      </c>
      <c r="O882" s="3">
        <v>24670</v>
      </c>
      <c r="P882" s="3" t="s">
        <v>24</v>
      </c>
      <c r="Q882" s="3">
        <v>0</v>
      </c>
      <c r="R882" s="3" t="str">
        <f t="shared" si="13"/>
        <v>Not Cancelled</v>
      </c>
      <c r="S882" s="3" t="s">
        <v>31</v>
      </c>
    </row>
    <row r="883" spans="1:19" x14ac:dyDescent="0.35">
      <c r="A883" s="3">
        <v>1882</v>
      </c>
      <c r="B883" s="3" t="s">
        <v>752</v>
      </c>
      <c r="C883" s="4">
        <v>45360</v>
      </c>
      <c r="D883" s="3" t="s">
        <v>124</v>
      </c>
      <c r="E883" s="4">
        <v>45411</v>
      </c>
      <c r="F883" s="4">
        <v>45414</v>
      </c>
      <c r="G883" s="3" t="s">
        <v>20</v>
      </c>
      <c r="H883" s="3" t="s">
        <v>35</v>
      </c>
      <c r="I883" s="3" t="s">
        <v>22</v>
      </c>
      <c r="J883" s="3" t="s">
        <v>30</v>
      </c>
      <c r="K883" s="3">
        <v>51</v>
      </c>
      <c r="L883" s="3">
        <v>3</v>
      </c>
      <c r="M883" s="3">
        <v>5368</v>
      </c>
      <c r="N883" s="3">
        <v>16104</v>
      </c>
      <c r="O883" s="3">
        <v>16104</v>
      </c>
      <c r="P883" s="3" t="s">
        <v>51</v>
      </c>
      <c r="Q883" s="3">
        <v>0</v>
      </c>
      <c r="R883" s="3" t="str">
        <f t="shared" si="13"/>
        <v>Not Cancelled</v>
      </c>
      <c r="S883" s="3" t="s">
        <v>31</v>
      </c>
    </row>
    <row r="884" spans="1:19" x14ac:dyDescent="0.35">
      <c r="A884" s="3">
        <v>1883</v>
      </c>
      <c r="B884" s="3" t="s">
        <v>753</v>
      </c>
      <c r="C884" s="4">
        <v>45640</v>
      </c>
      <c r="D884" s="3" t="s">
        <v>44</v>
      </c>
      <c r="E884" s="4">
        <v>45653</v>
      </c>
      <c r="F884" s="4">
        <v>45656</v>
      </c>
      <c r="G884" s="3" t="s">
        <v>20</v>
      </c>
      <c r="H884" s="3" t="s">
        <v>38</v>
      </c>
      <c r="I884" s="3" t="s">
        <v>22</v>
      </c>
      <c r="J884" s="3" t="s">
        <v>46</v>
      </c>
      <c r="K884" s="3">
        <v>13</v>
      </c>
      <c r="L884" s="3">
        <v>3</v>
      </c>
      <c r="M884" s="3">
        <v>5015</v>
      </c>
      <c r="N884" s="3">
        <v>15045</v>
      </c>
      <c r="O884" s="3">
        <v>15045</v>
      </c>
      <c r="P884" s="3" t="s">
        <v>24</v>
      </c>
      <c r="Q884" s="3">
        <v>0</v>
      </c>
      <c r="R884" s="3" t="str">
        <f t="shared" si="13"/>
        <v>Not Cancelled</v>
      </c>
      <c r="S884" s="3" t="s">
        <v>31</v>
      </c>
    </row>
    <row r="885" spans="1:19" x14ac:dyDescent="0.35">
      <c r="A885" s="3">
        <v>1884</v>
      </c>
      <c r="B885" s="3" t="s">
        <v>637</v>
      </c>
      <c r="C885" s="4">
        <v>45611</v>
      </c>
      <c r="D885" s="3" t="s">
        <v>117</v>
      </c>
      <c r="E885" s="4">
        <v>45665</v>
      </c>
      <c r="F885" s="4">
        <v>45670</v>
      </c>
      <c r="G885" s="3" t="s">
        <v>45</v>
      </c>
      <c r="H885" s="3" t="s">
        <v>29</v>
      </c>
      <c r="I885" s="3" t="s">
        <v>22</v>
      </c>
      <c r="J885" s="3" t="s">
        <v>46</v>
      </c>
      <c r="K885" s="3">
        <v>54</v>
      </c>
      <c r="L885" s="3">
        <v>5</v>
      </c>
      <c r="M885" s="3">
        <v>3938</v>
      </c>
      <c r="N885" s="3">
        <v>19690</v>
      </c>
      <c r="O885" s="3">
        <v>0</v>
      </c>
      <c r="P885" s="3" t="s">
        <v>51</v>
      </c>
      <c r="Q885" s="3">
        <v>1</v>
      </c>
      <c r="R885" s="3" t="str">
        <f t="shared" si="13"/>
        <v>Cancelled</v>
      </c>
      <c r="S885" s="3" t="s">
        <v>31</v>
      </c>
    </row>
    <row r="886" spans="1:19" x14ac:dyDescent="0.35">
      <c r="A886" s="3">
        <v>1885</v>
      </c>
      <c r="B886" s="3" t="s">
        <v>754</v>
      </c>
      <c r="C886" s="4">
        <v>45340</v>
      </c>
      <c r="D886" s="3" t="s">
        <v>34</v>
      </c>
      <c r="E886" s="4">
        <v>45341</v>
      </c>
      <c r="F886" s="4">
        <v>45346</v>
      </c>
      <c r="G886" s="3" t="s">
        <v>45</v>
      </c>
      <c r="H886" s="3" t="s">
        <v>38</v>
      </c>
      <c r="I886" s="3" t="s">
        <v>39</v>
      </c>
      <c r="J886" s="3" t="s">
        <v>23</v>
      </c>
      <c r="K886" s="3">
        <v>1</v>
      </c>
      <c r="L886" s="3">
        <v>5</v>
      </c>
      <c r="M886" s="3">
        <v>6664</v>
      </c>
      <c r="N886" s="3">
        <v>33320</v>
      </c>
      <c r="O886" s="3">
        <v>33320</v>
      </c>
      <c r="P886" s="3" t="s">
        <v>51</v>
      </c>
      <c r="Q886" s="3">
        <v>0</v>
      </c>
      <c r="R886" s="3" t="str">
        <f t="shared" si="13"/>
        <v>Not Cancelled</v>
      </c>
      <c r="S886" s="3" t="s">
        <v>25</v>
      </c>
    </row>
    <row r="887" spans="1:19" x14ac:dyDescent="0.35">
      <c r="A887" s="3">
        <v>1886</v>
      </c>
      <c r="B887" s="3" t="s">
        <v>475</v>
      </c>
      <c r="C887" s="4">
        <v>45365</v>
      </c>
      <c r="D887" s="3" t="s">
        <v>128</v>
      </c>
      <c r="E887" s="4">
        <v>45399</v>
      </c>
      <c r="F887" s="4">
        <v>45401</v>
      </c>
      <c r="G887" s="3" t="s">
        <v>28</v>
      </c>
      <c r="H887" s="3" t="s">
        <v>21</v>
      </c>
      <c r="I887" s="3" t="s">
        <v>39</v>
      </c>
      <c r="J887" s="3" t="s">
        <v>46</v>
      </c>
      <c r="K887" s="3">
        <v>34</v>
      </c>
      <c r="L887" s="3">
        <v>2</v>
      </c>
      <c r="M887" s="3">
        <v>6043</v>
      </c>
      <c r="N887" s="3">
        <v>12086</v>
      </c>
      <c r="O887" s="3">
        <v>0</v>
      </c>
      <c r="P887" s="3" t="s">
        <v>24</v>
      </c>
      <c r="Q887" s="3">
        <v>1</v>
      </c>
      <c r="R887" s="3" t="str">
        <f t="shared" si="13"/>
        <v>Cancelled</v>
      </c>
      <c r="S887" s="3" t="s">
        <v>25</v>
      </c>
    </row>
    <row r="888" spans="1:19" x14ac:dyDescent="0.35">
      <c r="A888" s="3">
        <v>1887</v>
      </c>
      <c r="B888" s="3" t="s">
        <v>755</v>
      </c>
      <c r="C888" s="4">
        <v>45483</v>
      </c>
      <c r="D888" s="3" t="s">
        <v>57</v>
      </c>
      <c r="E888" s="4">
        <v>45512</v>
      </c>
      <c r="F888" s="4">
        <v>45517</v>
      </c>
      <c r="G888" s="3" t="s">
        <v>45</v>
      </c>
      <c r="H888" s="3" t="s">
        <v>60</v>
      </c>
      <c r="I888" s="3" t="s">
        <v>22</v>
      </c>
      <c r="J888" s="3" t="s">
        <v>23</v>
      </c>
      <c r="K888" s="3">
        <v>29</v>
      </c>
      <c r="L888" s="3">
        <v>5</v>
      </c>
      <c r="M888" s="3">
        <v>5675</v>
      </c>
      <c r="N888" s="3">
        <v>28375</v>
      </c>
      <c r="O888" s="3">
        <v>0</v>
      </c>
      <c r="P888" s="3" t="s">
        <v>24</v>
      </c>
      <c r="Q888" s="3">
        <v>1</v>
      </c>
      <c r="R888" s="3" t="str">
        <f t="shared" si="13"/>
        <v>Cancelled</v>
      </c>
      <c r="S888" s="3" t="s">
        <v>25</v>
      </c>
    </row>
    <row r="889" spans="1:19" x14ac:dyDescent="0.35">
      <c r="A889" s="3">
        <v>1888</v>
      </c>
      <c r="B889" s="3" t="s">
        <v>292</v>
      </c>
      <c r="C889" s="4">
        <v>45552</v>
      </c>
      <c r="D889" s="3" t="s">
        <v>73</v>
      </c>
      <c r="E889" s="4">
        <v>45600</v>
      </c>
      <c r="F889" s="4">
        <v>45604</v>
      </c>
      <c r="G889" s="3" t="s">
        <v>42</v>
      </c>
      <c r="H889" s="3" t="s">
        <v>60</v>
      </c>
      <c r="I889" s="3" t="s">
        <v>22</v>
      </c>
      <c r="J889" s="3" t="s">
        <v>23</v>
      </c>
      <c r="K889" s="3">
        <v>48</v>
      </c>
      <c r="L889" s="3">
        <v>4</v>
      </c>
      <c r="M889" s="3">
        <v>4281</v>
      </c>
      <c r="N889" s="3">
        <v>17124</v>
      </c>
      <c r="O889" s="3">
        <v>17124</v>
      </c>
      <c r="P889" s="3" t="s">
        <v>51</v>
      </c>
      <c r="Q889" s="3">
        <v>0</v>
      </c>
      <c r="R889" s="3" t="str">
        <f t="shared" si="13"/>
        <v>Not Cancelled</v>
      </c>
      <c r="S889" s="3" t="s">
        <v>31</v>
      </c>
    </row>
    <row r="890" spans="1:19" x14ac:dyDescent="0.35">
      <c r="A890" s="3">
        <v>1889</v>
      </c>
      <c r="B890" s="3" t="s">
        <v>221</v>
      </c>
      <c r="C890" s="4">
        <v>45647</v>
      </c>
      <c r="D890" s="3" t="s">
        <v>148</v>
      </c>
      <c r="E890" s="4">
        <v>45694</v>
      </c>
      <c r="F890" s="4">
        <v>45699</v>
      </c>
      <c r="G890" s="3" t="s">
        <v>45</v>
      </c>
      <c r="H890" s="3" t="s">
        <v>35</v>
      </c>
      <c r="I890" s="3" t="s">
        <v>39</v>
      </c>
      <c r="J890" s="3" t="s">
        <v>23</v>
      </c>
      <c r="K890" s="3">
        <v>47</v>
      </c>
      <c r="L890" s="3">
        <v>5</v>
      </c>
      <c r="M890" s="3">
        <v>8843</v>
      </c>
      <c r="N890" s="3">
        <v>44215</v>
      </c>
      <c r="O890" s="3">
        <v>44215</v>
      </c>
      <c r="P890" s="3" t="s">
        <v>51</v>
      </c>
      <c r="Q890" s="3">
        <v>0</v>
      </c>
      <c r="R890" s="3" t="str">
        <f t="shared" si="13"/>
        <v>Not Cancelled</v>
      </c>
      <c r="S890" s="3" t="s">
        <v>31</v>
      </c>
    </row>
    <row r="891" spans="1:19" x14ac:dyDescent="0.35">
      <c r="A891" s="3">
        <v>1890</v>
      </c>
      <c r="B891" s="3" t="s">
        <v>756</v>
      </c>
      <c r="C891" s="4">
        <v>45361</v>
      </c>
      <c r="D891" s="3" t="s">
        <v>44</v>
      </c>
      <c r="E891" s="4">
        <v>45374</v>
      </c>
      <c r="F891" s="4">
        <v>45378</v>
      </c>
      <c r="G891" s="3" t="s">
        <v>42</v>
      </c>
      <c r="H891" s="3" t="s">
        <v>21</v>
      </c>
      <c r="I891" s="3" t="s">
        <v>22</v>
      </c>
      <c r="J891" s="3" t="s">
        <v>30</v>
      </c>
      <c r="K891" s="3">
        <v>13</v>
      </c>
      <c r="L891" s="3">
        <v>4</v>
      </c>
      <c r="M891" s="3">
        <v>4763</v>
      </c>
      <c r="N891" s="3">
        <v>19052</v>
      </c>
      <c r="O891" s="3">
        <v>19052</v>
      </c>
      <c r="P891" s="3" t="s">
        <v>51</v>
      </c>
      <c r="Q891" s="3">
        <v>0</v>
      </c>
      <c r="R891" s="3" t="str">
        <f t="shared" si="13"/>
        <v>Not Cancelled</v>
      </c>
      <c r="S891" s="3" t="s">
        <v>25</v>
      </c>
    </row>
    <row r="892" spans="1:19" x14ac:dyDescent="0.35">
      <c r="A892" s="3">
        <v>1891</v>
      </c>
      <c r="B892" s="3" t="s">
        <v>757</v>
      </c>
      <c r="C892" s="4">
        <v>45381</v>
      </c>
      <c r="D892" s="3" t="s">
        <v>73</v>
      </c>
      <c r="E892" s="4">
        <v>45429</v>
      </c>
      <c r="F892" s="4">
        <v>45434</v>
      </c>
      <c r="G892" s="3" t="s">
        <v>45</v>
      </c>
      <c r="H892" s="3" t="s">
        <v>38</v>
      </c>
      <c r="I892" s="3" t="s">
        <v>22</v>
      </c>
      <c r="J892" s="3" t="s">
        <v>30</v>
      </c>
      <c r="K892" s="3">
        <v>48</v>
      </c>
      <c r="L892" s="3">
        <v>5</v>
      </c>
      <c r="M892" s="3">
        <v>4469</v>
      </c>
      <c r="N892" s="3">
        <v>22345</v>
      </c>
      <c r="O892" s="3">
        <v>0</v>
      </c>
      <c r="P892" s="3" t="s">
        <v>24</v>
      </c>
      <c r="Q892" s="3">
        <v>1</v>
      </c>
      <c r="R892" s="3" t="str">
        <f t="shared" si="13"/>
        <v>Cancelled</v>
      </c>
      <c r="S892" s="3" t="s">
        <v>25</v>
      </c>
    </row>
    <row r="893" spans="1:19" x14ac:dyDescent="0.35">
      <c r="A893" s="3">
        <v>1892</v>
      </c>
      <c r="B893" s="3" t="s">
        <v>251</v>
      </c>
      <c r="C893" s="4">
        <v>45551</v>
      </c>
      <c r="D893" s="3" t="s">
        <v>211</v>
      </c>
      <c r="E893" s="4">
        <v>45600</v>
      </c>
      <c r="F893" s="4">
        <v>45602</v>
      </c>
      <c r="G893" s="3" t="s">
        <v>28</v>
      </c>
      <c r="H893" s="3" t="s">
        <v>21</v>
      </c>
      <c r="I893" s="3" t="s">
        <v>22</v>
      </c>
      <c r="J893" s="3" t="s">
        <v>46</v>
      </c>
      <c r="K893" s="3">
        <v>49</v>
      </c>
      <c r="L893" s="3">
        <v>2</v>
      </c>
      <c r="M893" s="3">
        <v>2711</v>
      </c>
      <c r="N893" s="3">
        <v>5422</v>
      </c>
      <c r="O893" s="3">
        <v>0</v>
      </c>
      <c r="P893" s="3" t="s">
        <v>24</v>
      </c>
      <c r="Q893" s="3">
        <v>1</v>
      </c>
      <c r="R893" s="3" t="str">
        <f t="shared" si="13"/>
        <v>Cancelled</v>
      </c>
      <c r="S893" s="3" t="s">
        <v>31</v>
      </c>
    </row>
    <row r="894" spans="1:19" x14ac:dyDescent="0.35">
      <c r="A894" s="3">
        <v>1893</v>
      </c>
      <c r="B894" s="3" t="s">
        <v>758</v>
      </c>
      <c r="C894" s="4">
        <v>45417</v>
      </c>
      <c r="D894" s="3" t="s">
        <v>133</v>
      </c>
      <c r="E894" s="4">
        <v>45470</v>
      </c>
      <c r="F894" s="4">
        <v>45474</v>
      </c>
      <c r="G894" s="3" t="s">
        <v>42</v>
      </c>
      <c r="H894" s="3" t="s">
        <v>21</v>
      </c>
      <c r="I894" s="3" t="s">
        <v>22</v>
      </c>
      <c r="J894" s="3" t="s">
        <v>23</v>
      </c>
      <c r="K894" s="3">
        <v>53</v>
      </c>
      <c r="L894" s="3">
        <v>4</v>
      </c>
      <c r="M894" s="3">
        <v>3007</v>
      </c>
      <c r="N894" s="3">
        <v>12028</v>
      </c>
      <c r="O894" s="3">
        <v>0</v>
      </c>
      <c r="P894" s="3" t="s">
        <v>51</v>
      </c>
      <c r="Q894" s="3">
        <v>1</v>
      </c>
      <c r="R894" s="3" t="str">
        <f t="shared" si="13"/>
        <v>Cancelled</v>
      </c>
      <c r="S894" s="3" t="s">
        <v>25</v>
      </c>
    </row>
    <row r="895" spans="1:19" x14ac:dyDescent="0.35">
      <c r="A895" s="3">
        <v>1894</v>
      </c>
      <c r="B895" s="3" t="s">
        <v>759</v>
      </c>
      <c r="C895" s="4">
        <v>45522</v>
      </c>
      <c r="D895" s="3" t="s">
        <v>57</v>
      </c>
      <c r="E895" s="4">
        <v>45551</v>
      </c>
      <c r="F895" s="4">
        <v>45552</v>
      </c>
      <c r="G895" s="3" t="s">
        <v>34</v>
      </c>
      <c r="H895" s="3" t="s">
        <v>60</v>
      </c>
      <c r="I895" s="3" t="s">
        <v>22</v>
      </c>
      <c r="J895" s="3" t="s">
        <v>23</v>
      </c>
      <c r="K895" s="3">
        <v>29</v>
      </c>
      <c r="L895" s="3">
        <v>1</v>
      </c>
      <c r="M895" s="3">
        <v>8659</v>
      </c>
      <c r="N895" s="3">
        <v>8659</v>
      </c>
      <c r="O895" s="3">
        <v>8659</v>
      </c>
      <c r="P895" s="3" t="s">
        <v>51</v>
      </c>
      <c r="Q895" s="3">
        <v>0</v>
      </c>
      <c r="R895" s="3" t="str">
        <f t="shared" si="13"/>
        <v>Not Cancelled</v>
      </c>
      <c r="S895" s="3" t="s">
        <v>25</v>
      </c>
    </row>
    <row r="896" spans="1:19" x14ac:dyDescent="0.35">
      <c r="A896" s="3">
        <v>1895</v>
      </c>
      <c r="B896" s="3" t="s">
        <v>446</v>
      </c>
      <c r="C896" s="4">
        <v>45586</v>
      </c>
      <c r="D896" s="3" t="s">
        <v>153</v>
      </c>
      <c r="E896" s="4">
        <v>45625</v>
      </c>
      <c r="F896" s="4">
        <v>45629</v>
      </c>
      <c r="G896" s="3" t="s">
        <v>42</v>
      </c>
      <c r="H896" s="3" t="s">
        <v>38</v>
      </c>
      <c r="I896" s="3" t="s">
        <v>22</v>
      </c>
      <c r="J896" s="3" t="s">
        <v>46</v>
      </c>
      <c r="K896" s="3">
        <v>39</v>
      </c>
      <c r="L896" s="3">
        <v>4</v>
      </c>
      <c r="M896" s="3">
        <v>8117</v>
      </c>
      <c r="N896" s="3">
        <v>32468</v>
      </c>
      <c r="O896" s="3">
        <v>0</v>
      </c>
      <c r="P896" s="3" t="s">
        <v>51</v>
      </c>
      <c r="Q896" s="3">
        <v>1</v>
      </c>
      <c r="R896" s="3" t="str">
        <f t="shared" si="13"/>
        <v>Cancelled</v>
      </c>
      <c r="S896" s="3" t="s">
        <v>31</v>
      </c>
    </row>
    <row r="897" spans="1:19" x14ac:dyDescent="0.35">
      <c r="A897" s="3">
        <v>1896</v>
      </c>
      <c r="B897" s="3" t="s">
        <v>760</v>
      </c>
      <c r="C897" s="4">
        <v>45420</v>
      </c>
      <c r="D897" s="3" t="s">
        <v>159</v>
      </c>
      <c r="E897" s="4">
        <v>45444</v>
      </c>
      <c r="F897" s="4">
        <v>45446</v>
      </c>
      <c r="G897" s="3" t="s">
        <v>28</v>
      </c>
      <c r="H897" s="3" t="s">
        <v>29</v>
      </c>
      <c r="I897" s="3" t="s">
        <v>39</v>
      </c>
      <c r="J897" s="3" t="s">
        <v>23</v>
      </c>
      <c r="K897" s="3">
        <v>24</v>
      </c>
      <c r="L897" s="3">
        <v>2</v>
      </c>
      <c r="M897" s="3">
        <v>2831</v>
      </c>
      <c r="N897" s="3">
        <v>5662</v>
      </c>
      <c r="O897" s="3">
        <v>5662</v>
      </c>
      <c r="P897" s="3" t="s">
        <v>24</v>
      </c>
      <c r="Q897" s="3">
        <v>0</v>
      </c>
      <c r="R897" s="3" t="str">
        <f t="shared" si="13"/>
        <v>Not Cancelled</v>
      </c>
      <c r="S897" s="3" t="s">
        <v>31</v>
      </c>
    </row>
    <row r="898" spans="1:19" x14ac:dyDescent="0.35">
      <c r="A898" s="3">
        <v>1897</v>
      </c>
      <c r="B898" s="3" t="s">
        <v>761</v>
      </c>
      <c r="C898" s="4">
        <v>45571</v>
      </c>
      <c r="D898" s="3" t="s">
        <v>98</v>
      </c>
      <c r="E898" s="4">
        <v>45597</v>
      </c>
      <c r="F898" s="4">
        <v>45601</v>
      </c>
      <c r="G898" s="3" t="s">
        <v>42</v>
      </c>
      <c r="H898" s="3" t="s">
        <v>60</v>
      </c>
      <c r="I898" s="3" t="s">
        <v>39</v>
      </c>
      <c r="J898" s="3" t="s">
        <v>46</v>
      </c>
      <c r="K898" s="3">
        <v>26</v>
      </c>
      <c r="L898" s="3">
        <v>4</v>
      </c>
      <c r="M898" s="3">
        <v>3050</v>
      </c>
      <c r="N898" s="3">
        <v>12200</v>
      </c>
      <c r="O898" s="3">
        <v>12200</v>
      </c>
      <c r="P898" s="3" t="s">
        <v>51</v>
      </c>
      <c r="Q898" s="3">
        <v>0</v>
      </c>
      <c r="R898" s="3" t="str">
        <f t="shared" si="13"/>
        <v>Not Cancelled</v>
      </c>
      <c r="S898" s="3" t="s">
        <v>31</v>
      </c>
    </row>
    <row r="899" spans="1:19" x14ac:dyDescent="0.35">
      <c r="A899" s="3">
        <v>1898</v>
      </c>
      <c r="B899" s="3" t="s">
        <v>762</v>
      </c>
      <c r="C899" s="4">
        <v>45604</v>
      </c>
      <c r="D899" s="3" t="s">
        <v>71</v>
      </c>
      <c r="E899" s="4">
        <v>45621</v>
      </c>
      <c r="F899" s="4">
        <v>45626</v>
      </c>
      <c r="G899" s="3" t="s">
        <v>45</v>
      </c>
      <c r="H899" s="3" t="s">
        <v>38</v>
      </c>
      <c r="I899" s="3" t="s">
        <v>39</v>
      </c>
      <c r="J899" s="3" t="s">
        <v>23</v>
      </c>
      <c r="K899" s="3">
        <v>17</v>
      </c>
      <c r="L899" s="3">
        <v>5</v>
      </c>
      <c r="M899" s="3">
        <v>8220</v>
      </c>
      <c r="N899" s="3">
        <v>41100</v>
      </c>
      <c r="O899" s="3">
        <v>0</v>
      </c>
      <c r="P899" s="3" t="s">
        <v>51</v>
      </c>
      <c r="Q899" s="3">
        <v>1</v>
      </c>
      <c r="R899" s="3" t="str">
        <f t="shared" ref="R899:R962" si="14">IF(Q899=0,"Not Cancelled","Cancelled")</f>
        <v>Cancelled</v>
      </c>
      <c r="S899" s="3" t="s">
        <v>25</v>
      </c>
    </row>
    <row r="900" spans="1:19" x14ac:dyDescent="0.35">
      <c r="A900" s="3">
        <v>1899</v>
      </c>
      <c r="B900" s="3" t="s">
        <v>330</v>
      </c>
      <c r="C900" s="4">
        <v>45391</v>
      </c>
      <c r="D900" s="3" t="s">
        <v>209</v>
      </c>
      <c r="E900" s="4">
        <v>45398</v>
      </c>
      <c r="F900" s="4">
        <v>45403</v>
      </c>
      <c r="G900" s="3" t="s">
        <v>45</v>
      </c>
      <c r="H900" s="3" t="s">
        <v>35</v>
      </c>
      <c r="I900" s="3" t="s">
        <v>39</v>
      </c>
      <c r="J900" s="3" t="s">
        <v>30</v>
      </c>
      <c r="K900" s="3">
        <v>7</v>
      </c>
      <c r="L900" s="3">
        <v>5</v>
      </c>
      <c r="M900" s="3">
        <v>3441</v>
      </c>
      <c r="N900" s="3">
        <v>17205</v>
      </c>
      <c r="O900" s="3">
        <v>17205</v>
      </c>
      <c r="P900" s="3" t="s">
        <v>51</v>
      </c>
      <c r="Q900" s="3">
        <v>0</v>
      </c>
      <c r="R900" s="3" t="str">
        <f t="shared" si="14"/>
        <v>Not Cancelled</v>
      </c>
      <c r="S900" s="3" t="s">
        <v>31</v>
      </c>
    </row>
    <row r="901" spans="1:19" x14ac:dyDescent="0.35">
      <c r="A901" s="3">
        <v>1900</v>
      </c>
      <c r="B901" s="3" t="s">
        <v>389</v>
      </c>
      <c r="C901" s="4">
        <v>45617</v>
      </c>
      <c r="D901" s="3" t="s">
        <v>44</v>
      </c>
      <c r="E901" s="4">
        <v>45630</v>
      </c>
      <c r="F901" s="4">
        <v>45632</v>
      </c>
      <c r="G901" s="3" t="s">
        <v>28</v>
      </c>
      <c r="H901" s="3" t="s">
        <v>60</v>
      </c>
      <c r="I901" s="3" t="s">
        <v>22</v>
      </c>
      <c r="J901" s="3" t="s">
        <v>46</v>
      </c>
      <c r="K901" s="3">
        <v>13</v>
      </c>
      <c r="L901" s="3">
        <v>2</v>
      </c>
      <c r="M901" s="3">
        <v>8899</v>
      </c>
      <c r="N901" s="3">
        <v>17798</v>
      </c>
      <c r="O901" s="3">
        <v>17798</v>
      </c>
      <c r="P901" s="3" t="s">
        <v>51</v>
      </c>
      <c r="Q901" s="3">
        <v>0</v>
      </c>
      <c r="R901" s="3" t="str">
        <f t="shared" si="14"/>
        <v>Not Cancelled</v>
      </c>
      <c r="S901" s="3" t="s">
        <v>25</v>
      </c>
    </row>
    <row r="902" spans="1:19" x14ac:dyDescent="0.35">
      <c r="A902" s="3">
        <v>1901</v>
      </c>
      <c r="B902" s="3" t="s">
        <v>741</v>
      </c>
      <c r="C902" s="4">
        <v>45588</v>
      </c>
      <c r="D902" s="3" t="s">
        <v>45</v>
      </c>
      <c r="E902" s="4">
        <v>45593</v>
      </c>
      <c r="F902" s="4">
        <v>45596</v>
      </c>
      <c r="G902" s="3" t="s">
        <v>20</v>
      </c>
      <c r="H902" s="3" t="s">
        <v>35</v>
      </c>
      <c r="I902" s="3" t="s">
        <v>22</v>
      </c>
      <c r="J902" s="3" t="s">
        <v>46</v>
      </c>
      <c r="K902" s="3">
        <v>5</v>
      </c>
      <c r="L902" s="3">
        <v>3</v>
      </c>
      <c r="M902" s="3">
        <v>3227</v>
      </c>
      <c r="N902" s="3">
        <v>9681</v>
      </c>
      <c r="O902" s="3">
        <v>9681</v>
      </c>
      <c r="P902" s="3" t="s">
        <v>24</v>
      </c>
      <c r="Q902" s="3">
        <v>0</v>
      </c>
      <c r="R902" s="3" t="str">
        <f t="shared" si="14"/>
        <v>Not Cancelled</v>
      </c>
      <c r="S902" s="3" t="s">
        <v>25</v>
      </c>
    </row>
    <row r="903" spans="1:19" x14ac:dyDescent="0.35">
      <c r="A903" s="3">
        <v>1902</v>
      </c>
      <c r="B903" s="3" t="s">
        <v>701</v>
      </c>
      <c r="C903" s="4">
        <v>45473</v>
      </c>
      <c r="D903" s="3" t="s">
        <v>98</v>
      </c>
      <c r="E903" s="4">
        <v>45499</v>
      </c>
      <c r="F903" s="4">
        <v>45504</v>
      </c>
      <c r="G903" s="3" t="s">
        <v>45</v>
      </c>
      <c r="H903" s="3" t="s">
        <v>60</v>
      </c>
      <c r="I903" s="3" t="s">
        <v>39</v>
      </c>
      <c r="J903" s="3" t="s">
        <v>30</v>
      </c>
      <c r="K903" s="3">
        <v>26</v>
      </c>
      <c r="L903" s="3">
        <v>5</v>
      </c>
      <c r="M903" s="3">
        <v>7475</v>
      </c>
      <c r="N903" s="3">
        <v>37375</v>
      </c>
      <c r="O903" s="3">
        <v>0</v>
      </c>
      <c r="P903" s="3" t="s">
        <v>51</v>
      </c>
      <c r="Q903" s="3">
        <v>1</v>
      </c>
      <c r="R903" s="3" t="str">
        <f t="shared" si="14"/>
        <v>Cancelled</v>
      </c>
      <c r="S903" s="3" t="s">
        <v>31</v>
      </c>
    </row>
    <row r="904" spans="1:19" x14ac:dyDescent="0.35">
      <c r="A904" s="3">
        <v>1903</v>
      </c>
      <c r="B904" s="3" t="s">
        <v>763</v>
      </c>
      <c r="C904" s="4">
        <v>45465</v>
      </c>
      <c r="D904" s="3" t="s">
        <v>211</v>
      </c>
      <c r="E904" s="4">
        <v>45514</v>
      </c>
      <c r="F904" s="4">
        <v>45515</v>
      </c>
      <c r="G904" s="3" t="s">
        <v>34</v>
      </c>
      <c r="H904" s="3" t="s">
        <v>21</v>
      </c>
      <c r="I904" s="3" t="s">
        <v>39</v>
      </c>
      <c r="J904" s="3" t="s">
        <v>46</v>
      </c>
      <c r="K904" s="3">
        <v>49</v>
      </c>
      <c r="L904" s="3">
        <v>1</v>
      </c>
      <c r="M904" s="3">
        <v>5362</v>
      </c>
      <c r="N904" s="3">
        <v>5362</v>
      </c>
      <c r="O904" s="3">
        <v>0</v>
      </c>
      <c r="P904" s="3" t="s">
        <v>24</v>
      </c>
      <c r="Q904" s="3">
        <v>1</v>
      </c>
      <c r="R904" s="3" t="str">
        <f t="shared" si="14"/>
        <v>Cancelled</v>
      </c>
      <c r="S904" s="3" t="s">
        <v>25</v>
      </c>
    </row>
    <row r="905" spans="1:19" x14ac:dyDescent="0.35">
      <c r="A905" s="3">
        <v>1904</v>
      </c>
      <c r="B905" s="3" t="s">
        <v>764</v>
      </c>
      <c r="C905" s="4">
        <v>45607</v>
      </c>
      <c r="D905" s="3" t="s">
        <v>20</v>
      </c>
      <c r="E905" s="4">
        <v>45610</v>
      </c>
      <c r="F905" s="4">
        <v>45612</v>
      </c>
      <c r="G905" s="3" t="s">
        <v>28</v>
      </c>
      <c r="H905" s="3" t="s">
        <v>38</v>
      </c>
      <c r="I905" s="3" t="s">
        <v>39</v>
      </c>
      <c r="J905" s="3" t="s">
        <v>30</v>
      </c>
      <c r="K905" s="3">
        <v>3</v>
      </c>
      <c r="L905" s="3">
        <v>2</v>
      </c>
      <c r="M905" s="3">
        <v>5743</v>
      </c>
      <c r="N905" s="3">
        <v>11486</v>
      </c>
      <c r="O905" s="3">
        <v>11486</v>
      </c>
      <c r="P905" s="3" t="s">
        <v>24</v>
      </c>
      <c r="Q905" s="3">
        <v>0</v>
      </c>
      <c r="R905" s="3" t="str">
        <f t="shared" si="14"/>
        <v>Not Cancelled</v>
      </c>
      <c r="S905" s="3" t="s">
        <v>31</v>
      </c>
    </row>
    <row r="906" spans="1:19" x14ac:dyDescent="0.35">
      <c r="A906" s="3">
        <v>1905</v>
      </c>
      <c r="B906" s="3" t="s">
        <v>729</v>
      </c>
      <c r="C906" s="4">
        <v>45655</v>
      </c>
      <c r="D906" s="3" t="s">
        <v>209</v>
      </c>
      <c r="E906" s="4">
        <v>45662</v>
      </c>
      <c r="F906" s="4">
        <v>45666</v>
      </c>
      <c r="G906" s="3" t="s">
        <v>42</v>
      </c>
      <c r="H906" s="3" t="s">
        <v>35</v>
      </c>
      <c r="I906" s="3" t="s">
        <v>39</v>
      </c>
      <c r="J906" s="3" t="s">
        <v>23</v>
      </c>
      <c r="K906" s="3">
        <v>7</v>
      </c>
      <c r="L906" s="3">
        <v>4</v>
      </c>
      <c r="M906" s="3">
        <v>3148</v>
      </c>
      <c r="N906" s="3">
        <v>12592</v>
      </c>
      <c r="O906" s="3">
        <v>12592</v>
      </c>
      <c r="P906" s="3" t="s">
        <v>51</v>
      </c>
      <c r="Q906" s="3">
        <v>0</v>
      </c>
      <c r="R906" s="3" t="str">
        <f t="shared" si="14"/>
        <v>Not Cancelled</v>
      </c>
      <c r="S906" s="3" t="s">
        <v>31</v>
      </c>
    </row>
    <row r="907" spans="1:19" x14ac:dyDescent="0.35">
      <c r="A907" s="3">
        <v>1906</v>
      </c>
      <c r="B907" s="3" t="s">
        <v>458</v>
      </c>
      <c r="C907" s="4">
        <v>45479</v>
      </c>
      <c r="D907" s="3" t="s">
        <v>237</v>
      </c>
      <c r="E907" s="4">
        <v>45537</v>
      </c>
      <c r="F907" s="4">
        <v>45541</v>
      </c>
      <c r="G907" s="3" t="s">
        <v>42</v>
      </c>
      <c r="H907" s="3" t="s">
        <v>60</v>
      </c>
      <c r="I907" s="3" t="s">
        <v>39</v>
      </c>
      <c r="J907" s="3" t="s">
        <v>30</v>
      </c>
      <c r="K907" s="3">
        <v>58</v>
      </c>
      <c r="L907" s="3">
        <v>4</v>
      </c>
      <c r="M907" s="3">
        <v>7595</v>
      </c>
      <c r="N907" s="3">
        <v>30380</v>
      </c>
      <c r="O907" s="3">
        <v>30380</v>
      </c>
      <c r="P907" s="3" t="s">
        <v>24</v>
      </c>
      <c r="Q907" s="3">
        <v>0</v>
      </c>
      <c r="R907" s="3" t="str">
        <f t="shared" si="14"/>
        <v>Not Cancelled</v>
      </c>
      <c r="S907" s="3" t="s">
        <v>25</v>
      </c>
    </row>
    <row r="908" spans="1:19" x14ac:dyDescent="0.35">
      <c r="A908" s="3">
        <v>1907</v>
      </c>
      <c r="B908" s="3" t="s">
        <v>765</v>
      </c>
      <c r="C908" s="4">
        <v>45348</v>
      </c>
      <c r="D908" s="3" t="s">
        <v>211</v>
      </c>
      <c r="E908" s="4">
        <v>45397</v>
      </c>
      <c r="F908" s="4">
        <v>45398</v>
      </c>
      <c r="G908" s="3" t="s">
        <v>34</v>
      </c>
      <c r="H908" s="3" t="s">
        <v>35</v>
      </c>
      <c r="I908" s="3" t="s">
        <v>22</v>
      </c>
      <c r="J908" s="3" t="s">
        <v>30</v>
      </c>
      <c r="K908" s="3">
        <v>49</v>
      </c>
      <c r="L908" s="3">
        <v>1</v>
      </c>
      <c r="M908" s="3">
        <v>8117</v>
      </c>
      <c r="N908" s="3">
        <v>8117</v>
      </c>
      <c r="O908" s="3">
        <v>8117</v>
      </c>
      <c r="P908" s="3" t="s">
        <v>51</v>
      </c>
      <c r="Q908" s="3">
        <v>0</v>
      </c>
      <c r="R908" s="3" t="str">
        <f t="shared" si="14"/>
        <v>Not Cancelled</v>
      </c>
      <c r="S908" s="3" t="s">
        <v>25</v>
      </c>
    </row>
    <row r="909" spans="1:19" x14ac:dyDescent="0.35">
      <c r="A909" s="3">
        <v>1908</v>
      </c>
      <c r="B909" s="3" t="s">
        <v>766</v>
      </c>
      <c r="C909" s="4">
        <v>45322</v>
      </c>
      <c r="D909" s="3" t="s">
        <v>153</v>
      </c>
      <c r="E909" s="4">
        <v>45361</v>
      </c>
      <c r="F909" s="4">
        <v>45366</v>
      </c>
      <c r="G909" s="3" t="s">
        <v>45</v>
      </c>
      <c r="H909" s="3" t="s">
        <v>60</v>
      </c>
      <c r="I909" s="3" t="s">
        <v>22</v>
      </c>
      <c r="J909" s="3" t="s">
        <v>46</v>
      </c>
      <c r="K909" s="3">
        <v>39</v>
      </c>
      <c r="L909" s="3">
        <v>5</v>
      </c>
      <c r="M909" s="3">
        <v>5237</v>
      </c>
      <c r="N909" s="3">
        <v>26185</v>
      </c>
      <c r="O909" s="3">
        <v>0</v>
      </c>
      <c r="P909" s="3" t="s">
        <v>51</v>
      </c>
      <c r="Q909" s="3">
        <v>1</v>
      </c>
      <c r="R909" s="3" t="str">
        <f t="shared" si="14"/>
        <v>Cancelled</v>
      </c>
      <c r="S909" s="3" t="s">
        <v>31</v>
      </c>
    </row>
    <row r="910" spans="1:19" x14ac:dyDescent="0.35">
      <c r="A910" s="3">
        <v>1909</v>
      </c>
      <c r="B910" s="3" t="s">
        <v>767</v>
      </c>
      <c r="C910" s="4">
        <v>45375</v>
      </c>
      <c r="D910" s="3" t="s">
        <v>133</v>
      </c>
      <c r="E910" s="4">
        <v>45428</v>
      </c>
      <c r="F910" s="4">
        <v>45430</v>
      </c>
      <c r="G910" s="3" t="s">
        <v>28</v>
      </c>
      <c r="H910" s="3" t="s">
        <v>60</v>
      </c>
      <c r="I910" s="3" t="s">
        <v>39</v>
      </c>
      <c r="J910" s="3" t="s">
        <v>23</v>
      </c>
      <c r="K910" s="3">
        <v>53</v>
      </c>
      <c r="L910" s="3">
        <v>2</v>
      </c>
      <c r="M910" s="3">
        <v>8208</v>
      </c>
      <c r="N910" s="3">
        <v>16416</v>
      </c>
      <c r="O910" s="3">
        <v>0</v>
      </c>
      <c r="P910" s="3" t="s">
        <v>51</v>
      </c>
      <c r="Q910" s="3">
        <v>1</v>
      </c>
      <c r="R910" s="3" t="str">
        <f t="shared" si="14"/>
        <v>Cancelled</v>
      </c>
      <c r="S910" s="3" t="s">
        <v>31</v>
      </c>
    </row>
    <row r="911" spans="1:19" x14ac:dyDescent="0.35">
      <c r="A911" s="3">
        <v>1910</v>
      </c>
      <c r="B911" s="3" t="s">
        <v>768</v>
      </c>
      <c r="C911" s="4">
        <v>45443</v>
      </c>
      <c r="D911" s="3" t="s">
        <v>34</v>
      </c>
      <c r="E911" s="4">
        <v>45444</v>
      </c>
      <c r="F911" s="4">
        <v>45445</v>
      </c>
      <c r="G911" s="3" t="s">
        <v>34</v>
      </c>
      <c r="H911" s="3" t="s">
        <v>29</v>
      </c>
      <c r="I911" s="3" t="s">
        <v>39</v>
      </c>
      <c r="J911" s="3" t="s">
        <v>30</v>
      </c>
      <c r="K911" s="3">
        <v>1</v>
      </c>
      <c r="L911" s="3">
        <v>1</v>
      </c>
      <c r="M911" s="3">
        <v>5247</v>
      </c>
      <c r="N911" s="3">
        <v>5247</v>
      </c>
      <c r="O911" s="3">
        <v>5247</v>
      </c>
      <c r="P911" s="3" t="s">
        <v>51</v>
      </c>
      <c r="Q911" s="3">
        <v>0</v>
      </c>
      <c r="R911" s="3" t="str">
        <f t="shared" si="14"/>
        <v>Not Cancelled</v>
      </c>
      <c r="S911" s="3" t="s">
        <v>31</v>
      </c>
    </row>
    <row r="912" spans="1:19" x14ac:dyDescent="0.35">
      <c r="A912" s="3">
        <v>1911</v>
      </c>
      <c r="B912" s="3" t="s">
        <v>769</v>
      </c>
      <c r="C912" s="4">
        <v>45327</v>
      </c>
      <c r="D912" s="3" t="s">
        <v>211</v>
      </c>
      <c r="E912" s="4">
        <v>45376</v>
      </c>
      <c r="F912" s="4">
        <v>45381</v>
      </c>
      <c r="G912" s="3" t="s">
        <v>45</v>
      </c>
      <c r="H912" s="3" t="s">
        <v>29</v>
      </c>
      <c r="I912" s="3" t="s">
        <v>22</v>
      </c>
      <c r="J912" s="3" t="s">
        <v>23</v>
      </c>
      <c r="K912" s="3">
        <v>49</v>
      </c>
      <c r="L912" s="3">
        <v>5</v>
      </c>
      <c r="M912" s="3">
        <v>3509</v>
      </c>
      <c r="N912" s="3">
        <v>17545</v>
      </c>
      <c r="O912" s="3">
        <v>17545</v>
      </c>
      <c r="P912" s="3" t="s">
        <v>51</v>
      </c>
      <c r="Q912" s="3">
        <v>0</v>
      </c>
      <c r="R912" s="3" t="str">
        <f t="shared" si="14"/>
        <v>Not Cancelled</v>
      </c>
      <c r="S912" s="3" t="s">
        <v>31</v>
      </c>
    </row>
    <row r="913" spans="1:19" x14ac:dyDescent="0.35">
      <c r="A913" s="3">
        <v>1912</v>
      </c>
      <c r="B913" s="3" t="s">
        <v>770</v>
      </c>
      <c r="C913" s="4">
        <v>45504</v>
      </c>
      <c r="D913" s="3" t="s">
        <v>71</v>
      </c>
      <c r="E913" s="4">
        <v>45521</v>
      </c>
      <c r="F913" s="4">
        <v>45523</v>
      </c>
      <c r="G913" s="3" t="s">
        <v>28</v>
      </c>
      <c r="H913" s="3" t="s">
        <v>29</v>
      </c>
      <c r="I913" s="3" t="s">
        <v>22</v>
      </c>
      <c r="J913" s="3" t="s">
        <v>30</v>
      </c>
      <c r="K913" s="3">
        <v>17</v>
      </c>
      <c r="L913" s="3">
        <v>2</v>
      </c>
      <c r="M913" s="3">
        <v>4050</v>
      </c>
      <c r="N913" s="3">
        <v>8100</v>
      </c>
      <c r="O913" s="3">
        <v>0</v>
      </c>
      <c r="P913" s="3" t="s">
        <v>24</v>
      </c>
      <c r="Q913" s="3">
        <v>1</v>
      </c>
      <c r="R913" s="3" t="str">
        <f t="shared" si="14"/>
        <v>Cancelled</v>
      </c>
      <c r="S913" s="3" t="s">
        <v>31</v>
      </c>
    </row>
    <row r="914" spans="1:19" x14ac:dyDescent="0.35">
      <c r="A914" s="3">
        <v>1913</v>
      </c>
      <c r="B914" s="3" t="s">
        <v>468</v>
      </c>
      <c r="C914" s="4">
        <v>45655</v>
      </c>
      <c r="D914" s="3" t="s">
        <v>66</v>
      </c>
      <c r="E914" s="4">
        <v>45698</v>
      </c>
      <c r="F914" s="4">
        <v>45702</v>
      </c>
      <c r="G914" s="3" t="s">
        <v>42</v>
      </c>
      <c r="H914" s="3" t="s">
        <v>35</v>
      </c>
      <c r="I914" s="3" t="s">
        <v>22</v>
      </c>
      <c r="J914" s="3" t="s">
        <v>46</v>
      </c>
      <c r="K914" s="3">
        <v>43</v>
      </c>
      <c r="L914" s="3">
        <v>4</v>
      </c>
      <c r="M914" s="3">
        <v>3303</v>
      </c>
      <c r="N914" s="3">
        <v>13212</v>
      </c>
      <c r="O914" s="3">
        <v>0</v>
      </c>
      <c r="P914" s="3" t="s">
        <v>24</v>
      </c>
      <c r="Q914" s="3">
        <v>1</v>
      </c>
      <c r="R914" s="3" t="str">
        <f t="shared" si="14"/>
        <v>Cancelled</v>
      </c>
      <c r="S914" s="3" t="s">
        <v>31</v>
      </c>
    </row>
    <row r="915" spans="1:19" x14ac:dyDescent="0.35">
      <c r="A915" s="3">
        <v>1914</v>
      </c>
      <c r="B915" s="3" t="s">
        <v>771</v>
      </c>
      <c r="C915" s="4">
        <v>45397</v>
      </c>
      <c r="D915" s="3" t="s">
        <v>107</v>
      </c>
      <c r="E915" s="4">
        <v>45422</v>
      </c>
      <c r="F915" s="4">
        <v>45424</v>
      </c>
      <c r="G915" s="3" t="s">
        <v>28</v>
      </c>
      <c r="H915" s="3" t="s">
        <v>21</v>
      </c>
      <c r="I915" s="3" t="s">
        <v>39</v>
      </c>
      <c r="J915" s="3" t="s">
        <v>30</v>
      </c>
      <c r="K915" s="3">
        <v>25</v>
      </c>
      <c r="L915" s="3">
        <v>2</v>
      </c>
      <c r="M915" s="3">
        <v>6580</v>
      </c>
      <c r="N915" s="3">
        <v>13160</v>
      </c>
      <c r="O915" s="3">
        <v>0</v>
      </c>
      <c r="P915" s="3" t="s">
        <v>51</v>
      </c>
      <c r="Q915" s="3">
        <v>1</v>
      </c>
      <c r="R915" s="3" t="str">
        <f t="shared" si="14"/>
        <v>Cancelled</v>
      </c>
      <c r="S915" s="3" t="s">
        <v>25</v>
      </c>
    </row>
    <row r="916" spans="1:19" x14ac:dyDescent="0.35">
      <c r="A916" s="3">
        <v>1915</v>
      </c>
      <c r="B916" s="3" t="s">
        <v>772</v>
      </c>
      <c r="C916" s="4">
        <v>45633</v>
      </c>
      <c r="D916" s="3" t="s">
        <v>96</v>
      </c>
      <c r="E916" s="4">
        <v>45692</v>
      </c>
      <c r="F916" s="4">
        <v>45695</v>
      </c>
      <c r="G916" s="3" t="s">
        <v>20</v>
      </c>
      <c r="H916" s="3" t="s">
        <v>60</v>
      </c>
      <c r="I916" s="3" t="s">
        <v>22</v>
      </c>
      <c r="J916" s="3" t="s">
        <v>30</v>
      </c>
      <c r="K916" s="3">
        <v>59</v>
      </c>
      <c r="L916" s="3">
        <v>3</v>
      </c>
      <c r="M916" s="3">
        <v>6809</v>
      </c>
      <c r="N916" s="3">
        <v>20427</v>
      </c>
      <c r="O916" s="3">
        <v>20427</v>
      </c>
      <c r="P916" s="3" t="s">
        <v>24</v>
      </c>
      <c r="Q916" s="3">
        <v>0</v>
      </c>
      <c r="R916" s="3" t="str">
        <f t="shared" si="14"/>
        <v>Not Cancelled</v>
      </c>
      <c r="S916" s="3" t="s">
        <v>25</v>
      </c>
    </row>
    <row r="917" spans="1:19" x14ac:dyDescent="0.35">
      <c r="A917" s="3">
        <v>1916</v>
      </c>
      <c r="B917" s="3" t="s">
        <v>773</v>
      </c>
      <c r="C917" s="4">
        <v>45511</v>
      </c>
      <c r="D917" s="3" t="s">
        <v>20</v>
      </c>
      <c r="E917" s="4">
        <v>45514</v>
      </c>
      <c r="F917" s="4">
        <v>45516</v>
      </c>
      <c r="G917" s="3" t="s">
        <v>28</v>
      </c>
      <c r="H917" s="3" t="s">
        <v>38</v>
      </c>
      <c r="I917" s="3" t="s">
        <v>39</v>
      </c>
      <c r="J917" s="3" t="s">
        <v>23</v>
      </c>
      <c r="K917" s="3">
        <v>3</v>
      </c>
      <c r="L917" s="3">
        <v>2</v>
      </c>
      <c r="M917" s="3">
        <v>6764</v>
      </c>
      <c r="N917" s="3">
        <v>13528</v>
      </c>
      <c r="O917" s="3">
        <v>0</v>
      </c>
      <c r="P917" s="3" t="s">
        <v>51</v>
      </c>
      <c r="Q917" s="3">
        <v>1</v>
      </c>
      <c r="R917" s="3" t="str">
        <f t="shared" si="14"/>
        <v>Cancelled</v>
      </c>
      <c r="S917" s="3" t="s">
        <v>25</v>
      </c>
    </row>
    <row r="918" spans="1:19" x14ac:dyDescent="0.35">
      <c r="A918" s="3">
        <v>1917</v>
      </c>
      <c r="B918" s="3" t="s">
        <v>774</v>
      </c>
      <c r="C918" s="4">
        <v>45454</v>
      </c>
      <c r="D918" s="3" t="s">
        <v>277</v>
      </c>
      <c r="E918" s="4">
        <v>45469</v>
      </c>
      <c r="F918" s="4">
        <v>45472</v>
      </c>
      <c r="G918" s="3" t="s">
        <v>20</v>
      </c>
      <c r="H918" s="3" t="s">
        <v>29</v>
      </c>
      <c r="I918" s="3" t="s">
        <v>39</v>
      </c>
      <c r="J918" s="3" t="s">
        <v>30</v>
      </c>
      <c r="K918" s="3">
        <v>15</v>
      </c>
      <c r="L918" s="3">
        <v>3</v>
      </c>
      <c r="M918" s="3">
        <v>5901</v>
      </c>
      <c r="N918" s="3">
        <v>17703</v>
      </c>
      <c r="O918" s="3">
        <v>17703</v>
      </c>
      <c r="P918" s="3" t="s">
        <v>24</v>
      </c>
      <c r="Q918" s="3">
        <v>0</v>
      </c>
      <c r="R918" s="3" t="str">
        <f t="shared" si="14"/>
        <v>Not Cancelled</v>
      </c>
      <c r="S918" s="3" t="s">
        <v>25</v>
      </c>
    </row>
    <row r="919" spans="1:19" x14ac:dyDescent="0.35">
      <c r="A919" s="3">
        <v>1918</v>
      </c>
      <c r="B919" s="3" t="s">
        <v>775</v>
      </c>
      <c r="C919" s="4">
        <v>45511</v>
      </c>
      <c r="D919" s="3" t="s">
        <v>57</v>
      </c>
      <c r="E919" s="4">
        <v>45540</v>
      </c>
      <c r="F919" s="4">
        <v>45542</v>
      </c>
      <c r="G919" s="3" t="s">
        <v>28</v>
      </c>
      <c r="H919" s="3" t="s">
        <v>35</v>
      </c>
      <c r="I919" s="3" t="s">
        <v>22</v>
      </c>
      <c r="J919" s="3" t="s">
        <v>46</v>
      </c>
      <c r="K919" s="3">
        <v>29</v>
      </c>
      <c r="L919" s="3">
        <v>2</v>
      </c>
      <c r="M919" s="3">
        <v>7573</v>
      </c>
      <c r="N919" s="3">
        <v>15146</v>
      </c>
      <c r="O919" s="3">
        <v>15146</v>
      </c>
      <c r="P919" s="3" t="s">
        <v>24</v>
      </c>
      <c r="Q919" s="3">
        <v>0</v>
      </c>
      <c r="R919" s="3" t="str">
        <f t="shared" si="14"/>
        <v>Not Cancelled</v>
      </c>
      <c r="S919" s="3" t="s">
        <v>31</v>
      </c>
    </row>
    <row r="920" spans="1:19" x14ac:dyDescent="0.35">
      <c r="A920" s="3">
        <v>1919</v>
      </c>
      <c r="B920" s="3" t="s">
        <v>776</v>
      </c>
      <c r="C920" s="4">
        <v>45561</v>
      </c>
      <c r="D920" s="3" t="s">
        <v>133</v>
      </c>
      <c r="E920" s="4">
        <v>45614</v>
      </c>
      <c r="F920" s="4">
        <v>45617</v>
      </c>
      <c r="G920" s="3" t="s">
        <v>20</v>
      </c>
      <c r="H920" s="3" t="s">
        <v>35</v>
      </c>
      <c r="I920" s="3" t="s">
        <v>22</v>
      </c>
      <c r="J920" s="3" t="s">
        <v>46</v>
      </c>
      <c r="K920" s="3">
        <v>53</v>
      </c>
      <c r="L920" s="3">
        <v>3</v>
      </c>
      <c r="M920" s="3">
        <v>7924</v>
      </c>
      <c r="N920" s="3">
        <v>23772</v>
      </c>
      <c r="O920" s="3">
        <v>0</v>
      </c>
      <c r="P920" s="3" t="s">
        <v>51</v>
      </c>
      <c r="Q920" s="3">
        <v>1</v>
      </c>
      <c r="R920" s="3" t="str">
        <f t="shared" si="14"/>
        <v>Cancelled</v>
      </c>
      <c r="S920" s="3" t="s">
        <v>25</v>
      </c>
    </row>
    <row r="921" spans="1:19" x14ac:dyDescent="0.35">
      <c r="A921" s="3">
        <v>1920</v>
      </c>
      <c r="B921" s="3" t="s">
        <v>777</v>
      </c>
      <c r="C921" s="4">
        <v>45411</v>
      </c>
      <c r="D921" s="3" t="s">
        <v>66</v>
      </c>
      <c r="E921" s="4">
        <v>45454</v>
      </c>
      <c r="F921" s="4">
        <v>45458</v>
      </c>
      <c r="G921" s="3" t="s">
        <v>42</v>
      </c>
      <c r="H921" s="3" t="s">
        <v>35</v>
      </c>
      <c r="I921" s="3" t="s">
        <v>22</v>
      </c>
      <c r="J921" s="3" t="s">
        <v>30</v>
      </c>
      <c r="K921" s="3">
        <v>43</v>
      </c>
      <c r="L921" s="3">
        <v>4</v>
      </c>
      <c r="M921" s="3">
        <v>6741</v>
      </c>
      <c r="N921" s="3">
        <v>26964</v>
      </c>
      <c r="O921" s="3">
        <v>0</v>
      </c>
      <c r="P921" s="3" t="s">
        <v>24</v>
      </c>
      <c r="Q921" s="3">
        <v>1</v>
      </c>
      <c r="R921" s="3" t="str">
        <f t="shared" si="14"/>
        <v>Cancelled</v>
      </c>
      <c r="S921" s="3" t="s">
        <v>25</v>
      </c>
    </row>
    <row r="922" spans="1:19" x14ac:dyDescent="0.35">
      <c r="A922" s="3">
        <v>1921</v>
      </c>
      <c r="B922" s="3" t="s">
        <v>535</v>
      </c>
      <c r="C922" s="4">
        <v>45627</v>
      </c>
      <c r="D922" s="3" t="s">
        <v>144</v>
      </c>
      <c r="E922" s="4">
        <v>45659</v>
      </c>
      <c r="F922" s="4">
        <v>45664</v>
      </c>
      <c r="G922" s="3" t="s">
        <v>45</v>
      </c>
      <c r="H922" s="3" t="s">
        <v>38</v>
      </c>
      <c r="I922" s="3" t="s">
        <v>39</v>
      </c>
      <c r="J922" s="3" t="s">
        <v>30</v>
      </c>
      <c r="K922" s="3">
        <v>32</v>
      </c>
      <c r="L922" s="3">
        <v>5</v>
      </c>
      <c r="M922" s="3">
        <v>8394</v>
      </c>
      <c r="N922" s="3">
        <v>41970</v>
      </c>
      <c r="O922" s="3">
        <v>0</v>
      </c>
      <c r="P922" s="3" t="s">
        <v>24</v>
      </c>
      <c r="Q922" s="3">
        <v>1</v>
      </c>
      <c r="R922" s="3" t="str">
        <f t="shared" si="14"/>
        <v>Cancelled</v>
      </c>
      <c r="S922" s="3" t="s">
        <v>31</v>
      </c>
    </row>
    <row r="923" spans="1:19" x14ac:dyDescent="0.35">
      <c r="A923" s="3">
        <v>1922</v>
      </c>
      <c r="B923" s="3" t="s">
        <v>778</v>
      </c>
      <c r="C923" s="4">
        <v>45473</v>
      </c>
      <c r="D923" s="3" t="s">
        <v>98</v>
      </c>
      <c r="E923" s="4">
        <v>45499</v>
      </c>
      <c r="F923" s="4">
        <v>45502</v>
      </c>
      <c r="G923" s="3" t="s">
        <v>20</v>
      </c>
      <c r="H923" s="3" t="s">
        <v>38</v>
      </c>
      <c r="I923" s="3" t="s">
        <v>22</v>
      </c>
      <c r="J923" s="3" t="s">
        <v>23</v>
      </c>
      <c r="K923" s="3">
        <v>26</v>
      </c>
      <c r="L923" s="3">
        <v>3</v>
      </c>
      <c r="M923" s="3">
        <v>7111</v>
      </c>
      <c r="N923" s="3">
        <v>21333</v>
      </c>
      <c r="O923" s="3">
        <v>21333</v>
      </c>
      <c r="P923" s="3" t="s">
        <v>24</v>
      </c>
      <c r="Q923" s="3">
        <v>0</v>
      </c>
      <c r="R923" s="3" t="str">
        <f t="shared" si="14"/>
        <v>Not Cancelled</v>
      </c>
      <c r="S923" s="3" t="s">
        <v>25</v>
      </c>
    </row>
    <row r="924" spans="1:19" x14ac:dyDescent="0.35">
      <c r="A924" s="3">
        <v>1923</v>
      </c>
      <c r="B924" s="3" t="s">
        <v>779</v>
      </c>
      <c r="C924" s="4">
        <v>45397</v>
      </c>
      <c r="D924" s="3" t="s">
        <v>88</v>
      </c>
      <c r="E924" s="4">
        <v>45413</v>
      </c>
      <c r="F924" s="4">
        <v>45416</v>
      </c>
      <c r="G924" s="3" t="s">
        <v>20</v>
      </c>
      <c r="H924" s="3" t="s">
        <v>29</v>
      </c>
      <c r="I924" s="3" t="s">
        <v>22</v>
      </c>
      <c r="J924" s="3" t="s">
        <v>23</v>
      </c>
      <c r="K924" s="3">
        <v>16</v>
      </c>
      <c r="L924" s="3">
        <v>3</v>
      </c>
      <c r="M924" s="3">
        <v>5661</v>
      </c>
      <c r="N924" s="3">
        <v>16983</v>
      </c>
      <c r="O924" s="3">
        <v>0</v>
      </c>
      <c r="P924" s="3" t="s">
        <v>51</v>
      </c>
      <c r="Q924" s="3">
        <v>1</v>
      </c>
      <c r="R924" s="3" t="str">
        <f t="shared" si="14"/>
        <v>Cancelled</v>
      </c>
      <c r="S924" s="3" t="s">
        <v>31</v>
      </c>
    </row>
    <row r="925" spans="1:19" x14ac:dyDescent="0.35">
      <c r="A925" s="3">
        <v>1924</v>
      </c>
      <c r="B925" s="3" t="s">
        <v>780</v>
      </c>
      <c r="C925" s="4">
        <v>45508</v>
      </c>
      <c r="D925" s="3" t="s">
        <v>107</v>
      </c>
      <c r="E925" s="4">
        <v>45533</v>
      </c>
      <c r="F925" s="4">
        <v>45537</v>
      </c>
      <c r="G925" s="3" t="s">
        <v>42</v>
      </c>
      <c r="H925" s="3" t="s">
        <v>38</v>
      </c>
      <c r="I925" s="3" t="s">
        <v>39</v>
      </c>
      <c r="J925" s="3" t="s">
        <v>46</v>
      </c>
      <c r="K925" s="3">
        <v>25</v>
      </c>
      <c r="L925" s="3">
        <v>4</v>
      </c>
      <c r="M925" s="3">
        <v>7048</v>
      </c>
      <c r="N925" s="3">
        <v>28192</v>
      </c>
      <c r="O925" s="3">
        <v>28192</v>
      </c>
      <c r="P925" s="3" t="s">
        <v>24</v>
      </c>
      <c r="Q925" s="3">
        <v>0</v>
      </c>
      <c r="R925" s="3" t="str">
        <f t="shared" si="14"/>
        <v>Not Cancelled</v>
      </c>
      <c r="S925" s="3" t="s">
        <v>31</v>
      </c>
    </row>
    <row r="926" spans="1:19" x14ac:dyDescent="0.35">
      <c r="A926" s="3">
        <v>1925</v>
      </c>
      <c r="B926" s="3" t="s">
        <v>781</v>
      </c>
      <c r="C926" s="4">
        <v>45496</v>
      </c>
      <c r="D926" s="3" t="s">
        <v>117</v>
      </c>
      <c r="E926" s="4">
        <v>45550</v>
      </c>
      <c r="F926" s="4">
        <v>45553</v>
      </c>
      <c r="G926" s="3" t="s">
        <v>20</v>
      </c>
      <c r="H926" s="3" t="s">
        <v>29</v>
      </c>
      <c r="I926" s="3" t="s">
        <v>22</v>
      </c>
      <c r="J926" s="3" t="s">
        <v>23</v>
      </c>
      <c r="K926" s="3">
        <v>54</v>
      </c>
      <c r="L926" s="3">
        <v>3</v>
      </c>
      <c r="M926" s="3">
        <v>6655</v>
      </c>
      <c r="N926" s="3">
        <v>19965</v>
      </c>
      <c r="O926" s="3">
        <v>0</v>
      </c>
      <c r="P926" s="3" t="s">
        <v>24</v>
      </c>
      <c r="Q926" s="3">
        <v>1</v>
      </c>
      <c r="R926" s="3" t="str">
        <f t="shared" si="14"/>
        <v>Cancelled</v>
      </c>
      <c r="S926" s="3" t="s">
        <v>31</v>
      </c>
    </row>
    <row r="927" spans="1:19" x14ac:dyDescent="0.35">
      <c r="A927" s="3">
        <v>1926</v>
      </c>
      <c r="B927" s="3" t="s">
        <v>217</v>
      </c>
      <c r="C927" s="4">
        <v>45361</v>
      </c>
      <c r="D927" s="3" t="s">
        <v>82</v>
      </c>
      <c r="E927" s="4">
        <v>45389</v>
      </c>
      <c r="F927" s="4">
        <v>45390</v>
      </c>
      <c r="G927" s="3" t="s">
        <v>34</v>
      </c>
      <c r="H927" s="3" t="s">
        <v>38</v>
      </c>
      <c r="I927" s="3" t="s">
        <v>22</v>
      </c>
      <c r="J927" s="3" t="s">
        <v>30</v>
      </c>
      <c r="K927" s="3">
        <v>28</v>
      </c>
      <c r="L927" s="3">
        <v>1</v>
      </c>
      <c r="M927" s="3">
        <v>3027</v>
      </c>
      <c r="N927" s="3">
        <v>3027</v>
      </c>
      <c r="O927" s="3">
        <v>0</v>
      </c>
      <c r="P927" s="3" t="s">
        <v>24</v>
      </c>
      <c r="Q927" s="3">
        <v>1</v>
      </c>
      <c r="R927" s="3" t="str">
        <f t="shared" si="14"/>
        <v>Cancelled</v>
      </c>
      <c r="S927" s="3" t="s">
        <v>31</v>
      </c>
    </row>
    <row r="928" spans="1:19" x14ac:dyDescent="0.35">
      <c r="A928" s="3">
        <v>1927</v>
      </c>
      <c r="B928" s="3" t="s">
        <v>782</v>
      </c>
      <c r="C928" s="4">
        <v>45335</v>
      </c>
      <c r="D928" s="3" t="s">
        <v>165</v>
      </c>
      <c r="E928" s="4">
        <v>45344</v>
      </c>
      <c r="F928" s="4">
        <v>45348</v>
      </c>
      <c r="G928" s="3" t="s">
        <v>42</v>
      </c>
      <c r="H928" s="3" t="s">
        <v>38</v>
      </c>
      <c r="I928" s="3" t="s">
        <v>39</v>
      </c>
      <c r="J928" s="3" t="s">
        <v>46</v>
      </c>
      <c r="K928" s="3">
        <v>9</v>
      </c>
      <c r="L928" s="3">
        <v>4</v>
      </c>
      <c r="M928" s="3">
        <v>5798</v>
      </c>
      <c r="N928" s="3">
        <v>23192</v>
      </c>
      <c r="O928" s="3">
        <v>0</v>
      </c>
      <c r="P928" s="3" t="s">
        <v>24</v>
      </c>
      <c r="Q928" s="3">
        <v>1</v>
      </c>
      <c r="R928" s="3" t="str">
        <f t="shared" si="14"/>
        <v>Cancelled</v>
      </c>
      <c r="S928" s="3" t="s">
        <v>31</v>
      </c>
    </row>
    <row r="929" spans="1:19" x14ac:dyDescent="0.35">
      <c r="A929" s="3">
        <v>1928</v>
      </c>
      <c r="B929" s="3" t="s">
        <v>503</v>
      </c>
      <c r="C929" s="4">
        <v>45620</v>
      </c>
      <c r="D929" s="3" t="s">
        <v>94</v>
      </c>
      <c r="E929" s="4">
        <v>45676</v>
      </c>
      <c r="F929" s="4">
        <v>45677</v>
      </c>
      <c r="G929" s="3" t="s">
        <v>34</v>
      </c>
      <c r="H929" s="3" t="s">
        <v>38</v>
      </c>
      <c r="I929" s="3" t="s">
        <v>39</v>
      </c>
      <c r="J929" s="3" t="s">
        <v>23</v>
      </c>
      <c r="K929" s="3">
        <v>56</v>
      </c>
      <c r="L929" s="3">
        <v>1</v>
      </c>
      <c r="M929" s="3">
        <v>3523</v>
      </c>
      <c r="N929" s="3">
        <v>3523</v>
      </c>
      <c r="O929" s="3">
        <v>0</v>
      </c>
      <c r="P929" s="3" t="s">
        <v>24</v>
      </c>
      <c r="Q929" s="3">
        <v>1</v>
      </c>
      <c r="R929" s="3" t="str">
        <f t="shared" si="14"/>
        <v>Cancelled</v>
      </c>
      <c r="S929" s="3" t="s">
        <v>25</v>
      </c>
    </row>
    <row r="930" spans="1:19" x14ac:dyDescent="0.35">
      <c r="A930" s="3">
        <v>1929</v>
      </c>
      <c r="B930" s="3" t="s">
        <v>783</v>
      </c>
      <c r="C930" s="4">
        <v>45592</v>
      </c>
      <c r="D930" s="3" t="s">
        <v>94</v>
      </c>
      <c r="E930" s="4">
        <v>45648</v>
      </c>
      <c r="F930" s="4">
        <v>45652</v>
      </c>
      <c r="G930" s="3" t="s">
        <v>42</v>
      </c>
      <c r="H930" s="3" t="s">
        <v>29</v>
      </c>
      <c r="I930" s="3" t="s">
        <v>39</v>
      </c>
      <c r="J930" s="3" t="s">
        <v>46</v>
      </c>
      <c r="K930" s="3">
        <v>56</v>
      </c>
      <c r="L930" s="3">
        <v>4</v>
      </c>
      <c r="M930" s="3">
        <v>8160</v>
      </c>
      <c r="N930" s="3">
        <v>32640</v>
      </c>
      <c r="O930" s="3">
        <v>0</v>
      </c>
      <c r="P930" s="3" t="s">
        <v>24</v>
      </c>
      <c r="Q930" s="3">
        <v>1</v>
      </c>
      <c r="R930" s="3" t="str">
        <f t="shared" si="14"/>
        <v>Cancelled</v>
      </c>
      <c r="S930" s="3" t="s">
        <v>25</v>
      </c>
    </row>
    <row r="931" spans="1:19" x14ac:dyDescent="0.35">
      <c r="A931" s="3">
        <v>1930</v>
      </c>
      <c r="B931" s="3" t="s">
        <v>784</v>
      </c>
      <c r="C931" s="4">
        <v>45519</v>
      </c>
      <c r="D931" s="3" t="s">
        <v>34</v>
      </c>
      <c r="E931" s="4">
        <v>45520</v>
      </c>
      <c r="F931" s="4">
        <v>45523</v>
      </c>
      <c r="G931" s="3" t="s">
        <v>20</v>
      </c>
      <c r="H931" s="3" t="s">
        <v>60</v>
      </c>
      <c r="I931" s="3" t="s">
        <v>39</v>
      </c>
      <c r="J931" s="3" t="s">
        <v>30</v>
      </c>
      <c r="K931" s="3">
        <v>1</v>
      </c>
      <c r="L931" s="3">
        <v>3</v>
      </c>
      <c r="M931" s="3">
        <v>6234</v>
      </c>
      <c r="N931" s="3">
        <v>18702</v>
      </c>
      <c r="O931" s="3">
        <v>18702</v>
      </c>
      <c r="P931" s="3" t="s">
        <v>24</v>
      </c>
      <c r="Q931" s="3">
        <v>0</v>
      </c>
      <c r="R931" s="3" t="str">
        <f t="shared" si="14"/>
        <v>Not Cancelled</v>
      </c>
      <c r="S931" s="3" t="s">
        <v>25</v>
      </c>
    </row>
    <row r="932" spans="1:19" x14ac:dyDescent="0.35">
      <c r="A932" s="3">
        <v>1931</v>
      </c>
      <c r="B932" s="3" t="s">
        <v>785</v>
      </c>
      <c r="C932" s="4">
        <v>45475</v>
      </c>
      <c r="D932" s="3" t="s">
        <v>57</v>
      </c>
      <c r="E932" s="4">
        <v>45504</v>
      </c>
      <c r="F932" s="4">
        <v>45505</v>
      </c>
      <c r="G932" s="3" t="s">
        <v>34</v>
      </c>
      <c r="H932" s="3" t="s">
        <v>29</v>
      </c>
      <c r="I932" s="3" t="s">
        <v>39</v>
      </c>
      <c r="J932" s="3" t="s">
        <v>23</v>
      </c>
      <c r="K932" s="3">
        <v>29</v>
      </c>
      <c r="L932" s="3">
        <v>1</v>
      </c>
      <c r="M932" s="3">
        <v>7698</v>
      </c>
      <c r="N932" s="3">
        <v>7698</v>
      </c>
      <c r="O932" s="3">
        <v>7698</v>
      </c>
      <c r="P932" s="3" t="s">
        <v>24</v>
      </c>
      <c r="Q932" s="3">
        <v>0</v>
      </c>
      <c r="R932" s="3" t="str">
        <f t="shared" si="14"/>
        <v>Not Cancelled</v>
      </c>
      <c r="S932" s="3" t="s">
        <v>31</v>
      </c>
    </row>
    <row r="933" spans="1:19" x14ac:dyDescent="0.35">
      <c r="A933" s="3">
        <v>1932</v>
      </c>
      <c r="B933" s="3" t="s">
        <v>282</v>
      </c>
      <c r="C933" s="4">
        <v>45398</v>
      </c>
      <c r="D933" s="3" t="s">
        <v>100</v>
      </c>
      <c r="E933" s="4">
        <v>45455</v>
      </c>
      <c r="F933" s="4">
        <v>45458</v>
      </c>
      <c r="G933" s="3" t="s">
        <v>20</v>
      </c>
      <c r="H933" s="3" t="s">
        <v>60</v>
      </c>
      <c r="I933" s="3" t="s">
        <v>22</v>
      </c>
      <c r="J933" s="3" t="s">
        <v>30</v>
      </c>
      <c r="K933" s="3">
        <v>57</v>
      </c>
      <c r="L933" s="3">
        <v>3</v>
      </c>
      <c r="M933" s="3">
        <v>2932</v>
      </c>
      <c r="N933" s="3">
        <v>8796</v>
      </c>
      <c r="O933" s="3">
        <v>0</v>
      </c>
      <c r="P933" s="3" t="s">
        <v>24</v>
      </c>
      <c r="Q933" s="3">
        <v>1</v>
      </c>
      <c r="R933" s="3" t="str">
        <f t="shared" si="14"/>
        <v>Cancelled</v>
      </c>
      <c r="S933" s="3" t="s">
        <v>25</v>
      </c>
    </row>
    <row r="934" spans="1:19" x14ac:dyDescent="0.35">
      <c r="A934" s="3">
        <v>1933</v>
      </c>
      <c r="B934" s="3" t="s">
        <v>786</v>
      </c>
      <c r="C934" s="4">
        <v>45375</v>
      </c>
      <c r="D934" s="3" t="s">
        <v>19</v>
      </c>
      <c r="E934" s="4">
        <v>45397</v>
      </c>
      <c r="F934" s="4">
        <v>45401</v>
      </c>
      <c r="G934" s="3" t="s">
        <v>42</v>
      </c>
      <c r="H934" s="3" t="s">
        <v>35</v>
      </c>
      <c r="I934" s="3" t="s">
        <v>22</v>
      </c>
      <c r="J934" s="3" t="s">
        <v>30</v>
      </c>
      <c r="K934" s="3">
        <v>22</v>
      </c>
      <c r="L934" s="3">
        <v>4</v>
      </c>
      <c r="M934" s="3">
        <v>3676</v>
      </c>
      <c r="N934" s="3">
        <v>14704</v>
      </c>
      <c r="O934" s="3">
        <v>14704</v>
      </c>
      <c r="P934" s="3" t="s">
        <v>51</v>
      </c>
      <c r="Q934" s="3">
        <v>0</v>
      </c>
      <c r="R934" s="3" t="str">
        <f t="shared" si="14"/>
        <v>Not Cancelled</v>
      </c>
      <c r="S934" s="3" t="s">
        <v>25</v>
      </c>
    </row>
    <row r="935" spans="1:19" x14ac:dyDescent="0.35">
      <c r="A935" s="3">
        <v>1934</v>
      </c>
      <c r="B935" s="3" t="s">
        <v>787</v>
      </c>
      <c r="C935" s="4">
        <v>45629</v>
      </c>
      <c r="D935" s="3" t="s">
        <v>88</v>
      </c>
      <c r="E935" s="4">
        <v>45645</v>
      </c>
      <c r="F935" s="4">
        <v>45648</v>
      </c>
      <c r="G935" s="3" t="s">
        <v>20</v>
      </c>
      <c r="H935" s="3" t="s">
        <v>35</v>
      </c>
      <c r="I935" s="3" t="s">
        <v>39</v>
      </c>
      <c r="J935" s="3" t="s">
        <v>46</v>
      </c>
      <c r="K935" s="3">
        <v>16</v>
      </c>
      <c r="L935" s="3">
        <v>3</v>
      </c>
      <c r="M935" s="3">
        <v>2900</v>
      </c>
      <c r="N935" s="3">
        <v>8700</v>
      </c>
      <c r="O935" s="3">
        <v>8700</v>
      </c>
      <c r="P935" s="3" t="s">
        <v>24</v>
      </c>
      <c r="Q935" s="3">
        <v>0</v>
      </c>
      <c r="R935" s="3" t="str">
        <f t="shared" si="14"/>
        <v>Not Cancelled</v>
      </c>
      <c r="S935" s="3" t="s">
        <v>25</v>
      </c>
    </row>
    <row r="936" spans="1:19" x14ac:dyDescent="0.35">
      <c r="A936" s="3">
        <v>1935</v>
      </c>
      <c r="B936" s="3" t="s">
        <v>782</v>
      </c>
      <c r="C936" s="4">
        <v>45541</v>
      </c>
      <c r="D936" s="3" t="s">
        <v>86</v>
      </c>
      <c r="E936" s="4">
        <v>45582</v>
      </c>
      <c r="F936" s="4">
        <v>45583</v>
      </c>
      <c r="G936" s="3" t="s">
        <v>34</v>
      </c>
      <c r="H936" s="3" t="s">
        <v>29</v>
      </c>
      <c r="I936" s="3" t="s">
        <v>22</v>
      </c>
      <c r="J936" s="3" t="s">
        <v>46</v>
      </c>
      <c r="K936" s="3">
        <v>41</v>
      </c>
      <c r="L936" s="3">
        <v>1</v>
      </c>
      <c r="M936" s="3">
        <v>4604</v>
      </c>
      <c r="N936" s="3">
        <v>4604</v>
      </c>
      <c r="O936" s="3">
        <v>4604</v>
      </c>
      <c r="P936" s="3" t="s">
        <v>24</v>
      </c>
      <c r="Q936" s="3">
        <v>0</v>
      </c>
      <c r="R936" s="3" t="str">
        <f t="shared" si="14"/>
        <v>Not Cancelled</v>
      </c>
      <c r="S936" s="3" t="s">
        <v>25</v>
      </c>
    </row>
    <row r="937" spans="1:19" x14ac:dyDescent="0.35">
      <c r="A937" s="3">
        <v>1936</v>
      </c>
      <c r="B937" s="3" t="s">
        <v>285</v>
      </c>
      <c r="C937" s="4">
        <v>45654</v>
      </c>
      <c r="D937" s="3" t="s">
        <v>124</v>
      </c>
      <c r="E937" s="4">
        <v>45705</v>
      </c>
      <c r="F937" s="4">
        <v>45706</v>
      </c>
      <c r="G937" s="3" t="s">
        <v>34</v>
      </c>
      <c r="H937" s="3" t="s">
        <v>60</v>
      </c>
      <c r="I937" s="3" t="s">
        <v>22</v>
      </c>
      <c r="J937" s="3" t="s">
        <v>46</v>
      </c>
      <c r="K937" s="3">
        <v>51</v>
      </c>
      <c r="L937" s="3">
        <v>1</v>
      </c>
      <c r="M937" s="3">
        <v>5550</v>
      </c>
      <c r="N937" s="3">
        <v>5550</v>
      </c>
      <c r="O937" s="3">
        <v>0</v>
      </c>
      <c r="P937" s="3" t="s">
        <v>24</v>
      </c>
      <c r="Q937" s="3">
        <v>1</v>
      </c>
      <c r="R937" s="3" t="str">
        <f t="shared" si="14"/>
        <v>Cancelled</v>
      </c>
      <c r="S937" s="3" t="s">
        <v>31</v>
      </c>
    </row>
    <row r="938" spans="1:19" x14ac:dyDescent="0.35">
      <c r="A938" s="3">
        <v>1937</v>
      </c>
      <c r="B938" s="3" t="s">
        <v>788</v>
      </c>
      <c r="C938" s="4">
        <v>45312</v>
      </c>
      <c r="D938" s="3" t="s">
        <v>62</v>
      </c>
      <c r="E938" s="4">
        <v>45356</v>
      </c>
      <c r="F938" s="4">
        <v>45359</v>
      </c>
      <c r="G938" s="3" t="s">
        <v>20</v>
      </c>
      <c r="H938" s="3" t="s">
        <v>60</v>
      </c>
      <c r="I938" s="3" t="s">
        <v>39</v>
      </c>
      <c r="J938" s="3" t="s">
        <v>23</v>
      </c>
      <c r="K938" s="3">
        <v>44</v>
      </c>
      <c r="L938" s="3">
        <v>3</v>
      </c>
      <c r="M938" s="3">
        <v>4733</v>
      </c>
      <c r="N938" s="3">
        <v>14199</v>
      </c>
      <c r="O938" s="3">
        <v>0</v>
      </c>
      <c r="P938" s="3" t="s">
        <v>24</v>
      </c>
      <c r="Q938" s="3">
        <v>1</v>
      </c>
      <c r="R938" s="3" t="str">
        <f t="shared" si="14"/>
        <v>Cancelled</v>
      </c>
      <c r="S938" s="3" t="s">
        <v>25</v>
      </c>
    </row>
    <row r="939" spans="1:19" x14ac:dyDescent="0.35">
      <c r="A939" s="3">
        <v>1938</v>
      </c>
      <c r="B939" s="3" t="s">
        <v>673</v>
      </c>
      <c r="C939" s="4">
        <v>45487</v>
      </c>
      <c r="D939" s="3" t="s">
        <v>124</v>
      </c>
      <c r="E939" s="4">
        <v>45538</v>
      </c>
      <c r="F939" s="4">
        <v>45540</v>
      </c>
      <c r="G939" s="3" t="s">
        <v>28</v>
      </c>
      <c r="H939" s="3" t="s">
        <v>60</v>
      </c>
      <c r="I939" s="3" t="s">
        <v>39</v>
      </c>
      <c r="J939" s="3" t="s">
        <v>23</v>
      </c>
      <c r="K939" s="3">
        <v>51</v>
      </c>
      <c r="L939" s="3">
        <v>2</v>
      </c>
      <c r="M939" s="3">
        <v>4945</v>
      </c>
      <c r="N939" s="3">
        <v>9890</v>
      </c>
      <c r="O939" s="3">
        <v>0</v>
      </c>
      <c r="P939" s="3" t="s">
        <v>24</v>
      </c>
      <c r="Q939" s="3">
        <v>1</v>
      </c>
      <c r="R939" s="3" t="str">
        <f t="shared" si="14"/>
        <v>Cancelled</v>
      </c>
      <c r="S939" s="3" t="s">
        <v>31</v>
      </c>
    </row>
    <row r="940" spans="1:19" x14ac:dyDescent="0.35">
      <c r="A940" s="3">
        <v>1939</v>
      </c>
      <c r="B940" s="3" t="s">
        <v>789</v>
      </c>
      <c r="C940" s="4">
        <v>45469</v>
      </c>
      <c r="D940" s="3" t="s">
        <v>117</v>
      </c>
      <c r="E940" s="4">
        <v>45523</v>
      </c>
      <c r="F940" s="4">
        <v>45527</v>
      </c>
      <c r="G940" s="3" t="s">
        <v>42</v>
      </c>
      <c r="H940" s="3" t="s">
        <v>35</v>
      </c>
      <c r="I940" s="3" t="s">
        <v>39</v>
      </c>
      <c r="J940" s="3" t="s">
        <v>46</v>
      </c>
      <c r="K940" s="3">
        <v>54</v>
      </c>
      <c r="L940" s="3">
        <v>4</v>
      </c>
      <c r="M940" s="3">
        <v>7200</v>
      </c>
      <c r="N940" s="3">
        <v>28800</v>
      </c>
      <c r="O940" s="3">
        <v>0</v>
      </c>
      <c r="P940" s="3" t="s">
        <v>51</v>
      </c>
      <c r="Q940" s="3">
        <v>1</v>
      </c>
      <c r="R940" s="3" t="str">
        <f t="shared" si="14"/>
        <v>Cancelled</v>
      </c>
      <c r="S940" s="3" t="s">
        <v>31</v>
      </c>
    </row>
    <row r="941" spans="1:19" x14ac:dyDescent="0.35">
      <c r="A941" s="3">
        <v>1940</v>
      </c>
      <c r="B941" s="3" t="s">
        <v>790</v>
      </c>
      <c r="C941" s="4">
        <v>45298</v>
      </c>
      <c r="D941" s="3" t="s">
        <v>86</v>
      </c>
      <c r="E941" s="4">
        <v>45339</v>
      </c>
      <c r="F941" s="4">
        <v>45343</v>
      </c>
      <c r="G941" s="3" t="s">
        <v>42</v>
      </c>
      <c r="H941" s="3" t="s">
        <v>29</v>
      </c>
      <c r="I941" s="3" t="s">
        <v>22</v>
      </c>
      <c r="J941" s="3" t="s">
        <v>23</v>
      </c>
      <c r="K941" s="3">
        <v>41</v>
      </c>
      <c r="L941" s="3">
        <v>4</v>
      </c>
      <c r="M941" s="3">
        <v>5335</v>
      </c>
      <c r="N941" s="3">
        <v>21340</v>
      </c>
      <c r="O941" s="3">
        <v>0</v>
      </c>
      <c r="P941" s="3" t="s">
        <v>51</v>
      </c>
      <c r="Q941" s="3">
        <v>1</v>
      </c>
      <c r="R941" s="3" t="str">
        <f t="shared" si="14"/>
        <v>Cancelled</v>
      </c>
      <c r="S941" s="3" t="s">
        <v>25</v>
      </c>
    </row>
    <row r="942" spans="1:19" x14ac:dyDescent="0.35">
      <c r="A942" s="3">
        <v>1941</v>
      </c>
      <c r="B942" s="3" t="s">
        <v>718</v>
      </c>
      <c r="C942" s="4">
        <v>45361</v>
      </c>
      <c r="D942" s="3" t="s">
        <v>209</v>
      </c>
      <c r="E942" s="4">
        <v>45368</v>
      </c>
      <c r="F942" s="4">
        <v>45371</v>
      </c>
      <c r="G942" s="3" t="s">
        <v>20</v>
      </c>
      <c r="H942" s="3" t="s">
        <v>21</v>
      </c>
      <c r="I942" s="3" t="s">
        <v>39</v>
      </c>
      <c r="J942" s="3" t="s">
        <v>23</v>
      </c>
      <c r="K942" s="3">
        <v>7</v>
      </c>
      <c r="L942" s="3">
        <v>3</v>
      </c>
      <c r="M942" s="3">
        <v>8801</v>
      </c>
      <c r="N942" s="3">
        <v>26403</v>
      </c>
      <c r="O942" s="3">
        <v>26403</v>
      </c>
      <c r="P942" s="3" t="s">
        <v>51</v>
      </c>
      <c r="Q942" s="3">
        <v>0</v>
      </c>
      <c r="R942" s="3" t="str">
        <f t="shared" si="14"/>
        <v>Not Cancelled</v>
      </c>
      <c r="S942" s="3" t="s">
        <v>31</v>
      </c>
    </row>
    <row r="943" spans="1:19" x14ac:dyDescent="0.35">
      <c r="A943" s="3">
        <v>1942</v>
      </c>
      <c r="B943" s="3" t="s">
        <v>370</v>
      </c>
      <c r="C943" s="4">
        <v>45418</v>
      </c>
      <c r="D943" s="3" t="s">
        <v>33</v>
      </c>
      <c r="E943" s="4">
        <v>45432</v>
      </c>
      <c r="F943" s="4">
        <v>45434</v>
      </c>
      <c r="G943" s="3" t="s">
        <v>28</v>
      </c>
      <c r="H943" s="3" t="s">
        <v>60</v>
      </c>
      <c r="I943" s="3" t="s">
        <v>22</v>
      </c>
      <c r="J943" s="3" t="s">
        <v>46</v>
      </c>
      <c r="K943" s="3">
        <v>14</v>
      </c>
      <c r="L943" s="3">
        <v>2</v>
      </c>
      <c r="M943" s="3">
        <v>8406</v>
      </c>
      <c r="N943" s="3">
        <v>16812</v>
      </c>
      <c r="O943" s="3">
        <v>0</v>
      </c>
      <c r="P943" s="3" t="s">
        <v>51</v>
      </c>
      <c r="Q943" s="3">
        <v>1</v>
      </c>
      <c r="R943" s="3" t="str">
        <f t="shared" si="14"/>
        <v>Cancelled</v>
      </c>
      <c r="S943" s="3" t="s">
        <v>31</v>
      </c>
    </row>
    <row r="944" spans="1:19" x14ac:dyDescent="0.35">
      <c r="A944" s="3">
        <v>1943</v>
      </c>
      <c r="B944" s="3" t="s">
        <v>791</v>
      </c>
      <c r="C944" s="4">
        <v>45451</v>
      </c>
      <c r="D944" s="3" t="s">
        <v>57</v>
      </c>
      <c r="E944" s="4">
        <v>45480</v>
      </c>
      <c r="F944" s="4">
        <v>45481</v>
      </c>
      <c r="G944" s="3" t="s">
        <v>34</v>
      </c>
      <c r="H944" s="3" t="s">
        <v>60</v>
      </c>
      <c r="I944" s="3" t="s">
        <v>22</v>
      </c>
      <c r="J944" s="3" t="s">
        <v>30</v>
      </c>
      <c r="K944" s="3">
        <v>29</v>
      </c>
      <c r="L944" s="3">
        <v>1</v>
      </c>
      <c r="M944" s="3">
        <v>8059</v>
      </c>
      <c r="N944" s="3">
        <v>8059</v>
      </c>
      <c r="O944" s="3">
        <v>8059</v>
      </c>
      <c r="P944" s="3" t="s">
        <v>24</v>
      </c>
      <c r="Q944" s="3">
        <v>0</v>
      </c>
      <c r="R944" s="3" t="str">
        <f t="shared" si="14"/>
        <v>Not Cancelled</v>
      </c>
      <c r="S944" s="3" t="s">
        <v>31</v>
      </c>
    </row>
    <row r="945" spans="1:19" x14ac:dyDescent="0.35">
      <c r="A945" s="3">
        <v>1944</v>
      </c>
      <c r="B945" s="3" t="s">
        <v>121</v>
      </c>
      <c r="C945" s="4">
        <v>45539</v>
      </c>
      <c r="D945" s="3" t="s">
        <v>109</v>
      </c>
      <c r="E945" s="4">
        <v>45558</v>
      </c>
      <c r="F945" s="4">
        <v>45563</v>
      </c>
      <c r="G945" s="3" t="s">
        <v>45</v>
      </c>
      <c r="H945" s="3" t="s">
        <v>21</v>
      </c>
      <c r="I945" s="3" t="s">
        <v>22</v>
      </c>
      <c r="J945" s="3" t="s">
        <v>23</v>
      </c>
      <c r="K945" s="3">
        <v>19</v>
      </c>
      <c r="L945" s="3">
        <v>5</v>
      </c>
      <c r="M945" s="3">
        <v>5013</v>
      </c>
      <c r="N945" s="3">
        <v>25065</v>
      </c>
      <c r="O945" s="3">
        <v>0</v>
      </c>
      <c r="P945" s="3" t="s">
        <v>24</v>
      </c>
      <c r="Q945" s="3">
        <v>1</v>
      </c>
      <c r="R945" s="3" t="str">
        <f t="shared" si="14"/>
        <v>Cancelled</v>
      </c>
      <c r="S945" s="3" t="s">
        <v>31</v>
      </c>
    </row>
    <row r="946" spans="1:19" x14ac:dyDescent="0.35">
      <c r="A946" s="3">
        <v>1945</v>
      </c>
      <c r="B946" s="3" t="s">
        <v>76</v>
      </c>
      <c r="C946" s="4">
        <v>45494</v>
      </c>
      <c r="D946" s="3" t="s">
        <v>109</v>
      </c>
      <c r="E946" s="4">
        <v>45513</v>
      </c>
      <c r="F946" s="4">
        <v>45518</v>
      </c>
      <c r="G946" s="3" t="s">
        <v>45</v>
      </c>
      <c r="H946" s="3" t="s">
        <v>29</v>
      </c>
      <c r="I946" s="3" t="s">
        <v>22</v>
      </c>
      <c r="J946" s="3" t="s">
        <v>23</v>
      </c>
      <c r="K946" s="3">
        <v>19</v>
      </c>
      <c r="L946" s="3">
        <v>5</v>
      </c>
      <c r="M946" s="3">
        <v>4273</v>
      </c>
      <c r="N946" s="3">
        <v>21365</v>
      </c>
      <c r="O946" s="3">
        <v>0</v>
      </c>
      <c r="P946" s="3" t="s">
        <v>24</v>
      </c>
      <c r="Q946" s="3">
        <v>1</v>
      </c>
      <c r="R946" s="3" t="str">
        <f t="shared" si="14"/>
        <v>Cancelled</v>
      </c>
      <c r="S946" s="3" t="s">
        <v>31</v>
      </c>
    </row>
    <row r="947" spans="1:19" x14ac:dyDescent="0.35">
      <c r="A947" s="3">
        <v>1946</v>
      </c>
      <c r="B947" s="3" t="s">
        <v>556</v>
      </c>
      <c r="C947" s="4">
        <v>45439</v>
      </c>
      <c r="D947" s="3" t="s">
        <v>28</v>
      </c>
      <c r="E947" s="4">
        <v>45441</v>
      </c>
      <c r="F947" s="4">
        <v>45444</v>
      </c>
      <c r="G947" s="3" t="s">
        <v>20</v>
      </c>
      <c r="H947" s="3" t="s">
        <v>60</v>
      </c>
      <c r="I947" s="3" t="s">
        <v>39</v>
      </c>
      <c r="J947" s="3" t="s">
        <v>30</v>
      </c>
      <c r="K947" s="3">
        <v>2</v>
      </c>
      <c r="L947" s="3">
        <v>3</v>
      </c>
      <c r="M947" s="3">
        <v>8149</v>
      </c>
      <c r="N947" s="3">
        <v>24447</v>
      </c>
      <c r="O947" s="3">
        <v>24447</v>
      </c>
      <c r="P947" s="3" t="s">
        <v>51</v>
      </c>
      <c r="Q947" s="3">
        <v>0</v>
      </c>
      <c r="R947" s="3" t="str">
        <f t="shared" si="14"/>
        <v>Not Cancelled</v>
      </c>
      <c r="S947" s="3" t="s">
        <v>31</v>
      </c>
    </row>
    <row r="948" spans="1:19" x14ac:dyDescent="0.35">
      <c r="A948" s="3">
        <v>1947</v>
      </c>
      <c r="B948" s="3" t="s">
        <v>230</v>
      </c>
      <c r="C948" s="4">
        <v>45434</v>
      </c>
      <c r="D948" s="3" t="s">
        <v>86</v>
      </c>
      <c r="E948" s="4">
        <v>45475</v>
      </c>
      <c r="F948" s="4">
        <v>45477</v>
      </c>
      <c r="G948" s="3" t="s">
        <v>28</v>
      </c>
      <c r="H948" s="3" t="s">
        <v>29</v>
      </c>
      <c r="I948" s="3" t="s">
        <v>22</v>
      </c>
      <c r="J948" s="3" t="s">
        <v>30</v>
      </c>
      <c r="K948" s="3">
        <v>41</v>
      </c>
      <c r="L948" s="3">
        <v>2</v>
      </c>
      <c r="M948" s="3">
        <v>3596</v>
      </c>
      <c r="N948" s="3">
        <v>7192</v>
      </c>
      <c r="O948" s="3">
        <v>0</v>
      </c>
      <c r="P948" s="3" t="s">
        <v>51</v>
      </c>
      <c r="Q948" s="3">
        <v>1</v>
      </c>
      <c r="R948" s="3" t="str">
        <f t="shared" si="14"/>
        <v>Cancelled</v>
      </c>
      <c r="S948" s="3" t="s">
        <v>31</v>
      </c>
    </row>
    <row r="949" spans="1:19" x14ac:dyDescent="0.35">
      <c r="A949" s="3">
        <v>1948</v>
      </c>
      <c r="B949" s="3" t="s">
        <v>79</v>
      </c>
      <c r="C949" s="4">
        <v>45490</v>
      </c>
      <c r="D949" s="3" t="s">
        <v>64</v>
      </c>
      <c r="E949" s="4">
        <v>45535</v>
      </c>
      <c r="F949" s="4">
        <v>45537</v>
      </c>
      <c r="G949" s="3" t="s">
        <v>28</v>
      </c>
      <c r="H949" s="3" t="s">
        <v>60</v>
      </c>
      <c r="I949" s="3" t="s">
        <v>39</v>
      </c>
      <c r="J949" s="3" t="s">
        <v>30</v>
      </c>
      <c r="K949" s="3">
        <v>45</v>
      </c>
      <c r="L949" s="3">
        <v>2</v>
      </c>
      <c r="M949" s="3">
        <v>3428</v>
      </c>
      <c r="N949" s="3">
        <v>6856</v>
      </c>
      <c r="O949" s="3">
        <v>0</v>
      </c>
      <c r="P949" s="3" t="s">
        <v>51</v>
      </c>
      <c r="Q949" s="3">
        <v>1</v>
      </c>
      <c r="R949" s="3" t="str">
        <f t="shared" si="14"/>
        <v>Cancelled</v>
      </c>
      <c r="S949" s="3" t="s">
        <v>25</v>
      </c>
    </row>
    <row r="950" spans="1:19" x14ac:dyDescent="0.35">
      <c r="A950" s="3">
        <v>1949</v>
      </c>
      <c r="B950" s="3" t="s">
        <v>240</v>
      </c>
      <c r="C950" s="4">
        <v>45445</v>
      </c>
      <c r="D950" s="3" t="s">
        <v>277</v>
      </c>
      <c r="E950" s="4">
        <v>45460</v>
      </c>
      <c r="F950" s="4">
        <v>45464</v>
      </c>
      <c r="G950" s="3" t="s">
        <v>42</v>
      </c>
      <c r="H950" s="3" t="s">
        <v>38</v>
      </c>
      <c r="I950" s="3" t="s">
        <v>22</v>
      </c>
      <c r="J950" s="3" t="s">
        <v>46</v>
      </c>
      <c r="K950" s="3">
        <v>15</v>
      </c>
      <c r="L950" s="3">
        <v>4</v>
      </c>
      <c r="M950" s="3">
        <v>4451</v>
      </c>
      <c r="N950" s="3">
        <v>17804</v>
      </c>
      <c r="O950" s="3">
        <v>0</v>
      </c>
      <c r="P950" s="3" t="s">
        <v>51</v>
      </c>
      <c r="Q950" s="3">
        <v>1</v>
      </c>
      <c r="R950" s="3" t="str">
        <f t="shared" si="14"/>
        <v>Cancelled</v>
      </c>
      <c r="S950" s="3" t="s">
        <v>25</v>
      </c>
    </row>
    <row r="951" spans="1:19" x14ac:dyDescent="0.35">
      <c r="A951" s="3">
        <v>1950</v>
      </c>
      <c r="B951" s="3" t="s">
        <v>783</v>
      </c>
      <c r="C951" s="4">
        <v>45433</v>
      </c>
      <c r="D951" s="3" t="s">
        <v>20</v>
      </c>
      <c r="E951" s="4">
        <v>45436</v>
      </c>
      <c r="F951" s="4">
        <v>45437</v>
      </c>
      <c r="G951" s="3" t="s">
        <v>34</v>
      </c>
      <c r="H951" s="3" t="s">
        <v>60</v>
      </c>
      <c r="I951" s="3" t="s">
        <v>39</v>
      </c>
      <c r="J951" s="3" t="s">
        <v>30</v>
      </c>
      <c r="K951" s="3">
        <v>3</v>
      </c>
      <c r="L951" s="3">
        <v>1</v>
      </c>
      <c r="M951" s="3">
        <v>4473</v>
      </c>
      <c r="N951" s="3">
        <v>4473</v>
      </c>
      <c r="O951" s="3">
        <v>4473</v>
      </c>
      <c r="P951" s="3" t="s">
        <v>24</v>
      </c>
      <c r="Q951" s="3">
        <v>0</v>
      </c>
      <c r="R951" s="3" t="str">
        <f t="shared" si="14"/>
        <v>Not Cancelled</v>
      </c>
      <c r="S951" s="3" t="s">
        <v>31</v>
      </c>
    </row>
    <row r="952" spans="1:19" x14ac:dyDescent="0.35">
      <c r="A952" s="3">
        <v>1951</v>
      </c>
      <c r="B952" s="3" t="s">
        <v>616</v>
      </c>
      <c r="C952" s="4">
        <v>45604</v>
      </c>
      <c r="D952" s="3" t="s">
        <v>75</v>
      </c>
      <c r="E952" s="4">
        <v>45615</v>
      </c>
      <c r="F952" s="4">
        <v>45617</v>
      </c>
      <c r="G952" s="3" t="s">
        <v>28</v>
      </c>
      <c r="H952" s="3" t="s">
        <v>38</v>
      </c>
      <c r="I952" s="3" t="s">
        <v>39</v>
      </c>
      <c r="J952" s="3" t="s">
        <v>46</v>
      </c>
      <c r="K952" s="3">
        <v>11</v>
      </c>
      <c r="L952" s="3">
        <v>2</v>
      </c>
      <c r="M952" s="3">
        <v>8660</v>
      </c>
      <c r="N952" s="3">
        <v>17320</v>
      </c>
      <c r="O952" s="3">
        <v>17320</v>
      </c>
      <c r="P952" s="3" t="s">
        <v>24</v>
      </c>
      <c r="Q952" s="3">
        <v>0</v>
      </c>
      <c r="R952" s="3" t="str">
        <f t="shared" si="14"/>
        <v>Not Cancelled</v>
      </c>
      <c r="S952" s="3" t="s">
        <v>31</v>
      </c>
    </row>
    <row r="953" spans="1:19" x14ac:dyDescent="0.35">
      <c r="A953" s="3">
        <v>1952</v>
      </c>
      <c r="B953" s="3" t="s">
        <v>417</v>
      </c>
      <c r="C953" s="4">
        <v>45456</v>
      </c>
      <c r="D953" s="3" t="s">
        <v>133</v>
      </c>
      <c r="E953" s="4">
        <v>45509</v>
      </c>
      <c r="F953" s="4">
        <v>45514</v>
      </c>
      <c r="G953" s="3" t="s">
        <v>45</v>
      </c>
      <c r="H953" s="3" t="s">
        <v>29</v>
      </c>
      <c r="I953" s="3" t="s">
        <v>39</v>
      </c>
      <c r="J953" s="3" t="s">
        <v>30</v>
      </c>
      <c r="K953" s="3">
        <v>53</v>
      </c>
      <c r="L953" s="3">
        <v>5</v>
      </c>
      <c r="M953" s="3">
        <v>4054</v>
      </c>
      <c r="N953" s="3">
        <v>20270</v>
      </c>
      <c r="O953" s="3">
        <v>0</v>
      </c>
      <c r="P953" s="3" t="s">
        <v>51</v>
      </c>
      <c r="Q953" s="3">
        <v>1</v>
      </c>
      <c r="R953" s="3" t="str">
        <f t="shared" si="14"/>
        <v>Cancelled</v>
      </c>
      <c r="S953" s="3" t="s">
        <v>25</v>
      </c>
    </row>
    <row r="954" spans="1:19" x14ac:dyDescent="0.35">
      <c r="A954" s="3">
        <v>1953</v>
      </c>
      <c r="B954" s="3" t="s">
        <v>563</v>
      </c>
      <c r="C954" s="4">
        <v>45605</v>
      </c>
      <c r="D954" s="3" t="s">
        <v>41</v>
      </c>
      <c r="E954" s="4">
        <v>45651</v>
      </c>
      <c r="F954" s="4">
        <v>45652</v>
      </c>
      <c r="G954" s="3" t="s">
        <v>34</v>
      </c>
      <c r="H954" s="3" t="s">
        <v>60</v>
      </c>
      <c r="I954" s="3" t="s">
        <v>22</v>
      </c>
      <c r="J954" s="3" t="s">
        <v>30</v>
      </c>
      <c r="K954" s="3">
        <v>46</v>
      </c>
      <c r="L954" s="3">
        <v>1</v>
      </c>
      <c r="M954" s="3">
        <v>5278</v>
      </c>
      <c r="N954" s="3">
        <v>5278</v>
      </c>
      <c r="O954" s="3">
        <v>0</v>
      </c>
      <c r="P954" s="3" t="s">
        <v>24</v>
      </c>
      <c r="Q954" s="3">
        <v>1</v>
      </c>
      <c r="R954" s="3" t="str">
        <f t="shared" si="14"/>
        <v>Cancelled</v>
      </c>
      <c r="S954" s="3" t="s">
        <v>25</v>
      </c>
    </row>
    <row r="955" spans="1:19" x14ac:dyDescent="0.35">
      <c r="A955" s="3">
        <v>1954</v>
      </c>
      <c r="B955" s="3" t="s">
        <v>259</v>
      </c>
      <c r="C955" s="4">
        <v>45312</v>
      </c>
      <c r="D955" s="3" t="s">
        <v>50</v>
      </c>
      <c r="E955" s="4">
        <v>45342</v>
      </c>
      <c r="F955" s="4">
        <v>45343</v>
      </c>
      <c r="G955" s="3" t="s">
        <v>34</v>
      </c>
      <c r="H955" s="3" t="s">
        <v>35</v>
      </c>
      <c r="I955" s="3" t="s">
        <v>22</v>
      </c>
      <c r="J955" s="3" t="s">
        <v>46</v>
      </c>
      <c r="K955" s="3">
        <v>30</v>
      </c>
      <c r="L955" s="3">
        <v>1</v>
      </c>
      <c r="M955" s="3">
        <v>6921</v>
      </c>
      <c r="N955" s="3">
        <v>6921</v>
      </c>
      <c r="O955" s="3">
        <v>6921</v>
      </c>
      <c r="P955" s="3" t="s">
        <v>51</v>
      </c>
      <c r="Q955" s="3">
        <v>0</v>
      </c>
      <c r="R955" s="3" t="str">
        <f t="shared" si="14"/>
        <v>Not Cancelled</v>
      </c>
      <c r="S955" s="3" t="s">
        <v>25</v>
      </c>
    </row>
    <row r="956" spans="1:19" x14ac:dyDescent="0.35">
      <c r="A956" s="3">
        <v>1955</v>
      </c>
      <c r="B956" s="3" t="s">
        <v>792</v>
      </c>
      <c r="C956" s="4">
        <v>45373</v>
      </c>
      <c r="D956" s="3" t="s">
        <v>100</v>
      </c>
      <c r="E956" s="4">
        <v>45430</v>
      </c>
      <c r="F956" s="4">
        <v>45433</v>
      </c>
      <c r="G956" s="3" t="s">
        <v>20</v>
      </c>
      <c r="H956" s="3" t="s">
        <v>35</v>
      </c>
      <c r="I956" s="3" t="s">
        <v>22</v>
      </c>
      <c r="J956" s="3" t="s">
        <v>46</v>
      </c>
      <c r="K956" s="3">
        <v>57</v>
      </c>
      <c r="L956" s="3">
        <v>3</v>
      </c>
      <c r="M956" s="3">
        <v>3494</v>
      </c>
      <c r="N956" s="3">
        <v>10482</v>
      </c>
      <c r="O956" s="3">
        <v>0</v>
      </c>
      <c r="P956" s="3" t="s">
        <v>51</v>
      </c>
      <c r="Q956" s="3">
        <v>1</v>
      </c>
      <c r="R956" s="3" t="str">
        <f t="shared" si="14"/>
        <v>Cancelled</v>
      </c>
      <c r="S956" s="3" t="s">
        <v>25</v>
      </c>
    </row>
    <row r="957" spans="1:19" x14ac:dyDescent="0.35">
      <c r="A957" s="3">
        <v>1956</v>
      </c>
      <c r="B957" s="3" t="s">
        <v>471</v>
      </c>
      <c r="C957" s="4">
        <v>45360</v>
      </c>
      <c r="D957" s="3" t="s">
        <v>179</v>
      </c>
      <c r="E957" s="4">
        <v>45400</v>
      </c>
      <c r="F957" s="4">
        <v>45402</v>
      </c>
      <c r="G957" s="3" t="s">
        <v>28</v>
      </c>
      <c r="H957" s="3" t="s">
        <v>21</v>
      </c>
      <c r="I957" s="3" t="s">
        <v>39</v>
      </c>
      <c r="J957" s="3" t="s">
        <v>30</v>
      </c>
      <c r="K957" s="3">
        <v>40</v>
      </c>
      <c r="L957" s="3">
        <v>2</v>
      </c>
      <c r="M957" s="3">
        <v>3112</v>
      </c>
      <c r="N957" s="3">
        <v>6224</v>
      </c>
      <c r="O957" s="3">
        <v>0</v>
      </c>
      <c r="P957" s="3" t="s">
        <v>51</v>
      </c>
      <c r="Q957" s="3">
        <v>1</v>
      </c>
      <c r="R957" s="3" t="str">
        <f t="shared" si="14"/>
        <v>Cancelled</v>
      </c>
      <c r="S957" s="3" t="s">
        <v>31</v>
      </c>
    </row>
    <row r="958" spans="1:19" x14ac:dyDescent="0.35">
      <c r="A958" s="3">
        <v>1957</v>
      </c>
      <c r="B958" s="3" t="s">
        <v>745</v>
      </c>
      <c r="C958" s="4">
        <v>45422</v>
      </c>
      <c r="D958" s="3" t="s">
        <v>27</v>
      </c>
      <c r="E958" s="4">
        <v>45440</v>
      </c>
      <c r="F958" s="4">
        <v>45443</v>
      </c>
      <c r="G958" s="3" t="s">
        <v>20</v>
      </c>
      <c r="H958" s="3" t="s">
        <v>35</v>
      </c>
      <c r="I958" s="3" t="s">
        <v>22</v>
      </c>
      <c r="J958" s="3" t="s">
        <v>30</v>
      </c>
      <c r="K958" s="3">
        <v>18</v>
      </c>
      <c r="L958" s="3">
        <v>3</v>
      </c>
      <c r="M958" s="3">
        <v>5093</v>
      </c>
      <c r="N958" s="3">
        <v>15279</v>
      </c>
      <c r="O958" s="3">
        <v>0</v>
      </c>
      <c r="P958" s="3" t="s">
        <v>51</v>
      </c>
      <c r="Q958" s="3">
        <v>1</v>
      </c>
      <c r="R958" s="3" t="str">
        <f t="shared" si="14"/>
        <v>Cancelled</v>
      </c>
      <c r="S958" s="3" t="s">
        <v>31</v>
      </c>
    </row>
    <row r="959" spans="1:19" x14ac:dyDescent="0.35">
      <c r="A959" s="3">
        <v>1958</v>
      </c>
      <c r="B959" s="3" t="s">
        <v>793</v>
      </c>
      <c r="C959" s="4">
        <v>45378</v>
      </c>
      <c r="D959" s="3" t="s">
        <v>124</v>
      </c>
      <c r="E959" s="4">
        <v>45429</v>
      </c>
      <c r="F959" s="4">
        <v>45431</v>
      </c>
      <c r="G959" s="3" t="s">
        <v>28</v>
      </c>
      <c r="H959" s="3" t="s">
        <v>38</v>
      </c>
      <c r="I959" s="3" t="s">
        <v>22</v>
      </c>
      <c r="J959" s="3" t="s">
        <v>30</v>
      </c>
      <c r="K959" s="3">
        <v>51</v>
      </c>
      <c r="L959" s="3">
        <v>2</v>
      </c>
      <c r="M959" s="3">
        <v>3095</v>
      </c>
      <c r="N959" s="3">
        <v>6190</v>
      </c>
      <c r="O959" s="3">
        <v>0</v>
      </c>
      <c r="P959" s="3" t="s">
        <v>24</v>
      </c>
      <c r="Q959" s="3">
        <v>1</v>
      </c>
      <c r="R959" s="3" t="str">
        <f t="shared" si="14"/>
        <v>Cancelled</v>
      </c>
      <c r="S959" s="3" t="s">
        <v>25</v>
      </c>
    </row>
    <row r="960" spans="1:19" x14ac:dyDescent="0.35">
      <c r="A960" s="3">
        <v>1959</v>
      </c>
      <c r="B960" s="3" t="s">
        <v>794</v>
      </c>
      <c r="C960" s="4">
        <v>45509</v>
      </c>
      <c r="D960" s="3" t="s">
        <v>73</v>
      </c>
      <c r="E960" s="4">
        <v>45557</v>
      </c>
      <c r="F960" s="4">
        <v>45561</v>
      </c>
      <c r="G960" s="3" t="s">
        <v>42</v>
      </c>
      <c r="H960" s="3" t="s">
        <v>35</v>
      </c>
      <c r="I960" s="3" t="s">
        <v>22</v>
      </c>
      <c r="J960" s="3" t="s">
        <v>23</v>
      </c>
      <c r="K960" s="3">
        <v>48</v>
      </c>
      <c r="L960" s="3">
        <v>4</v>
      </c>
      <c r="M960" s="3">
        <v>7516</v>
      </c>
      <c r="N960" s="3">
        <v>30064</v>
      </c>
      <c r="O960" s="3">
        <v>0</v>
      </c>
      <c r="P960" s="3" t="s">
        <v>24</v>
      </c>
      <c r="Q960" s="3">
        <v>1</v>
      </c>
      <c r="R960" s="3" t="str">
        <f t="shared" si="14"/>
        <v>Cancelled</v>
      </c>
      <c r="S960" s="3" t="s">
        <v>25</v>
      </c>
    </row>
    <row r="961" spans="1:19" x14ac:dyDescent="0.35">
      <c r="A961" s="3">
        <v>1960</v>
      </c>
      <c r="B961" s="3" t="s">
        <v>795</v>
      </c>
      <c r="C961" s="4">
        <v>45596</v>
      </c>
      <c r="D961" s="3" t="s">
        <v>28</v>
      </c>
      <c r="E961" s="4">
        <v>45598</v>
      </c>
      <c r="F961" s="4">
        <v>45601</v>
      </c>
      <c r="G961" s="3" t="s">
        <v>20</v>
      </c>
      <c r="H961" s="3" t="s">
        <v>35</v>
      </c>
      <c r="I961" s="3" t="s">
        <v>39</v>
      </c>
      <c r="J961" s="3" t="s">
        <v>30</v>
      </c>
      <c r="K961" s="3">
        <v>2</v>
      </c>
      <c r="L961" s="3">
        <v>3</v>
      </c>
      <c r="M961" s="3">
        <v>3341</v>
      </c>
      <c r="N961" s="3">
        <v>10023</v>
      </c>
      <c r="O961" s="3">
        <v>10023</v>
      </c>
      <c r="P961" s="3" t="s">
        <v>51</v>
      </c>
      <c r="Q961" s="3">
        <v>0</v>
      </c>
      <c r="R961" s="3" t="str">
        <f t="shared" si="14"/>
        <v>Not Cancelled</v>
      </c>
      <c r="S961" s="3" t="s">
        <v>25</v>
      </c>
    </row>
    <row r="962" spans="1:19" x14ac:dyDescent="0.35">
      <c r="A962" s="3">
        <v>1961</v>
      </c>
      <c r="B962" s="3" t="s">
        <v>796</v>
      </c>
      <c r="C962" s="4">
        <v>45636</v>
      </c>
      <c r="D962" s="3" t="s">
        <v>144</v>
      </c>
      <c r="E962" s="4">
        <v>45668</v>
      </c>
      <c r="F962" s="4">
        <v>45671</v>
      </c>
      <c r="G962" s="3" t="s">
        <v>20</v>
      </c>
      <c r="H962" s="3" t="s">
        <v>35</v>
      </c>
      <c r="I962" s="3" t="s">
        <v>22</v>
      </c>
      <c r="J962" s="3" t="s">
        <v>46</v>
      </c>
      <c r="K962" s="3">
        <v>32</v>
      </c>
      <c r="L962" s="3">
        <v>3</v>
      </c>
      <c r="M962" s="3">
        <v>7821</v>
      </c>
      <c r="N962" s="3">
        <v>23463</v>
      </c>
      <c r="O962" s="3">
        <v>23463</v>
      </c>
      <c r="P962" s="3" t="s">
        <v>51</v>
      </c>
      <c r="Q962" s="3">
        <v>0</v>
      </c>
      <c r="R962" s="3" t="str">
        <f t="shared" si="14"/>
        <v>Not Cancelled</v>
      </c>
      <c r="S962" s="3" t="s">
        <v>25</v>
      </c>
    </row>
    <row r="963" spans="1:19" x14ac:dyDescent="0.35">
      <c r="A963" s="3">
        <v>1962</v>
      </c>
      <c r="B963" s="3" t="s">
        <v>797</v>
      </c>
      <c r="C963" s="4">
        <v>45632</v>
      </c>
      <c r="D963" s="3" t="s">
        <v>59</v>
      </c>
      <c r="E963" s="4">
        <v>45640</v>
      </c>
      <c r="F963" s="4">
        <v>45645</v>
      </c>
      <c r="G963" s="3" t="s">
        <v>45</v>
      </c>
      <c r="H963" s="3" t="s">
        <v>60</v>
      </c>
      <c r="I963" s="3" t="s">
        <v>22</v>
      </c>
      <c r="J963" s="3" t="s">
        <v>23</v>
      </c>
      <c r="K963" s="3">
        <v>8</v>
      </c>
      <c r="L963" s="3">
        <v>5</v>
      </c>
      <c r="M963" s="3">
        <v>6939</v>
      </c>
      <c r="N963" s="3">
        <v>34695</v>
      </c>
      <c r="O963" s="3">
        <v>0</v>
      </c>
      <c r="P963" s="3" t="s">
        <v>24</v>
      </c>
      <c r="Q963" s="3">
        <v>1</v>
      </c>
      <c r="R963" s="3" t="str">
        <f t="shared" ref="R963:R1026" si="15">IF(Q963=0,"Not Cancelled","Cancelled")</f>
        <v>Cancelled</v>
      </c>
      <c r="S963" s="3" t="s">
        <v>31</v>
      </c>
    </row>
    <row r="964" spans="1:19" x14ac:dyDescent="0.35">
      <c r="A964" s="3">
        <v>1963</v>
      </c>
      <c r="B964" s="3" t="s">
        <v>552</v>
      </c>
      <c r="C964" s="4">
        <v>45452</v>
      </c>
      <c r="D964" s="3" t="s">
        <v>19</v>
      </c>
      <c r="E964" s="4">
        <v>45474</v>
      </c>
      <c r="F964" s="4">
        <v>45477</v>
      </c>
      <c r="G964" s="3" t="s">
        <v>20</v>
      </c>
      <c r="H964" s="3" t="s">
        <v>21</v>
      </c>
      <c r="I964" s="3" t="s">
        <v>39</v>
      </c>
      <c r="J964" s="3" t="s">
        <v>46</v>
      </c>
      <c r="K964" s="3">
        <v>22</v>
      </c>
      <c r="L964" s="3">
        <v>3</v>
      </c>
      <c r="M964" s="3">
        <v>8472</v>
      </c>
      <c r="N964" s="3">
        <v>25416</v>
      </c>
      <c r="O964" s="3">
        <v>0</v>
      </c>
      <c r="P964" s="3" t="s">
        <v>24</v>
      </c>
      <c r="Q964" s="3">
        <v>1</v>
      </c>
      <c r="R964" s="3" t="str">
        <f t="shared" si="15"/>
        <v>Cancelled</v>
      </c>
      <c r="S964" s="3" t="s">
        <v>25</v>
      </c>
    </row>
    <row r="965" spans="1:19" x14ac:dyDescent="0.35">
      <c r="A965" s="3">
        <v>1964</v>
      </c>
      <c r="B965" s="3" t="s">
        <v>798</v>
      </c>
      <c r="C965" s="4">
        <v>45469</v>
      </c>
      <c r="D965" s="3" t="s">
        <v>55</v>
      </c>
      <c r="E965" s="4">
        <v>45475</v>
      </c>
      <c r="F965" s="4">
        <v>45477</v>
      </c>
      <c r="G965" s="3" t="s">
        <v>28</v>
      </c>
      <c r="H965" s="3" t="s">
        <v>29</v>
      </c>
      <c r="I965" s="3" t="s">
        <v>39</v>
      </c>
      <c r="J965" s="3" t="s">
        <v>23</v>
      </c>
      <c r="K965" s="3">
        <v>6</v>
      </c>
      <c r="L965" s="3">
        <v>2</v>
      </c>
      <c r="M965" s="3">
        <v>3358</v>
      </c>
      <c r="N965" s="3">
        <v>6716</v>
      </c>
      <c r="O965" s="3">
        <v>6716</v>
      </c>
      <c r="P965" s="3" t="s">
        <v>51</v>
      </c>
      <c r="Q965" s="3">
        <v>0</v>
      </c>
      <c r="R965" s="3" t="str">
        <f t="shared" si="15"/>
        <v>Not Cancelled</v>
      </c>
      <c r="S965" s="3" t="s">
        <v>25</v>
      </c>
    </row>
    <row r="966" spans="1:19" x14ac:dyDescent="0.35">
      <c r="A966" s="3">
        <v>1965</v>
      </c>
      <c r="B966" s="3" t="s">
        <v>761</v>
      </c>
      <c r="C966" s="4">
        <v>45408</v>
      </c>
      <c r="D966" s="3" t="s">
        <v>102</v>
      </c>
      <c r="E966" s="4">
        <v>45420</v>
      </c>
      <c r="F966" s="4">
        <v>45425</v>
      </c>
      <c r="G966" s="3" t="s">
        <v>45</v>
      </c>
      <c r="H966" s="3" t="s">
        <v>21</v>
      </c>
      <c r="I966" s="3" t="s">
        <v>39</v>
      </c>
      <c r="J966" s="3" t="s">
        <v>23</v>
      </c>
      <c r="K966" s="3">
        <v>12</v>
      </c>
      <c r="L966" s="3">
        <v>5</v>
      </c>
      <c r="M966" s="3">
        <v>8019</v>
      </c>
      <c r="N966" s="3">
        <v>40095</v>
      </c>
      <c r="O966" s="3">
        <v>40095</v>
      </c>
      <c r="P966" s="3" t="s">
        <v>51</v>
      </c>
      <c r="Q966" s="3">
        <v>0</v>
      </c>
      <c r="R966" s="3" t="str">
        <f t="shared" si="15"/>
        <v>Not Cancelled</v>
      </c>
      <c r="S966" s="3" t="s">
        <v>25</v>
      </c>
    </row>
    <row r="967" spans="1:19" x14ac:dyDescent="0.35">
      <c r="A967" s="3">
        <v>1966</v>
      </c>
      <c r="B967" s="3" t="s">
        <v>585</v>
      </c>
      <c r="C967" s="4">
        <v>45487</v>
      </c>
      <c r="D967" s="3" t="s">
        <v>148</v>
      </c>
      <c r="E967" s="4">
        <v>45534</v>
      </c>
      <c r="F967" s="4">
        <v>45537</v>
      </c>
      <c r="G967" s="3" t="s">
        <v>20</v>
      </c>
      <c r="H967" s="3" t="s">
        <v>38</v>
      </c>
      <c r="I967" s="3" t="s">
        <v>39</v>
      </c>
      <c r="J967" s="3" t="s">
        <v>46</v>
      </c>
      <c r="K967" s="3">
        <v>47</v>
      </c>
      <c r="L967" s="3">
        <v>3</v>
      </c>
      <c r="M967" s="3">
        <v>2944</v>
      </c>
      <c r="N967" s="3">
        <v>8832</v>
      </c>
      <c r="O967" s="3">
        <v>0</v>
      </c>
      <c r="P967" s="3" t="s">
        <v>51</v>
      </c>
      <c r="Q967" s="3">
        <v>1</v>
      </c>
      <c r="R967" s="3" t="str">
        <f t="shared" si="15"/>
        <v>Cancelled</v>
      </c>
      <c r="S967" s="3" t="s">
        <v>31</v>
      </c>
    </row>
    <row r="968" spans="1:19" x14ac:dyDescent="0.35">
      <c r="A968" s="3">
        <v>1967</v>
      </c>
      <c r="B968" s="3" t="s">
        <v>799</v>
      </c>
      <c r="C968" s="4">
        <v>45618</v>
      </c>
      <c r="D968" s="3" t="s">
        <v>100</v>
      </c>
      <c r="E968" s="4">
        <v>45675</v>
      </c>
      <c r="F968" s="4">
        <v>45678</v>
      </c>
      <c r="G968" s="3" t="s">
        <v>20</v>
      </c>
      <c r="H968" s="3" t="s">
        <v>60</v>
      </c>
      <c r="I968" s="3" t="s">
        <v>39</v>
      </c>
      <c r="J968" s="3" t="s">
        <v>23</v>
      </c>
      <c r="K968" s="3">
        <v>57</v>
      </c>
      <c r="L968" s="3">
        <v>3</v>
      </c>
      <c r="M968" s="3">
        <v>4288</v>
      </c>
      <c r="N968" s="3">
        <v>12864</v>
      </c>
      <c r="O968" s="3">
        <v>0</v>
      </c>
      <c r="P968" s="3" t="s">
        <v>51</v>
      </c>
      <c r="Q968" s="3">
        <v>1</v>
      </c>
      <c r="R968" s="3" t="str">
        <f t="shared" si="15"/>
        <v>Cancelled</v>
      </c>
      <c r="S968" s="3" t="s">
        <v>31</v>
      </c>
    </row>
    <row r="969" spans="1:19" x14ac:dyDescent="0.35">
      <c r="A969" s="3">
        <v>1968</v>
      </c>
      <c r="B969" s="3" t="s">
        <v>747</v>
      </c>
      <c r="C969" s="4">
        <v>45377</v>
      </c>
      <c r="D969" s="3" t="s">
        <v>179</v>
      </c>
      <c r="E969" s="4">
        <v>45417</v>
      </c>
      <c r="F969" s="4">
        <v>45421</v>
      </c>
      <c r="G969" s="3" t="s">
        <v>42</v>
      </c>
      <c r="H969" s="3" t="s">
        <v>60</v>
      </c>
      <c r="I969" s="3" t="s">
        <v>39</v>
      </c>
      <c r="J969" s="3" t="s">
        <v>46</v>
      </c>
      <c r="K969" s="3">
        <v>40</v>
      </c>
      <c r="L969" s="3">
        <v>4</v>
      </c>
      <c r="M969" s="3">
        <v>6817</v>
      </c>
      <c r="N969" s="3">
        <v>27268</v>
      </c>
      <c r="O969" s="3">
        <v>0</v>
      </c>
      <c r="P969" s="3" t="s">
        <v>51</v>
      </c>
      <c r="Q969" s="3">
        <v>1</v>
      </c>
      <c r="R969" s="3" t="str">
        <f t="shared" si="15"/>
        <v>Cancelled</v>
      </c>
      <c r="S969" s="3" t="s">
        <v>31</v>
      </c>
    </row>
    <row r="970" spans="1:19" x14ac:dyDescent="0.35">
      <c r="A970" s="3">
        <v>1969</v>
      </c>
      <c r="B970" s="3" t="s">
        <v>800</v>
      </c>
      <c r="C970" s="4">
        <v>45580</v>
      </c>
      <c r="D970" s="3" t="s">
        <v>146</v>
      </c>
      <c r="E970" s="4">
        <v>45616</v>
      </c>
      <c r="F970" s="4">
        <v>45619</v>
      </c>
      <c r="G970" s="3" t="s">
        <v>20</v>
      </c>
      <c r="H970" s="3" t="s">
        <v>35</v>
      </c>
      <c r="I970" s="3" t="s">
        <v>22</v>
      </c>
      <c r="J970" s="3" t="s">
        <v>30</v>
      </c>
      <c r="K970" s="3">
        <v>36</v>
      </c>
      <c r="L970" s="3">
        <v>3</v>
      </c>
      <c r="M970" s="3">
        <v>5954</v>
      </c>
      <c r="N970" s="3">
        <v>17862</v>
      </c>
      <c r="O970" s="3">
        <v>0</v>
      </c>
      <c r="P970" s="3" t="s">
        <v>24</v>
      </c>
      <c r="Q970" s="3">
        <v>1</v>
      </c>
      <c r="R970" s="3" t="str">
        <f t="shared" si="15"/>
        <v>Cancelled</v>
      </c>
      <c r="S970" s="3" t="s">
        <v>25</v>
      </c>
    </row>
    <row r="971" spans="1:19" x14ac:dyDescent="0.35">
      <c r="A971" s="3">
        <v>1970</v>
      </c>
      <c r="B971" s="3" t="s">
        <v>747</v>
      </c>
      <c r="C971" s="4">
        <v>45372</v>
      </c>
      <c r="D971" s="3" t="s">
        <v>277</v>
      </c>
      <c r="E971" s="4">
        <v>45387</v>
      </c>
      <c r="F971" s="4">
        <v>45388</v>
      </c>
      <c r="G971" s="3" t="s">
        <v>34</v>
      </c>
      <c r="H971" s="3" t="s">
        <v>35</v>
      </c>
      <c r="I971" s="3" t="s">
        <v>22</v>
      </c>
      <c r="J971" s="3" t="s">
        <v>23</v>
      </c>
      <c r="K971" s="3">
        <v>15</v>
      </c>
      <c r="L971" s="3">
        <v>1</v>
      </c>
      <c r="M971" s="3">
        <v>6452</v>
      </c>
      <c r="N971" s="3">
        <v>6452</v>
      </c>
      <c r="O971" s="3">
        <v>0</v>
      </c>
      <c r="P971" s="3" t="s">
        <v>24</v>
      </c>
      <c r="Q971" s="3">
        <v>1</v>
      </c>
      <c r="R971" s="3" t="str">
        <f t="shared" si="15"/>
        <v>Cancelled</v>
      </c>
      <c r="S971" s="3" t="s">
        <v>25</v>
      </c>
    </row>
    <row r="972" spans="1:19" x14ac:dyDescent="0.35">
      <c r="A972" s="3">
        <v>1971</v>
      </c>
      <c r="B972" s="3" t="s">
        <v>801</v>
      </c>
      <c r="C972" s="4">
        <v>45443</v>
      </c>
      <c r="D972" s="3" t="s">
        <v>82</v>
      </c>
      <c r="E972" s="4">
        <v>45471</v>
      </c>
      <c r="F972" s="4">
        <v>45476</v>
      </c>
      <c r="G972" s="3" t="s">
        <v>45</v>
      </c>
      <c r="H972" s="3" t="s">
        <v>38</v>
      </c>
      <c r="I972" s="3" t="s">
        <v>39</v>
      </c>
      <c r="J972" s="3" t="s">
        <v>46</v>
      </c>
      <c r="K972" s="3">
        <v>28</v>
      </c>
      <c r="L972" s="3">
        <v>5</v>
      </c>
      <c r="M972" s="3">
        <v>7187</v>
      </c>
      <c r="N972" s="3">
        <v>35935</v>
      </c>
      <c r="O972" s="3">
        <v>0</v>
      </c>
      <c r="P972" s="3" t="s">
        <v>51</v>
      </c>
      <c r="Q972" s="3">
        <v>1</v>
      </c>
      <c r="R972" s="3" t="str">
        <f t="shared" si="15"/>
        <v>Cancelled</v>
      </c>
      <c r="S972" s="3" t="s">
        <v>25</v>
      </c>
    </row>
    <row r="973" spans="1:19" x14ac:dyDescent="0.35">
      <c r="A973" s="3">
        <v>1972</v>
      </c>
      <c r="B973" s="3" t="s">
        <v>706</v>
      </c>
      <c r="C973" s="4">
        <v>45352</v>
      </c>
      <c r="D973" s="3" t="s">
        <v>226</v>
      </c>
      <c r="E973" s="4">
        <v>45404</v>
      </c>
      <c r="F973" s="4">
        <v>45405</v>
      </c>
      <c r="G973" s="3" t="s">
        <v>34</v>
      </c>
      <c r="H973" s="3" t="s">
        <v>60</v>
      </c>
      <c r="I973" s="3" t="s">
        <v>22</v>
      </c>
      <c r="J973" s="3" t="s">
        <v>23</v>
      </c>
      <c r="K973" s="3">
        <v>52</v>
      </c>
      <c r="L973" s="3">
        <v>1</v>
      </c>
      <c r="M973" s="3">
        <v>3530</v>
      </c>
      <c r="N973" s="3">
        <v>3530</v>
      </c>
      <c r="O973" s="3">
        <v>0</v>
      </c>
      <c r="P973" s="3" t="s">
        <v>51</v>
      </c>
      <c r="Q973" s="3">
        <v>1</v>
      </c>
      <c r="R973" s="3" t="str">
        <f t="shared" si="15"/>
        <v>Cancelled</v>
      </c>
      <c r="S973" s="3" t="s">
        <v>31</v>
      </c>
    </row>
    <row r="974" spans="1:19" x14ac:dyDescent="0.35">
      <c r="A974" s="3">
        <v>1973</v>
      </c>
      <c r="B974" s="3" t="s">
        <v>802</v>
      </c>
      <c r="C974" s="4">
        <v>45352</v>
      </c>
      <c r="D974" s="3" t="s">
        <v>100</v>
      </c>
      <c r="E974" s="4">
        <v>45409</v>
      </c>
      <c r="F974" s="4">
        <v>45414</v>
      </c>
      <c r="G974" s="3" t="s">
        <v>45</v>
      </c>
      <c r="H974" s="3" t="s">
        <v>29</v>
      </c>
      <c r="I974" s="3" t="s">
        <v>39</v>
      </c>
      <c r="J974" s="3" t="s">
        <v>46</v>
      </c>
      <c r="K974" s="3">
        <v>57</v>
      </c>
      <c r="L974" s="3">
        <v>5</v>
      </c>
      <c r="M974" s="3">
        <v>3795</v>
      </c>
      <c r="N974" s="3">
        <v>18975</v>
      </c>
      <c r="O974" s="3">
        <v>0</v>
      </c>
      <c r="P974" s="3" t="s">
        <v>51</v>
      </c>
      <c r="Q974" s="3">
        <v>1</v>
      </c>
      <c r="R974" s="3" t="str">
        <f t="shared" si="15"/>
        <v>Cancelled</v>
      </c>
      <c r="S974" s="3" t="s">
        <v>31</v>
      </c>
    </row>
    <row r="975" spans="1:19" x14ac:dyDescent="0.35">
      <c r="A975" s="3">
        <v>1974</v>
      </c>
      <c r="B975" s="3" t="s">
        <v>560</v>
      </c>
      <c r="C975" s="4">
        <v>45645</v>
      </c>
      <c r="D975" s="3" t="s">
        <v>211</v>
      </c>
      <c r="E975" s="4">
        <v>45694</v>
      </c>
      <c r="F975" s="4">
        <v>45698</v>
      </c>
      <c r="G975" s="3" t="s">
        <v>42</v>
      </c>
      <c r="H975" s="3" t="s">
        <v>21</v>
      </c>
      <c r="I975" s="3" t="s">
        <v>22</v>
      </c>
      <c r="J975" s="3" t="s">
        <v>30</v>
      </c>
      <c r="K975" s="3">
        <v>49</v>
      </c>
      <c r="L975" s="3">
        <v>4</v>
      </c>
      <c r="M975" s="3">
        <v>7613</v>
      </c>
      <c r="N975" s="3">
        <v>30452</v>
      </c>
      <c r="O975" s="3">
        <v>0</v>
      </c>
      <c r="P975" s="3" t="s">
        <v>51</v>
      </c>
      <c r="Q975" s="3">
        <v>1</v>
      </c>
      <c r="R975" s="3" t="str">
        <f t="shared" si="15"/>
        <v>Cancelled</v>
      </c>
      <c r="S975" s="3" t="s">
        <v>25</v>
      </c>
    </row>
    <row r="976" spans="1:19" x14ac:dyDescent="0.35">
      <c r="A976" s="3">
        <v>1975</v>
      </c>
      <c r="B976" s="3" t="s">
        <v>90</v>
      </c>
      <c r="C976" s="4">
        <v>45319</v>
      </c>
      <c r="D976" s="3" t="s">
        <v>64</v>
      </c>
      <c r="E976" s="4">
        <v>45364</v>
      </c>
      <c r="F976" s="4">
        <v>45367</v>
      </c>
      <c r="G976" s="3" t="s">
        <v>20</v>
      </c>
      <c r="H976" s="3" t="s">
        <v>60</v>
      </c>
      <c r="I976" s="3" t="s">
        <v>39</v>
      </c>
      <c r="J976" s="3" t="s">
        <v>30</v>
      </c>
      <c r="K976" s="3">
        <v>45</v>
      </c>
      <c r="L976" s="3">
        <v>3</v>
      </c>
      <c r="M976" s="3">
        <v>4563</v>
      </c>
      <c r="N976" s="3">
        <v>13689</v>
      </c>
      <c r="O976" s="3">
        <v>0</v>
      </c>
      <c r="P976" s="3" t="s">
        <v>24</v>
      </c>
      <c r="Q976" s="3">
        <v>1</v>
      </c>
      <c r="R976" s="3" t="str">
        <f t="shared" si="15"/>
        <v>Cancelled</v>
      </c>
      <c r="S976" s="3" t="s">
        <v>25</v>
      </c>
    </row>
    <row r="977" spans="1:19" x14ac:dyDescent="0.35">
      <c r="A977" s="3">
        <v>1976</v>
      </c>
      <c r="B977" s="3" t="s">
        <v>803</v>
      </c>
      <c r="C977" s="4">
        <v>45334</v>
      </c>
      <c r="D977" s="3" t="s">
        <v>27</v>
      </c>
      <c r="E977" s="4">
        <v>45352</v>
      </c>
      <c r="F977" s="4">
        <v>45355</v>
      </c>
      <c r="G977" s="3" t="s">
        <v>20</v>
      </c>
      <c r="H977" s="3" t="s">
        <v>29</v>
      </c>
      <c r="I977" s="3" t="s">
        <v>39</v>
      </c>
      <c r="J977" s="3" t="s">
        <v>23</v>
      </c>
      <c r="K977" s="3">
        <v>18</v>
      </c>
      <c r="L977" s="3">
        <v>3</v>
      </c>
      <c r="M977" s="3">
        <v>3947</v>
      </c>
      <c r="N977" s="3">
        <v>11841</v>
      </c>
      <c r="O977" s="3">
        <v>11841</v>
      </c>
      <c r="P977" s="3" t="s">
        <v>24</v>
      </c>
      <c r="Q977" s="3">
        <v>0</v>
      </c>
      <c r="R977" s="3" t="str">
        <f t="shared" si="15"/>
        <v>Not Cancelled</v>
      </c>
      <c r="S977" s="3" t="s">
        <v>31</v>
      </c>
    </row>
    <row r="978" spans="1:19" x14ac:dyDescent="0.35">
      <c r="A978" s="3">
        <v>1977</v>
      </c>
      <c r="B978" s="3" t="s">
        <v>804</v>
      </c>
      <c r="C978" s="4">
        <v>45460</v>
      </c>
      <c r="D978" s="3" t="s">
        <v>28</v>
      </c>
      <c r="E978" s="4">
        <v>45462</v>
      </c>
      <c r="F978" s="4">
        <v>45465</v>
      </c>
      <c r="G978" s="3" t="s">
        <v>20</v>
      </c>
      <c r="H978" s="3" t="s">
        <v>29</v>
      </c>
      <c r="I978" s="3" t="s">
        <v>22</v>
      </c>
      <c r="J978" s="3" t="s">
        <v>23</v>
      </c>
      <c r="K978" s="3">
        <v>2</v>
      </c>
      <c r="L978" s="3">
        <v>3</v>
      </c>
      <c r="M978" s="3">
        <v>4545</v>
      </c>
      <c r="N978" s="3">
        <v>13635</v>
      </c>
      <c r="O978" s="3">
        <v>0</v>
      </c>
      <c r="P978" s="3" t="s">
        <v>51</v>
      </c>
      <c r="Q978" s="3">
        <v>1</v>
      </c>
      <c r="R978" s="3" t="str">
        <f t="shared" si="15"/>
        <v>Cancelled</v>
      </c>
      <c r="S978" s="3" t="s">
        <v>25</v>
      </c>
    </row>
    <row r="979" spans="1:19" x14ac:dyDescent="0.35">
      <c r="A979" s="3">
        <v>1978</v>
      </c>
      <c r="B979" s="3" t="s">
        <v>219</v>
      </c>
      <c r="C979" s="4">
        <v>45377</v>
      </c>
      <c r="D979" s="3" t="s">
        <v>44</v>
      </c>
      <c r="E979" s="4">
        <v>45390</v>
      </c>
      <c r="F979" s="4">
        <v>45395</v>
      </c>
      <c r="G979" s="3" t="s">
        <v>45</v>
      </c>
      <c r="H979" s="3" t="s">
        <v>21</v>
      </c>
      <c r="I979" s="3" t="s">
        <v>22</v>
      </c>
      <c r="J979" s="3" t="s">
        <v>46</v>
      </c>
      <c r="K979" s="3">
        <v>13</v>
      </c>
      <c r="L979" s="3">
        <v>5</v>
      </c>
      <c r="M979" s="3">
        <v>7119</v>
      </c>
      <c r="N979" s="3">
        <v>35595</v>
      </c>
      <c r="O979" s="3">
        <v>35595</v>
      </c>
      <c r="P979" s="3" t="s">
        <v>24</v>
      </c>
      <c r="Q979" s="3">
        <v>0</v>
      </c>
      <c r="R979" s="3" t="str">
        <f t="shared" si="15"/>
        <v>Not Cancelled</v>
      </c>
      <c r="S979" s="3" t="s">
        <v>25</v>
      </c>
    </row>
    <row r="980" spans="1:19" x14ac:dyDescent="0.35">
      <c r="A980" s="3">
        <v>1979</v>
      </c>
      <c r="B980" s="3" t="s">
        <v>805</v>
      </c>
      <c r="C980" s="4">
        <v>45468</v>
      </c>
      <c r="D980" s="3" t="s">
        <v>64</v>
      </c>
      <c r="E980" s="4">
        <v>45513</v>
      </c>
      <c r="F980" s="4">
        <v>45516</v>
      </c>
      <c r="G980" s="3" t="s">
        <v>20</v>
      </c>
      <c r="H980" s="3" t="s">
        <v>29</v>
      </c>
      <c r="I980" s="3" t="s">
        <v>22</v>
      </c>
      <c r="J980" s="3" t="s">
        <v>46</v>
      </c>
      <c r="K980" s="3">
        <v>45</v>
      </c>
      <c r="L980" s="3">
        <v>3</v>
      </c>
      <c r="M980" s="3">
        <v>5350</v>
      </c>
      <c r="N980" s="3">
        <v>16050</v>
      </c>
      <c r="O980" s="3">
        <v>0</v>
      </c>
      <c r="P980" s="3" t="s">
        <v>51</v>
      </c>
      <c r="Q980" s="3">
        <v>1</v>
      </c>
      <c r="R980" s="3" t="str">
        <f t="shared" si="15"/>
        <v>Cancelled</v>
      </c>
      <c r="S980" s="3" t="s">
        <v>25</v>
      </c>
    </row>
    <row r="981" spans="1:19" x14ac:dyDescent="0.35">
      <c r="A981" s="3">
        <v>1980</v>
      </c>
      <c r="B981" s="3" t="s">
        <v>687</v>
      </c>
      <c r="C981" s="4">
        <v>45308</v>
      </c>
      <c r="D981" s="3" t="s">
        <v>117</v>
      </c>
      <c r="E981" s="4">
        <v>45362</v>
      </c>
      <c r="F981" s="4">
        <v>45363</v>
      </c>
      <c r="G981" s="3" t="s">
        <v>34</v>
      </c>
      <c r="H981" s="3" t="s">
        <v>38</v>
      </c>
      <c r="I981" s="3" t="s">
        <v>22</v>
      </c>
      <c r="J981" s="3" t="s">
        <v>23</v>
      </c>
      <c r="K981" s="3">
        <v>54</v>
      </c>
      <c r="L981" s="3">
        <v>1</v>
      </c>
      <c r="M981" s="3">
        <v>6324</v>
      </c>
      <c r="N981" s="3">
        <v>6324</v>
      </c>
      <c r="O981" s="3">
        <v>0</v>
      </c>
      <c r="P981" s="3" t="s">
        <v>51</v>
      </c>
      <c r="Q981" s="3">
        <v>1</v>
      </c>
      <c r="R981" s="3" t="str">
        <f t="shared" si="15"/>
        <v>Cancelled</v>
      </c>
      <c r="S981" s="3" t="s">
        <v>31</v>
      </c>
    </row>
    <row r="982" spans="1:19" x14ac:dyDescent="0.35">
      <c r="A982" s="3">
        <v>1981</v>
      </c>
      <c r="B982" s="3" t="s">
        <v>806</v>
      </c>
      <c r="C982" s="4">
        <v>45389</v>
      </c>
      <c r="D982" s="3" t="s">
        <v>277</v>
      </c>
      <c r="E982" s="4">
        <v>45404</v>
      </c>
      <c r="F982" s="4">
        <v>45407</v>
      </c>
      <c r="G982" s="3" t="s">
        <v>20</v>
      </c>
      <c r="H982" s="3" t="s">
        <v>29</v>
      </c>
      <c r="I982" s="3" t="s">
        <v>22</v>
      </c>
      <c r="J982" s="3" t="s">
        <v>46</v>
      </c>
      <c r="K982" s="3">
        <v>15</v>
      </c>
      <c r="L982" s="3">
        <v>3</v>
      </c>
      <c r="M982" s="3">
        <v>4568</v>
      </c>
      <c r="N982" s="3">
        <v>13704</v>
      </c>
      <c r="O982" s="3">
        <v>0</v>
      </c>
      <c r="P982" s="3" t="s">
        <v>24</v>
      </c>
      <c r="Q982" s="3">
        <v>1</v>
      </c>
      <c r="R982" s="3" t="str">
        <f t="shared" si="15"/>
        <v>Cancelled</v>
      </c>
      <c r="S982" s="3" t="s">
        <v>25</v>
      </c>
    </row>
    <row r="983" spans="1:19" x14ac:dyDescent="0.35">
      <c r="A983" s="3">
        <v>1982</v>
      </c>
      <c r="B983" s="3" t="s">
        <v>807</v>
      </c>
      <c r="C983" s="4">
        <v>45489</v>
      </c>
      <c r="D983" s="3" t="s">
        <v>157</v>
      </c>
      <c r="E983" s="4">
        <v>45509</v>
      </c>
      <c r="F983" s="4">
        <v>45513</v>
      </c>
      <c r="G983" s="3" t="s">
        <v>42</v>
      </c>
      <c r="H983" s="3" t="s">
        <v>38</v>
      </c>
      <c r="I983" s="3" t="s">
        <v>22</v>
      </c>
      <c r="J983" s="3" t="s">
        <v>46</v>
      </c>
      <c r="K983" s="3">
        <v>20</v>
      </c>
      <c r="L983" s="3">
        <v>4</v>
      </c>
      <c r="M983" s="3">
        <v>6261</v>
      </c>
      <c r="N983" s="3">
        <v>25044</v>
      </c>
      <c r="O983" s="3">
        <v>0</v>
      </c>
      <c r="P983" s="3" t="s">
        <v>51</v>
      </c>
      <c r="Q983" s="3">
        <v>1</v>
      </c>
      <c r="R983" s="3" t="str">
        <f t="shared" si="15"/>
        <v>Cancelled</v>
      </c>
      <c r="S983" s="3" t="s">
        <v>25</v>
      </c>
    </row>
    <row r="984" spans="1:19" x14ac:dyDescent="0.35">
      <c r="A984" s="3">
        <v>1983</v>
      </c>
      <c r="B984" s="3" t="s">
        <v>808</v>
      </c>
      <c r="C984" s="4">
        <v>45389</v>
      </c>
      <c r="D984" s="3" t="s">
        <v>57</v>
      </c>
      <c r="E984" s="4">
        <v>45418</v>
      </c>
      <c r="F984" s="4">
        <v>45419</v>
      </c>
      <c r="G984" s="3" t="s">
        <v>34</v>
      </c>
      <c r="H984" s="3" t="s">
        <v>29</v>
      </c>
      <c r="I984" s="3" t="s">
        <v>22</v>
      </c>
      <c r="J984" s="3" t="s">
        <v>46</v>
      </c>
      <c r="K984" s="3">
        <v>29</v>
      </c>
      <c r="L984" s="3">
        <v>1</v>
      </c>
      <c r="M984" s="3">
        <v>4775</v>
      </c>
      <c r="N984" s="3">
        <v>4775</v>
      </c>
      <c r="O984" s="3">
        <v>0</v>
      </c>
      <c r="P984" s="3" t="s">
        <v>24</v>
      </c>
      <c r="Q984" s="3">
        <v>1</v>
      </c>
      <c r="R984" s="3" t="str">
        <f t="shared" si="15"/>
        <v>Cancelled</v>
      </c>
      <c r="S984" s="3" t="s">
        <v>25</v>
      </c>
    </row>
    <row r="985" spans="1:19" x14ac:dyDescent="0.35">
      <c r="A985" s="3">
        <v>1984</v>
      </c>
      <c r="B985" s="3" t="s">
        <v>455</v>
      </c>
      <c r="C985" s="4">
        <v>45356</v>
      </c>
      <c r="D985" s="3" t="s">
        <v>96</v>
      </c>
      <c r="E985" s="4">
        <v>45415</v>
      </c>
      <c r="F985" s="4">
        <v>45418</v>
      </c>
      <c r="G985" s="3" t="s">
        <v>20</v>
      </c>
      <c r="H985" s="3" t="s">
        <v>35</v>
      </c>
      <c r="I985" s="3" t="s">
        <v>22</v>
      </c>
      <c r="J985" s="3" t="s">
        <v>23</v>
      </c>
      <c r="K985" s="3">
        <v>59</v>
      </c>
      <c r="L985" s="3">
        <v>3</v>
      </c>
      <c r="M985" s="3">
        <v>4308</v>
      </c>
      <c r="N985" s="3">
        <v>12924</v>
      </c>
      <c r="O985" s="3">
        <v>0</v>
      </c>
      <c r="P985" s="3" t="s">
        <v>51</v>
      </c>
      <c r="Q985" s="3">
        <v>1</v>
      </c>
      <c r="R985" s="3" t="str">
        <f t="shared" si="15"/>
        <v>Cancelled</v>
      </c>
      <c r="S985" s="3" t="s">
        <v>25</v>
      </c>
    </row>
    <row r="986" spans="1:19" x14ac:dyDescent="0.35">
      <c r="A986" s="3">
        <v>1985</v>
      </c>
      <c r="B986" s="3" t="s">
        <v>262</v>
      </c>
      <c r="C986" s="4">
        <v>45621</v>
      </c>
      <c r="D986" s="3" t="s">
        <v>140</v>
      </c>
      <c r="E986" s="4">
        <v>45663</v>
      </c>
      <c r="F986" s="4">
        <v>45666</v>
      </c>
      <c r="G986" s="3" t="s">
        <v>20</v>
      </c>
      <c r="H986" s="3" t="s">
        <v>29</v>
      </c>
      <c r="I986" s="3" t="s">
        <v>39</v>
      </c>
      <c r="J986" s="3" t="s">
        <v>30</v>
      </c>
      <c r="K986" s="3">
        <v>42</v>
      </c>
      <c r="L986" s="3">
        <v>3</v>
      </c>
      <c r="M986" s="3">
        <v>3811</v>
      </c>
      <c r="N986" s="3">
        <v>11433</v>
      </c>
      <c r="O986" s="3">
        <v>0</v>
      </c>
      <c r="P986" s="3" t="s">
        <v>51</v>
      </c>
      <c r="Q986" s="3">
        <v>1</v>
      </c>
      <c r="R986" s="3" t="str">
        <f t="shared" si="15"/>
        <v>Cancelled</v>
      </c>
      <c r="S986" s="3" t="s">
        <v>31</v>
      </c>
    </row>
    <row r="987" spans="1:19" x14ac:dyDescent="0.35">
      <c r="A987" s="3">
        <v>1986</v>
      </c>
      <c r="B987" s="3" t="s">
        <v>506</v>
      </c>
      <c r="C987" s="4">
        <v>45632</v>
      </c>
      <c r="D987" s="3" t="s">
        <v>57</v>
      </c>
      <c r="E987" s="4">
        <v>45661</v>
      </c>
      <c r="F987" s="4">
        <v>45663</v>
      </c>
      <c r="G987" s="3" t="s">
        <v>28</v>
      </c>
      <c r="H987" s="3" t="s">
        <v>38</v>
      </c>
      <c r="I987" s="3" t="s">
        <v>22</v>
      </c>
      <c r="J987" s="3" t="s">
        <v>30</v>
      </c>
      <c r="K987" s="3">
        <v>29</v>
      </c>
      <c r="L987" s="3">
        <v>2</v>
      </c>
      <c r="M987" s="3">
        <v>6555</v>
      </c>
      <c r="N987" s="3">
        <v>13110</v>
      </c>
      <c r="O987" s="3">
        <v>13110</v>
      </c>
      <c r="P987" s="3" t="s">
        <v>51</v>
      </c>
      <c r="Q987" s="3">
        <v>0</v>
      </c>
      <c r="R987" s="3" t="str">
        <f t="shared" si="15"/>
        <v>Not Cancelled</v>
      </c>
      <c r="S987" s="3" t="s">
        <v>31</v>
      </c>
    </row>
    <row r="988" spans="1:19" x14ac:dyDescent="0.35">
      <c r="A988" s="3">
        <v>1987</v>
      </c>
      <c r="B988" s="3" t="s">
        <v>695</v>
      </c>
      <c r="C988" s="4">
        <v>45296</v>
      </c>
      <c r="D988" s="3" t="s">
        <v>20</v>
      </c>
      <c r="E988" s="4">
        <v>45299</v>
      </c>
      <c r="F988" s="4">
        <v>45304</v>
      </c>
      <c r="G988" s="3" t="s">
        <v>45</v>
      </c>
      <c r="H988" s="3" t="s">
        <v>29</v>
      </c>
      <c r="I988" s="3" t="s">
        <v>22</v>
      </c>
      <c r="J988" s="3" t="s">
        <v>46</v>
      </c>
      <c r="K988" s="3">
        <v>3</v>
      </c>
      <c r="L988" s="3">
        <v>5</v>
      </c>
      <c r="M988" s="3">
        <v>7902</v>
      </c>
      <c r="N988" s="3">
        <v>39510</v>
      </c>
      <c r="O988" s="3">
        <v>39510</v>
      </c>
      <c r="P988" s="3" t="s">
        <v>51</v>
      </c>
      <c r="Q988" s="3">
        <v>0</v>
      </c>
      <c r="R988" s="3" t="str">
        <f t="shared" si="15"/>
        <v>Not Cancelled</v>
      </c>
      <c r="S988" s="3" t="s">
        <v>31</v>
      </c>
    </row>
    <row r="989" spans="1:19" x14ac:dyDescent="0.35">
      <c r="A989" s="3">
        <v>1988</v>
      </c>
      <c r="B989" s="3" t="s">
        <v>809</v>
      </c>
      <c r="C989" s="4">
        <v>45293</v>
      </c>
      <c r="D989" s="3" t="s">
        <v>109</v>
      </c>
      <c r="E989" s="4">
        <v>45312</v>
      </c>
      <c r="F989" s="4">
        <v>45313</v>
      </c>
      <c r="G989" s="3" t="s">
        <v>34</v>
      </c>
      <c r="H989" s="3" t="s">
        <v>29</v>
      </c>
      <c r="I989" s="3" t="s">
        <v>39</v>
      </c>
      <c r="J989" s="3" t="s">
        <v>23</v>
      </c>
      <c r="K989" s="3">
        <v>19</v>
      </c>
      <c r="L989" s="3">
        <v>1</v>
      </c>
      <c r="M989" s="3">
        <v>4951</v>
      </c>
      <c r="N989" s="3">
        <v>4951</v>
      </c>
      <c r="O989" s="3">
        <v>0</v>
      </c>
      <c r="P989" s="3" t="s">
        <v>24</v>
      </c>
      <c r="Q989" s="3">
        <v>1</v>
      </c>
      <c r="R989" s="3" t="str">
        <f t="shared" si="15"/>
        <v>Cancelled</v>
      </c>
      <c r="S989" s="3" t="s">
        <v>25</v>
      </c>
    </row>
    <row r="990" spans="1:19" x14ac:dyDescent="0.35">
      <c r="A990" s="3">
        <v>1989</v>
      </c>
      <c r="B990" s="3" t="s">
        <v>81</v>
      </c>
      <c r="C990" s="4">
        <v>45313</v>
      </c>
      <c r="D990" s="3" t="s">
        <v>20</v>
      </c>
      <c r="E990" s="4">
        <v>45316</v>
      </c>
      <c r="F990" s="4">
        <v>45318</v>
      </c>
      <c r="G990" s="3" t="s">
        <v>28</v>
      </c>
      <c r="H990" s="3" t="s">
        <v>29</v>
      </c>
      <c r="I990" s="3" t="s">
        <v>39</v>
      </c>
      <c r="J990" s="3" t="s">
        <v>46</v>
      </c>
      <c r="K990" s="3">
        <v>3</v>
      </c>
      <c r="L990" s="3">
        <v>2</v>
      </c>
      <c r="M990" s="3">
        <v>3589</v>
      </c>
      <c r="N990" s="3">
        <v>7178</v>
      </c>
      <c r="O990" s="3">
        <v>7178</v>
      </c>
      <c r="P990" s="3" t="s">
        <v>51</v>
      </c>
      <c r="Q990" s="3">
        <v>0</v>
      </c>
      <c r="R990" s="3" t="str">
        <f t="shared" si="15"/>
        <v>Not Cancelled</v>
      </c>
      <c r="S990" s="3" t="s">
        <v>31</v>
      </c>
    </row>
    <row r="991" spans="1:19" x14ac:dyDescent="0.35">
      <c r="A991" s="3">
        <v>1990</v>
      </c>
      <c r="B991" s="3" t="s">
        <v>331</v>
      </c>
      <c r="C991" s="4">
        <v>45403</v>
      </c>
      <c r="D991" s="3" t="s">
        <v>117</v>
      </c>
      <c r="E991" s="4">
        <v>45457</v>
      </c>
      <c r="F991" s="4">
        <v>45461</v>
      </c>
      <c r="G991" s="3" t="s">
        <v>42</v>
      </c>
      <c r="H991" s="3" t="s">
        <v>38</v>
      </c>
      <c r="I991" s="3" t="s">
        <v>39</v>
      </c>
      <c r="J991" s="3" t="s">
        <v>30</v>
      </c>
      <c r="K991" s="3">
        <v>54</v>
      </c>
      <c r="L991" s="3">
        <v>4</v>
      </c>
      <c r="M991" s="3">
        <v>4172</v>
      </c>
      <c r="N991" s="3">
        <v>16688</v>
      </c>
      <c r="O991" s="3">
        <v>0</v>
      </c>
      <c r="P991" s="3" t="s">
        <v>24</v>
      </c>
      <c r="Q991" s="3">
        <v>1</v>
      </c>
      <c r="R991" s="3" t="str">
        <f t="shared" si="15"/>
        <v>Cancelled</v>
      </c>
      <c r="S991" s="3" t="s">
        <v>25</v>
      </c>
    </row>
    <row r="992" spans="1:19" x14ac:dyDescent="0.35">
      <c r="A992" s="3">
        <v>1991</v>
      </c>
      <c r="B992" s="3" t="s">
        <v>517</v>
      </c>
      <c r="C992" s="4">
        <v>45348</v>
      </c>
      <c r="D992" s="3" t="s">
        <v>33</v>
      </c>
      <c r="E992" s="4">
        <v>45362</v>
      </c>
      <c r="F992" s="4">
        <v>45367</v>
      </c>
      <c r="G992" s="3" t="s">
        <v>45</v>
      </c>
      <c r="H992" s="3" t="s">
        <v>29</v>
      </c>
      <c r="I992" s="3" t="s">
        <v>39</v>
      </c>
      <c r="J992" s="3" t="s">
        <v>46</v>
      </c>
      <c r="K992" s="3">
        <v>14</v>
      </c>
      <c r="L992" s="3">
        <v>5</v>
      </c>
      <c r="M992" s="3">
        <v>6175</v>
      </c>
      <c r="N992" s="3">
        <v>30875</v>
      </c>
      <c r="O992" s="3">
        <v>30875</v>
      </c>
      <c r="P992" s="3" t="s">
        <v>24</v>
      </c>
      <c r="Q992" s="3">
        <v>0</v>
      </c>
      <c r="R992" s="3" t="str">
        <f t="shared" si="15"/>
        <v>Not Cancelled</v>
      </c>
      <c r="S992" s="3" t="s">
        <v>31</v>
      </c>
    </row>
    <row r="993" spans="1:19" x14ac:dyDescent="0.35">
      <c r="A993" s="3">
        <v>1992</v>
      </c>
      <c r="B993" s="3" t="s">
        <v>457</v>
      </c>
      <c r="C993" s="4">
        <v>45357</v>
      </c>
      <c r="D993" s="3" t="s">
        <v>179</v>
      </c>
      <c r="E993" s="4">
        <v>45397</v>
      </c>
      <c r="F993" s="4">
        <v>45398</v>
      </c>
      <c r="G993" s="3" t="s">
        <v>34</v>
      </c>
      <c r="H993" s="3" t="s">
        <v>21</v>
      </c>
      <c r="I993" s="3" t="s">
        <v>22</v>
      </c>
      <c r="J993" s="3" t="s">
        <v>30</v>
      </c>
      <c r="K993" s="3">
        <v>40</v>
      </c>
      <c r="L993" s="3">
        <v>1</v>
      </c>
      <c r="M993" s="3">
        <v>7032</v>
      </c>
      <c r="N993" s="3">
        <v>7032</v>
      </c>
      <c r="O993" s="3">
        <v>0</v>
      </c>
      <c r="P993" s="3" t="s">
        <v>51</v>
      </c>
      <c r="Q993" s="3">
        <v>1</v>
      </c>
      <c r="R993" s="3" t="str">
        <f t="shared" si="15"/>
        <v>Cancelled</v>
      </c>
      <c r="S993" s="3" t="s">
        <v>25</v>
      </c>
    </row>
    <row r="994" spans="1:19" x14ac:dyDescent="0.35">
      <c r="A994" s="3">
        <v>1993</v>
      </c>
      <c r="B994" s="3" t="s">
        <v>810</v>
      </c>
      <c r="C994" s="4">
        <v>45621</v>
      </c>
      <c r="D994" s="3" t="s">
        <v>96</v>
      </c>
      <c r="E994" s="4">
        <v>45680</v>
      </c>
      <c r="F994" s="4">
        <v>45683</v>
      </c>
      <c r="G994" s="3" t="s">
        <v>20</v>
      </c>
      <c r="H994" s="3" t="s">
        <v>21</v>
      </c>
      <c r="I994" s="3" t="s">
        <v>22</v>
      </c>
      <c r="J994" s="3" t="s">
        <v>23</v>
      </c>
      <c r="K994" s="3">
        <v>59</v>
      </c>
      <c r="L994" s="3">
        <v>3</v>
      </c>
      <c r="M994" s="3">
        <v>7424</v>
      </c>
      <c r="N994" s="3">
        <v>22272</v>
      </c>
      <c r="O994" s="3">
        <v>0</v>
      </c>
      <c r="P994" s="3" t="s">
        <v>24</v>
      </c>
      <c r="Q994" s="3">
        <v>1</v>
      </c>
      <c r="R994" s="3" t="str">
        <f t="shared" si="15"/>
        <v>Cancelled</v>
      </c>
      <c r="S994" s="3" t="s">
        <v>31</v>
      </c>
    </row>
    <row r="995" spans="1:19" x14ac:dyDescent="0.35">
      <c r="A995" s="3">
        <v>1994</v>
      </c>
      <c r="B995" s="3" t="s">
        <v>704</v>
      </c>
      <c r="C995" s="4">
        <v>45389</v>
      </c>
      <c r="D995" s="3" t="s">
        <v>113</v>
      </c>
      <c r="E995" s="4">
        <v>45444</v>
      </c>
      <c r="F995" s="4">
        <v>45445</v>
      </c>
      <c r="G995" s="3" t="s">
        <v>34</v>
      </c>
      <c r="H995" s="3" t="s">
        <v>38</v>
      </c>
      <c r="I995" s="3" t="s">
        <v>39</v>
      </c>
      <c r="J995" s="3" t="s">
        <v>46</v>
      </c>
      <c r="K995" s="3">
        <v>55</v>
      </c>
      <c r="L995" s="3">
        <v>1</v>
      </c>
      <c r="M995" s="3">
        <v>6854</v>
      </c>
      <c r="N995" s="3">
        <v>6854</v>
      </c>
      <c r="O995" s="3">
        <v>0</v>
      </c>
      <c r="P995" s="3" t="s">
        <v>51</v>
      </c>
      <c r="Q995" s="3">
        <v>1</v>
      </c>
      <c r="R995" s="3" t="str">
        <f t="shared" si="15"/>
        <v>Cancelled</v>
      </c>
      <c r="S995" s="3" t="s">
        <v>31</v>
      </c>
    </row>
    <row r="996" spans="1:19" x14ac:dyDescent="0.35">
      <c r="A996" s="3">
        <v>1995</v>
      </c>
      <c r="B996" s="3" t="s">
        <v>769</v>
      </c>
      <c r="C996" s="4">
        <v>45435</v>
      </c>
      <c r="D996" s="3" t="s">
        <v>42</v>
      </c>
      <c r="E996" s="4">
        <v>45439</v>
      </c>
      <c r="F996" s="4">
        <v>45442</v>
      </c>
      <c r="G996" s="3" t="s">
        <v>20</v>
      </c>
      <c r="H996" s="3" t="s">
        <v>35</v>
      </c>
      <c r="I996" s="3" t="s">
        <v>39</v>
      </c>
      <c r="J996" s="3" t="s">
        <v>23</v>
      </c>
      <c r="K996" s="3">
        <v>4</v>
      </c>
      <c r="L996" s="3">
        <v>3</v>
      </c>
      <c r="M996" s="3">
        <v>4503</v>
      </c>
      <c r="N996" s="3">
        <v>13509</v>
      </c>
      <c r="O996" s="3">
        <v>13509</v>
      </c>
      <c r="P996" s="3" t="s">
        <v>24</v>
      </c>
      <c r="Q996" s="3">
        <v>0</v>
      </c>
      <c r="R996" s="3" t="str">
        <f t="shared" si="15"/>
        <v>Not Cancelled</v>
      </c>
      <c r="S996" s="3" t="s">
        <v>31</v>
      </c>
    </row>
    <row r="997" spans="1:19" x14ac:dyDescent="0.35">
      <c r="A997" s="3">
        <v>1996</v>
      </c>
      <c r="B997" s="3" t="s">
        <v>460</v>
      </c>
      <c r="C997" s="4">
        <v>45416</v>
      </c>
      <c r="D997" s="3" t="s">
        <v>96</v>
      </c>
      <c r="E997" s="4">
        <v>45475</v>
      </c>
      <c r="F997" s="4">
        <v>45480</v>
      </c>
      <c r="G997" s="3" t="s">
        <v>45</v>
      </c>
      <c r="H997" s="3" t="s">
        <v>21</v>
      </c>
      <c r="I997" s="3" t="s">
        <v>22</v>
      </c>
      <c r="J997" s="3" t="s">
        <v>46</v>
      </c>
      <c r="K997" s="3">
        <v>59</v>
      </c>
      <c r="L997" s="3">
        <v>5</v>
      </c>
      <c r="M997" s="3">
        <v>8585</v>
      </c>
      <c r="N997" s="3">
        <v>42925</v>
      </c>
      <c r="O997" s="3">
        <v>0</v>
      </c>
      <c r="P997" s="3" t="s">
        <v>24</v>
      </c>
      <c r="Q997" s="3">
        <v>1</v>
      </c>
      <c r="R997" s="3" t="str">
        <f t="shared" si="15"/>
        <v>Cancelled</v>
      </c>
      <c r="S997" s="3" t="s">
        <v>25</v>
      </c>
    </row>
    <row r="998" spans="1:19" x14ac:dyDescent="0.35">
      <c r="A998" s="3">
        <v>1997</v>
      </c>
      <c r="B998" s="3" t="s">
        <v>811</v>
      </c>
      <c r="C998" s="4">
        <v>45458</v>
      </c>
      <c r="D998" s="3" t="s">
        <v>226</v>
      </c>
      <c r="E998" s="4">
        <v>45510</v>
      </c>
      <c r="F998" s="4">
        <v>45513</v>
      </c>
      <c r="G998" s="3" t="s">
        <v>20</v>
      </c>
      <c r="H998" s="3" t="s">
        <v>60</v>
      </c>
      <c r="I998" s="3" t="s">
        <v>22</v>
      </c>
      <c r="J998" s="3" t="s">
        <v>46</v>
      </c>
      <c r="K998" s="3">
        <v>52</v>
      </c>
      <c r="L998" s="3">
        <v>3</v>
      </c>
      <c r="M998" s="3">
        <v>6698</v>
      </c>
      <c r="N998" s="3">
        <v>20094</v>
      </c>
      <c r="O998" s="3">
        <v>0</v>
      </c>
      <c r="P998" s="3" t="s">
        <v>51</v>
      </c>
      <c r="Q998" s="3">
        <v>1</v>
      </c>
      <c r="R998" s="3" t="str">
        <f t="shared" si="15"/>
        <v>Cancelled</v>
      </c>
      <c r="S998" s="3" t="s">
        <v>25</v>
      </c>
    </row>
    <row r="999" spans="1:19" x14ac:dyDescent="0.35">
      <c r="A999" s="3">
        <v>1998</v>
      </c>
      <c r="B999" s="3" t="s">
        <v>418</v>
      </c>
      <c r="C999" s="4">
        <v>45377</v>
      </c>
      <c r="D999" s="3" t="s">
        <v>75</v>
      </c>
      <c r="E999" s="4">
        <v>45388</v>
      </c>
      <c r="F999" s="4">
        <v>45392</v>
      </c>
      <c r="G999" s="3" t="s">
        <v>42</v>
      </c>
      <c r="H999" s="3" t="s">
        <v>21</v>
      </c>
      <c r="I999" s="3" t="s">
        <v>22</v>
      </c>
      <c r="J999" s="3" t="s">
        <v>46</v>
      </c>
      <c r="K999" s="3">
        <v>11</v>
      </c>
      <c r="L999" s="3">
        <v>4</v>
      </c>
      <c r="M999" s="3">
        <v>7588</v>
      </c>
      <c r="N999" s="3">
        <v>30352</v>
      </c>
      <c r="O999" s="3">
        <v>0</v>
      </c>
      <c r="P999" s="3" t="s">
        <v>51</v>
      </c>
      <c r="Q999" s="3">
        <v>1</v>
      </c>
      <c r="R999" s="3" t="str">
        <f t="shared" si="15"/>
        <v>Cancelled</v>
      </c>
      <c r="S999" s="3" t="s">
        <v>25</v>
      </c>
    </row>
    <row r="1000" spans="1:19" x14ac:dyDescent="0.35">
      <c r="A1000" s="3">
        <v>1999</v>
      </c>
      <c r="B1000" s="3" t="s">
        <v>812</v>
      </c>
      <c r="C1000" s="4">
        <v>45367</v>
      </c>
      <c r="D1000" s="3" t="s">
        <v>237</v>
      </c>
      <c r="E1000" s="4">
        <v>45425</v>
      </c>
      <c r="F1000" s="4">
        <v>45428</v>
      </c>
      <c r="G1000" s="3" t="s">
        <v>20</v>
      </c>
      <c r="H1000" s="3" t="s">
        <v>60</v>
      </c>
      <c r="I1000" s="3" t="s">
        <v>22</v>
      </c>
      <c r="J1000" s="3" t="s">
        <v>46</v>
      </c>
      <c r="K1000" s="3">
        <v>58</v>
      </c>
      <c r="L1000" s="3">
        <v>3</v>
      </c>
      <c r="M1000" s="3">
        <v>7364</v>
      </c>
      <c r="N1000" s="3">
        <v>22092</v>
      </c>
      <c r="O1000" s="3">
        <v>0</v>
      </c>
      <c r="P1000" s="3" t="s">
        <v>24</v>
      </c>
      <c r="Q1000" s="3">
        <v>1</v>
      </c>
      <c r="R1000" s="3" t="str">
        <f t="shared" si="15"/>
        <v>Cancelled</v>
      </c>
      <c r="S1000" s="3" t="s">
        <v>31</v>
      </c>
    </row>
    <row r="1001" spans="1:19" x14ac:dyDescent="0.35">
      <c r="A1001" s="3">
        <v>2000</v>
      </c>
      <c r="B1001" s="3" t="s">
        <v>813</v>
      </c>
      <c r="C1001" s="4">
        <v>45635</v>
      </c>
      <c r="D1001" s="3" t="s">
        <v>48</v>
      </c>
      <c r="E1001" s="4">
        <v>45666</v>
      </c>
      <c r="F1001" s="4">
        <v>45670</v>
      </c>
      <c r="G1001" s="3" t="s">
        <v>42</v>
      </c>
      <c r="H1001" s="3" t="s">
        <v>38</v>
      </c>
      <c r="I1001" s="3" t="s">
        <v>39</v>
      </c>
      <c r="J1001" s="3" t="s">
        <v>46</v>
      </c>
      <c r="K1001" s="3">
        <v>31</v>
      </c>
      <c r="L1001" s="3">
        <v>4</v>
      </c>
      <c r="M1001" s="3">
        <v>3624</v>
      </c>
      <c r="N1001" s="3">
        <v>14496</v>
      </c>
      <c r="O1001" s="3">
        <v>0</v>
      </c>
      <c r="P1001" s="3" t="s">
        <v>51</v>
      </c>
      <c r="Q1001" s="3">
        <v>1</v>
      </c>
      <c r="R1001" s="3" t="str">
        <f t="shared" si="15"/>
        <v>Cancelled</v>
      </c>
      <c r="S1001" s="3" t="s">
        <v>25</v>
      </c>
    </row>
    <row r="1002" spans="1:19" x14ac:dyDescent="0.35">
      <c r="A1002" s="3">
        <v>2001</v>
      </c>
      <c r="B1002" s="3" t="s">
        <v>814</v>
      </c>
      <c r="C1002" s="4">
        <v>45585</v>
      </c>
      <c r="D1002" s="3" t="s">
        <v>66</v>
      </c>
      <c r="E1002" s="4">
        <v>45628</v>
      </c>
      <c r="F1002" s="4">
        <v>45633</v>
      </c>
      <c r="G1002" s="3" t="s">
        <v>45</v>
      </c>
      <c r="H1002" s="3" t="s">
        <v>35</v>
      </c>
      <c r="I1002" s="3" t="s">
        <v>22</v>
      </c>
      <c r="J1002" s="3" t="s">
        <v>23</v>
      </c>
      <c r="K1002" s="3">
        <v>43</v>
      </c>
      <c r="L1002" s="3">
        <v>5</v>
      </c>
      <c r="M1002" s="3">
        <v>3721</v>
      </c>
      <c r="N1002" s="3">
        <v>18605</v>
      </c>
      <c r="O1002" s="3">
        <v>18605</v>
      </c>
      <c r="P1002" s="3" t="s">
        <v>51</v>
      </c>
      <c r="Q1002" s="3">
        <v>0</v>
      </c>
      <c r="R1002" s="3" t="str">
        <f t="shared" si="15"/>
        <v>Not Cancelled</v>
      </c>
      <c r="S1002" s="3" t="s">
        <v>25</v>
      </c>
    </row>
    <row r="1003" spans="1:19" x14ac:dyDescent="0.35">
      <c r="A1003" s="3">
        <v>2002</v>
      </c>
      <c r="B1003" s="3" t="s">
        <v>815</v>
      </c>
      <c r="C1003" s="4">
        <v>45350</v>
      </c>
      <c r="D1003" s="3" t="s">
        <v>144</v>
      </c>
      <c r="E1003" s="4">
        <v>45382</v>
      </c>
      <c r="F1003" s="4">
        <v>45387</v>
      </c>
      <c r="G1003" s="3" t="s">
        <v>45</v>
      </c>
      <c r="H1003" s="3" t="s">
        <v>60</v>
      </c>
      <c r="I1003" s="3" t="s">
        <v>39</v>
      </c>
      <c r="J1003" s="3" t="s">
        <v>23</v>
      </c>
      <c r="K1003" s="3">
        <v>32</v>
      </c>
      <c r="L1003" s="3">
        <v>5</v>
      </c>
      <c r="M1003" s="3">
        <v>5360</v>
      </c>
      <c r="N1003" s="3">
        <v>26800</v>
      </c>
      <c r="O1003" s="3">
        <v>0</v>
      </c>
      <c r="P1003" s="3" t="s">
        <v>24</v>
      </c>
      <c r="Q1003" s="3">
        <v>1</v>
      </c>
      <c r="R1003" s="3" t="str">
        <f t="shared" si="15"/>
        <v>Cancelled</v>
      </c>
      <c r="S1003" s="3" t="s">
        <v>25</v>
      </c>
    </row>
    <row r="1004" spans="1:19" x14ac:dyDescent="0.35">
      <c r="A1004" s="3">
        <v>2003</v>
      </c>
      <c r="B1004" s="3" t="s">
        <v>816</v>
      </c>
      <c r="C1004" s="4">
        <v>45429</v>
      </c>
      <c r="D1004" s="3" t="s">
        <v>185</v>
      </c>
      <c r="E1004" s="4">
        <v>45456</v>
      </c>
      <c r="F1004" s="4">
        <v>45457</v>
      </c>
      <c r="G1004" s="3" t="s">
        <v>34</v>
      </c>
      <c r="H1004" s="3" t="s">
        <v>60</v>
      </c>
      <c r="I1004" s="3" t="s">
        <v>39</v>
      </c>
      <c r="J1004" s="3" t="s">
        <v>30</v>
      </c>
      <c r="K1004" s="3">
        <v>27</v>
      </c>
      <c r="L1004" s="3">
        <v>1</v>
      </c>
      <c r="M1004" s="3">
        <v>4773</v>
      </c>
      <c r="N1004" s="3">
        <v>4773</v>
      </c>
      <c r="O1004" s="3">
        <v>0</v>
      </c>
      <c r="P1004" s="3" t="s">
        <v>24</v>
      </c>
      <c r="Q1004" s="3">
        <v>1</v>
      </c>
      <c r="R1004" s="3" t="str">
        <f t="shared" si="15"/>
        <v>Cancelled</v>
      </c>
      <c r="S1004" s="3" t="s">
        <v>25</v>
      </c>
    </row>
    <row r="1005" spans="1:19" x14ac:dyDescent="0.35">
      <c r="A1005" s="3">
        <v>2004</v>
      </c>
      <c r="B1005" s="3" t="s">
        <v>817</v>
      </c>
      <c r="C1005" s="4">
        <v>45390</v>
      </c>
      <c r="D1005" s="3" t="s">
        <v>50</v>
      </c>
      <c r="E1005" s="4">
        <v>45420</v>
      </c>
      <c r="F1005" s="4">
        <v>45424</v>
      </c>
      <c r="G1005" s="3" t="s">
        <v>42</v>
      </c>
      <c r="H1005" s="3" t="s">
        <v>21</v>
      </c>
      <c r="I1005" s="3" t="s">
        <v>39</v>
      </c>
      <c r="J1005" s="3" t="s">
        <v>46</v>
      </c>
      <c r="K1005" s="3">
        <v>30</v>
      </c>
      <c r="L1005" s="3">
        <v>4</v>
      </c>
      <c r="M1005" s="3">
        <v>5490</v>
      </c>
      <c r="N1005" s="3">
        <v>21960</v>
      </c>
      <c r="O1005" s="3">
        <v>21960</v>
      </c>
      <c r="P1005" s="3" t="s">
        <v>51</v>
      </c>
      <c r="Q1005" s="3">
        <v>0</v>
      </c>
      <c r="R1005" s="3" t="str">
        <f t="shared" si="15"/>
        <v>Not Cancelled</v>
      </c>
      <c r="S1005" s="3" t="s">
        <v>25</v>
      </c>
    </row>
    <row r="1006" spans="1:19" x14ac:dyDescent="0.35">
      <c r="A1006" s="3">
        <v>2005</v>
      </c>
      <c r="B1006" s="3" t="s">
        <v>554</v>
      </c>
      <c r="C1006" s="4">
        <v>45483</v>
      </c>
      <c r="D1006" s="3" t="s">
        <v>66</v>
      </c>
      <c r="E1006" s="4">
        <v>45526</v>
      </c>
      <c r="F1006" s="4">
        <v>45530</v>
      </c>
      <c r="G1006" s="3" t="s">
        <v>42</v>
      </c>
      <c r="H1006" s="3" t="s">
        <v>60</v>
      </c>
      <c r="I1006" s="3" t="s">
        <v>22</v>
      </c>
      <c r="J1006" s="3" t="s">
        <v>30</v>
      </c>
      <c r="K1006" s="3">
        <v>43</v>
      </c>
      <c r="L1006" s="3">
        <v>4</v>
      </c>
      <c r="M1006" s="3">
        <v>5010</v>
      </c>
      <c r="N1006" s="3">
        <v>20040</v>
      </c>
      <c r="O1006" s="3">
        <v>20040</v>
      </c>
      <c r="P1006" s="3" t="s">
        <v>24</v>
      </c>
      <c r="Q1006" s="3">
        <v>0</v>
      </c>
      <c r="R1006" s="3" t="str">
        <f t="shared" si="15"/>
        <v>Not Cancelled</v>
      </c>
      <c r="S1006" s="3" t="s">
        <v>25</v>
      </c>
    </row>
    <row r="1007" spans="1:19" x14ac:dyDescent="0.35">
      <c r="A1007" s="3">
        <v>2006</v>
      </c>
      <c r="B1007" s="3" t="s">
        <v>512</v>
      </c>
      <c r="C1007" s="4">
        <v>45534</v>
      </c>
      <c r="D1007" s="3" t="s">
        <v>28</v>
      </c>
      <c r="E1007" s="4">
        <v>45536</v>
      </c>
      <c r="F1007" s="4">
        <v>45538</v>
      </c>
      <c r="G1007" s="3" t="s">
        <v>28</v>
      </c>
      <c r="H1007" s="3" t="s">
        <v>38</v>
      </c>
      <c r="I1007" s="3" t="s">
        <v>39</v>
      </c>
      <c r="J1007" s="3" t="s">
        <v>23</v>
      </c>
      <c r="K1007" s="3">
        <v>2</v>
      </c>
      <c r="L1007" s="3">
        <v>2</v>
      </c>
      <c r="M1007" s="3">
        <v>2736</v>
      </c>
      <c r="N1007" s="3">
        <v>5472</v>
      </c>
      <c r="O1007" s="3">
        <v>5472</v>
      </c>
      <c r="P1007" s="3" t="s">
        <v>51</v>
      </c>
      <c r="Q1007" s="3">
        <v>0</v>
      </c>
      <c r="R1007" s="3" t="str">
        <f t="shared" si="15"/>
        <v>Not Cancelled</v>
      </c>
      <c r="S1007" s="3" t="s">
        <v>31</v>
      </c>
    </row>
    <row r="1008" spans="1:19" x14ac:dyDescent="0.35">
      <c r="A1008" s="3">
        <v>2007</v>
      </c>
      <c r="B1008" s="3" t="s">
        <v>818</v>
      </c>
      <c r="C1008" s="4">
        <v>45610</v>
      </c>
      <c r="D1008" s="3" t="s">
        <v>211</v>
      </c>
      <c r="E1008" s="4">
        <v>45659</v>
      </c>
      <c r="F1008" s="4">
        <v>45661</v>
      </c>
      <c r="G1008" s="3" t="s">
        <v>28</v>
      </c>
      <c r="H1008" s="3" t="s">
        <v>38</v>
      </c>
      <c r="I1008" s="3" t="s">
        <v>22</v>
      </c>
      <c r="J1008" s="3" t="s">
        <v>30</v>
      </c>
      <c r="K1008" s="3">
        <v>49</v>
      </c>
      <c r="L1008" s="3">
        <v>2</v>
      </c>
      <c r="M1008" s="3">
        <v>3644</v>
      </c>
      <c r="N1008" s="3">
        <v>7288</v>
      </c>
      <c r="O1008" s="3">
        <v>0</v>
      </c>
      <c r="P1008" s="3" t="s">
        <v>51</v>
      </c>
      <c r="Q1008" s="3">
        <v>1</v>
      </c>
      <c r="R1008" s="3" t="str">
        <f t="shared" si="15"/>
        <v>Cancelled</v>
      </c>
      <c r="S1008" s="3" t="s">
        <v>31</v>
      </c>
    </row>
    <row r="1009" spans="1:19" x14ac:dyDescent="0.35">
      <c r="A1009" s="3">
        <v>2008</v>
      </c>
      <c r="B1009" s="3" t="s">
        <v>819</v>
      </c>
      <c r="C1009" s="4">
        <v>45340</v>
      </c>
      <c r="D1009" s="3" t="s">
        <v>165</v>
      </c>
      <c r="E1009" s="4">
        <v>45349</v>
      </c>
      <c r="F1009" s="4">
        <v>45351</v>
      </c>
      <c r="G1009" s="3" t="s">
        <v>28</v>
      </c>
      <c r="H1009" s="3" t="s">
        <v>38</v>
      </c>
      <c r="I1009" s="3" t="s">
        <v>39</v>
      </c>
      <c r="J1009" s="3" t="s">
        <v>23</v>
      </c>
      <c r="K1009" s="3">
        <v>9</v>
      </c>
      <c r="L1009" s="3">
        <v>2</v>
      </c>
      <c r="M1009" s="3">
        <v>5753</v>
      </c>
      <c r="N1009" s="3">
        <v>11506</v>
      </c>
      <c r="O1009" s="3">
        <v>11506</v>
      </c>
      <c r="P1009" s="3" t="s">
        <v>24</v>
      </c>
      <c r="Q1009" s="3">
        <v>0</v>
      </c>
      <c r="R1009" s="3" t="str">
        <f t="shared" si="15"/>
        <v>Not Cancelled</v>
      </c>
      <c r="S1009" s="3" t="s">
        <v>25</v>
      </c>
    </row>
    <row r="1010" spans="1:19" x14ac:dyDescent="0.35">
      <c r="A1010" s="3">
        <v>2009</v>
      </c>
      <c r="B1010" s="3" t="s">
        <v>820</v>
      </c>
      <c r="C1010" s="4">
        <v>45323</v>
      </c>
      <c r="D1010" s="3" t="s">
        <v>82</v>
      </c>
      <c r="E1010" s="4">
        <v>45351</v>
      </c>
      <c r="F1010" s="4">
        <v>45354</v>
      </c>
      <c r="G1010" s="3" t="s">
        <v>20</v>
      </c>
      <c r="H1010" s="3" t="s">
        <v>21</v>
      </c>
      <c r="I1010" s="3" t="s">
        <v>22</v>
      </c>
      <c r="J1010" s="3" t="s">
        <v>46</v>
      </c>
      <c r="K1010" s="3">
        <v>28</v>
      </c>
      <c r="L1010" s="3">
        <v>3</v>
      </c>
      <c r="M1010" s="3">
        <v>6282</v>
      </c>
      <c r="N1010" s="3">
        <v>18846</v>
      </c>
      <c r="O1010" s="3">
        <v>18846</v>
      </c>
      <c r="P1010" s="3" t="s">
        <v>51</v>
      </c>
      <c r="Q1010" s="3">
        <v>0</v>
      </c>
      <c r="R1010" s="3" t="str">
        <f t="shared" si="15"/>
        <v>Not Cancelled</v>
      </c>
      <c r="S1010" s="3" t="s">
        <v>31</v>
      </c>
    </row>
    <row r="1011" spans="1:19" x14ac:dyDescent="0.35">
      <c r="A1011" s="3">
        <v>2010</v>
      </c>
      <c r="B1011" s="3" t="s">
        <v>720</v>
      </c>
      <c r="C1011" s="4">
        <v>45568</v>
      </c>
      <c r="D1011" s="3" t="s">
        <v>48</v>
      </c>
      <c r="E1011" s="4">
        <v>45599</v>
      </c>
      <c r="F1011" s="4">
        <v>45601</v>
      </c>
      <c r="G1011" s="3" t="s">
        <v>28</v>
      </c>
      <c r="H1011" s="3" t="s">
        <v>35</v>
      </c>
      <c r="I1011" s="3" t="s">
        <v>39</v>
      </c>
      <c r="J1011" s="3" t="s">
        <v>30</v>
      </c>
      <c r="K1011" s="3">
        <v>31</v>
      </c>
      <c r="L1011" s="3">
        <v>2</v>
      </c>
      <c r="M1011" s="3">
        <v>3266</v>
      </c>
      <c r="N1011" s="3">
        <v>6532</v>
      </c>
      <c r="O1011" s="3">
        <v>6532</v>
      </c>
      <c r="P1011" s="3" t="s">
        <v>24</v>
      </c>
      <c r="Q1011" s="3">
        <v>0</v>
      </c>
      <c r="R1011" s="3" t="str">
        <f t="shared" si="15"/>
        <v>Not Cancelled</v>
      </c>
      <c r="S1011" s="3" t="s">
        <v>31</v>
      </c>
    </row>
    <row r="1012" spans="1:19" x14ac:dyDescent="0.35">
      <c r="A1012" s="3">
        <v>2011</v>
      </c>
      <c r="B1012" s="3" t="s">
        <v>821</v>
      </c>
      <c r="C1012" s="4">
        <v>45311</v>
      </c>
      <c r="D1012" s="3" t="s">
        <v>128</v>
      </c>
      <c r="E1012" s="4">
        <v>45345</v>
      </c>
      <c r="F1012" s="4">
        <v>45349</v>
      </c>
      <c r="G1012" s="3" t="s">
        <v>42</v>
      </c>
      <c r="H1012" s="3" t="s">
        <v>21</v>
      </c>
      <c r="I1012" s="3" t="s">
        <v>39</v>
      </c>
      <c r="J1012" s="3" t="s">
        <v>30</v>
      </c>
      <c r="K1012" s="3">
        <v>34</v>
      </c>
      <c r="L1012" s="3">
        <v>4</v>
      </c>
      <c r="M1012" s="3">
        <v>5181</v>
      </c>
      <c r="N1012" s="3">
        <v>20724</v>
      </c>
      <c r="O1012" s="3">
        <v>0</v>
      </c>
      <c r="P1012" s="3" t="s">
        <v>51</v>
      </c>
      <c r="Q1012" s="3">
        <v>1</v>
      </c>
      <c r="R1012" s="3" t="str">
        <f t="shared" si="15"/>
        <v>Cancelled</v>
      </c>
      <c r="S1012" s="3" t="s">
        <v>25</v>
      </c>
    </row>
    <row r="1013" spans="1:19" x14ac:dyDescent="0.35">
      <c r="A1013" s="3">
        <v>2012</v>
      </c>
      <c r="B1013" s="3" t="s">
        <v>254</v>
      </c>
      <c r="C1013" s="4">
        <v>45445</v>
      </c>
      <c r="D1013" s="3" t="s">
        <v>94</v>
      </c>
      <c r="E1013" s="4">
        <v>45501</v>
      </c>
      <c r="F1013" s="4">
        <v>45504</v>
      </c>
      <c r="G1013" s="3" t="s">
        <v>20</v>
      </c>
      <c r="H1013" s="3" t="s">
        <v>38</v>
      </c>
      <c r="I1013" s="3" t="s">
        <v>22</v>
      </c>
      <c r="J1013" s="3" t="s">
        <v>30</v>
      </c>
      <c r="K1013" s="3">
        <v>56</v>
      </c>
      <c r="L1013" s="3">
        <v>3</v>
      </c>
      <c r="M1013" s="3">
        <v>7586</v>
      </c>
      <c r="N1013" s="3">
        <v>22758</v>
      </c>
      <c r="O1013" s="3">
        <v>0</v>
      </c>
      <c r="P1013" s="3" t="s">
        <v>51</v>
      </c>
      <c r="Q1013" s="3">
        <v>1</v>
      </c>
      <c r="R1013" s="3" t="str">
        <f t="shared" si="15"/>
        <v>Cancelled</v>
      </c>
      <c r="S1013" s="3" t="s">
        <v>25</v>
      </c>
    </row>
    <row r="1014" spans="1:19" x14ac:dyDescent="0.35">
      <c r="A1014" s="3">
        <v>2013</v>
      </c>
      <c r="B1014" s="3" t="s">
        <v>710</v>
      </c>
      <c r="C1014" s="4">
        <v>45359</v>
      </c>
      <c r="D1014" s="3" t="s">
        <v>277</v>
      </c>
      <c r="E1014" s="4">
        <v>45374</v>
      </c>
      <c r="F1014" s="4">
        <v>45379</v>
      </c>
      <c r="G1014" s="3" t="s">
        <v>45</v>
      </c>
      <c r="H1014" s="3" t="s">
        <v>21</v>
      </c>
      <c r="I1014" s="3" t="s">
        <v>22</v>
      </c>
      <c r="J1014" s="3" t="s">
        <v>30</v>
      </c>
      <c r="K1014" s="3">
        <v>15</v>
      </c>
      <c r="L1014" s="3">
        <v>5</v>
      </c>
      <c r="M1014" s="3">
        <v>5165</v>
      </c>
      <c r="N1014" s="3">
        <v>25825</v>
      </c>
      <c r="O1014" s="3">
        <v>25825</v>
      </c>
      <c r="P1014" s="3" t="s">
        <v>51</v>
      </c>
      <c r="Q1014" s="3">
        <v>0</v>
      </c>
      <c r="R1014" s="3" t="str">
        <f t="shared" si="15"/>
        <v>Not Cancelled</v>
      </c>
      <c r="S1014" s="3" t="s">
        <v>31</v>
      </c>
    </row>
    <row r="1015" spans="1:19" x14ac:dyDescent="0.35">
      <c r="A1015" s="3">
        <v>2014</v>
      </c>
      <c r="B1015" s="3" t="s">
        <v>332</v>
      </c>
      <c r="C1015" s="4">
        <v>45505</v>
      </c>
      <c r="D1015" s="3" t="s">
        <v>73</v>
      </c>
      <c r="E1015" s="4">
        <v>45553</v>
      </c>
      <c r="F1015" s="4">
        <v>45554</v>
      </c>
      <c r="G1015" s="3" t="s">
        <v>34</v>
      </c>
      <c r="H1015" s="3" t="s">
        <v>38</v>
      </c>
      <c r="I1015" s="3" t="s">
        <v>39</v>
      </c>
      <c r="J1015" s="3" t="s">
        <v>46</v>
      </c>
      <c r="K1015" s="3">
        <v>48</v>
      </c>
      <c r="L1015" s="3">
        <v>1</v>
      </c>
      <c r="M1015" s="3">
        <v>4259</v>
      </c>
      <c r="N1015" s="3">
        <v>4259</v>
      </c>
      <c r="O1015" s="3">
        <v>0</v>
      </c>
      <c r="P1015" s="3" t="s">
        <v>24</v>
      </c>
      <c r="Q1015" s="3">
        <v>1</v>
      </c>
      <c r="R1015" s="3" t="str">
        <f t="shared" si="15"/>
        <v>Cancelled</v>
      </c>
      <c r="S1015" s="3" t="s">
        <v>25</v>
      </c>
    </row>
    <row r="1016" spans="1:19" x14ac:dyDescent="0.35">
      <c r="A1016" s="3">
        <v>2015</v>
      </c>
      <c r="B1016" s="3" t="s">
        <v>822</v>
      </c>
      <c r="C1016" s="4">
        <v>45434</v>
      </c>
      <c r="D1016" s="3" t="s">
        <v>107</v>
      </c>
      <c r="E1016" s="4">
        <v>45459</v>
      </c>
      <c r="F1016" s="4">
        <v>45461</v>
      </c>
      <c r="G1016" s="3" t="s">
        <v>28</v>
      </c>
      <c r="H1016" s="3" t="s">
        <v>29</v>
      </c>
      <c r="I1016" s="3" t="s">
        <v>39</v>
      </c>
      <c r="J1016" s="3" t="s">
        <v>23</v>
      </c>
      <c r="K1016" s="3">
        <v>25</v>
      </c>
      <c r="L1016" s="3">
        <v>2</v>
      </c>
      <c r="M1016" s="3">
        <v>8916</v>
      </c>
      <c r="N1016" s="3">
        <v>17832</v>
      </c>
      <c r="O1016" s="3">
        <v>0</v>
      </c>
      <c r="P1016" s="3" t="s">
        <v>24</v>
      </c>
      <c r="Q1016" s="3">
        <v>1</v>
      </c>
      <c r="R1016" s="3" t="str">
        <f t="shared" si="15"/>
        <v>Cancelled</v>
      </c>
      <c r="S1016" s="3" t="s">
        <v>31</v>
      </c>
    </row>
    <row r="1017" spans="1:19" x14ac:dyDescent="0.35">
      <c r="A1017" s="3">
        <v>2016</v>
      </c>
      <c r="B1017" s="3" t="s">
        <v>823</v>
      </c>
      <c r="C1017" s="4">
        <v>45523</v>
      </c>
      <c r="D1017" s="3" t="s">
        <v>146</v>
      </c>
      <c r="E1017" s="4">
        <v>45559</v>
      </c>
      <c r="F1017" s="4">
        <v>45564</v>
      </c>
      <c r="G1017" s="3" t="s">
        <v>45</v>
      </c>
      <c r="H1017" s="3" t="s">
        <v>29</v>
      </c>
      <c r="I1017" s="3" t="s">
        <v>22</v>
      </c>
      <c r="J1017" s="3" t="s">
        <v>23</v>
      </c>
      <c r="K1017" s="3">
        <v>36</v>
      </c>
      <c r="L1017" s="3">
        <v>5</v>
      </c>
      <c r="M1017" s="3">
        <v>8875</v>
      </c>
      <c r="N1017" s="3">
        <v>44375</v>
      </c>
      <c r="O1017" s="3">
        <v>44375</v>
      </c>
      <c r="P1017" s="3" t="s">
        <v>51</v>
      </c>
      <c r="Q1017" s="3">
        <v>0</v>
      </c>
      <c r="R1017" s="3" t="str">
        <f t="shared" si="15"/>
        <v>Not Cancelled</v>
      </c>
      <c r="S1017" s="3" t="s">
        <v>31</v>
      </c>
    </row>
    <row r="1018" spans="1:19" x14ac:dyDescent="0.35">
      <c r="A1018" s="3">
        <v>2017</v>
      </c>
      <c r="B1018" s="3" t="s">
        <v>824</v>
      </c>
      <c r="C1018" s="4">
        <v>45504</v>
      </c>
      <c r="D1018" s="3" t="s">
        <v>59</v>
      </c>
      <c r="E1018" s="4">
        <v>45512</v>
      </c>
      <c r="F1018" s="4">
        <v>45516</v>
      </c>
      <c r="G1018" s="3" t="s">
        <v>42</v>
      </c>
      <c r="H1018" s="3" t="s">
        <v>60</v>
      </c>
      <c r="I1018" s="3" t="s">
        <v>39</v>
      </c>
      <c r="J1018" s="3" t="s">
        <v>46</v>
      </c>
      <c r="K1018" s="3">
        <v>8</v>
      </c>
      <c r="L1018" s="3">
        <v>4</v>
      </c>
      <c r="M1018" s="3">
        <v>5991</v>
      </c>
      <c r="N1018" s="3">
        <v>23964</v>
      </c>
      <c r="O1018" s="3">
        <v>0</v>
      </c>
      <c r="P1018" s="3" t="s">
        <v>24</v>
      </c>
      <c r="Q1018" s="3">
        <v>1</v>
      </c>
      <c r="R1018" s="3" t="str">
        <f t="shared" si="15"/>
        <v>Cancelled</v>
      </c>
      <c r="S1018" s="3" t="s">
        <v>31</v>
      </c>
    </row>
    <row r="1019" spans="1:19" x14ac:dyDescent="0.35">
      <c r="A1019" s="3">
        <v>2018</v>
      </c>
      <c r="B1019" s="3" t="s">
        <v>644</v>
      </c>
      <c r="C1019" s="4">
        <v>45370</v>
      </c>
      <c r="D1019" s="3" t="s">
        <v>165</v>
      </c>
      <c r="E1019" s="4">
        <v>45379</v>
      </c>
      <c r="F1019" s="4">
        <v>45380</v>
      </c>
      <c r="G1019" s="3" t="s">
        <v>34</v>
      </c>
      <c r="H1019" s="3" t="s">
        <v>35</v>
      </c>
      <c r="I1019" s="3" t="s">
        <v>22</v>
      </c>
      <c r="J1019" s="3" t="s">
        <v>23</v>
      </c>
      <c r="K1019" s="3">
        <v>9</v>
      </c>
      <c r="L1019" s="3">
        <v>1</v>
      </c>
      <c r="M1019" s="3">
        <v>5315</v>
      </c>
      <c r="N1019" s="3">
        <v>5315</v>
      </c>
      <c r="O1019" s="3">
        <v>5315</v>
      </c>
      <c r="P1019" s="3" t="s">
        <v>24</v>
      </c>
      <c r="Q1019" s="3">
        <v>0</v>
      </c>
      <c r="R1019" s="3" t="str">
        <f t="shared" si="15"/>
        <v>Not Cancelled</v>
      </c>
      <c r="S1019" s="3" t="s">
        <v>25</v>
      </c>
    </row>
    <row r="1020" spans="1:19" x14ac:dyDescent="0.35">
      <c r="A1020" s="3">
        <v>2019</v>
      </c>
      <c r="B1020" s="3" t="s">
        <v>825</v>
      </c>
      <c r="C1020" s="4">
        <v>45505</v>
      </c>
      <c r="D1020" s="3" t="s">
        <v>237</v>
      </c>
      <c r="E1020" s="4">
        <v>45563</v>
      </c>
      <c r="F1020" s="4">
        <v>45568</v>
      </c>
      <c r="G1020" s="3" t="s">
        <v>45</v>
      </c>
      <c r="H1020" s="3" t="s">
        <v>29</v>
      </c>
      <c r="I1020" s="3" t="s">
        <v>22</v>
      </c>
      <c r="J1020" s="3" t="s">
        <v>30</v>
      </c>
      <c r="K1020" s="3">
        <v>58</v>
      </c>
      <c r="L1020" s="3">
        <v>5</v>
      </c>
      <c r="M1020" s="3">
        <v>6013</v>
      </c>
      <c r="N1020" s="3">
        <v>30065</v>
      </c>
      <c r="O1020" s="3">
        <v>30065</v>
      </c>
      <c r="P1020" s="3" t="s">
        <v>51</v>
      </c>
      <c r="Q1020" s="3">
        <v>0</v>
      </c>
      <c r="R1020" s="3" t="str">
        <f t="shared" si="15"/>
        <v>Not Cancelled</v>
      </c>
      <c r="S1020" s="3" t="s">
        <v>31</v>
      </c>
    </row>
    <row r="1021" spans="1:19" x14ac:dyDescent="0.35">
      <c r="A1021" s="3">
        <v>2020</v>
      </c>
      <c r="B1021" s="3" t="s">
        <v>826</v>
      </c>
      <c r="C1021" s="4">
        <v>45407</v>
      </c>
      <c r="D1021" s="3" t="s">
        <v>237</v>
      </c>
      <c r="E1021" s="4">
        <v>45465</v>
      </c>
      <c r="F1021" s="4">
        <v>45466</v>
      </c>
      <c r="G1021" s="3" t="s">
        <v>34</v>
      </c>
      <c r="H1021" s="3" t="s">
        <v>38</v>
      </c>
      <c r="I1021" s="3" t="s">
        <v>39</v>
      </c>
      <c r="J1021" s="3" t="s">
        <v>46</v>
      </c>
      <c r="K1021" s="3">
        <v>58</v>
      </c>
      <c r="L1021" s="3">
        <v>1</v>
      </c>
      <c r="M1021" s="3">
        <v>2995</v>
      </c>
      <c r="N1021" s="3">
        <v>2995</v>
      </c>
      <c r="O1021" s="3">
        <v>0</v>
      </c>
      <c r="P1021" s="3" t="s">
        <v>24</v>
      </c>
      <c r="Q1021" s="3">
        <v>1</v>
      </c>
      <c r="R1021" s="3" t="str">
        <f t="shared" si="15"/>
        <v>Cancelled</v>
      </c>
      <c r="S1021" s="3" t="s">
        <v>25</v>
      </c>
    </row>
    <row r="1022" spans="1:19" x14ac:dyDescent="0.35">
      <c r="A1022" s="3">
        <v>2021</v>
      </c>
      <c r="B1022" s="3" t="s">
        <v>827</v>
      </c>
      <c r="C1022" s="4">
        <v>45383</v>
      </c>
      <c r="D1022" s="3" t="s">
        <v>105</v>
      </c>
      <c r="E1022" s="4">
        <v>45420</v>
      </c>
      <c r="F1022" s="4">
        <v>45422</v>
      </c>
      <c r="G1022" s="3" t="s">
        <v>28</v>
      </c>
      <c r="H1022" s="3" t="s">
        <v>21</v>
      </c>
      <c r="I1022" s="3" t="s">
        <v>22</v>
      </c>
      <c r="J1022" s="3" t="s">
        <v>23</v>
      </c>
      <c r="K1022" s="3">
        <v>37</v>
      </c>
      <c r="L1022" s="3">
        <v>2</v>
      </c>
      <c r="M1022" s="3">
        <v>7643</v>
      </c>
      <c r="N1022" s="3">
        <v>15286</v>
      </c>
      <c r="O1022" s="3">
        <v>0</v>
      </c>
      <c r="P1022" s="3" t="s">
        <v>24</v>
      </c>
      <c r="Q1022" s="3">
        <v>1</v>
      </c>
      <c r="R1022" s="3" t="str">
        <f t="shared" si="15"/>
        <v>Cancelled</v>
      </c>
      <c r="S1022" s="3" t="s">
        <v>25</v>
      </c>
    </row>
    <row r="1023" spans="1:19" x14ac:dyDescent="0.35">
      <c r="A1023" s="3">
        <v>2022</v>
      </c>
      <c r="B1023" s="3" t="s">
        <v>362</v>
      </c>
      <c r="C1023" s="4">
        <v>45561</v>
      </c>
      <c r="D1023" s="3" t="s">
        <v>73</v>
      </c>
      <c r="E1023" s="4">
        <v>45609</v>
      </c>
      <c r="F1023" s="4">
        <v>45613</v>
      </c>
      <c r="G1023" s="3" t="s">
        <v>42</v>
      </c>
      <c r="H1023" s="3" t="s">
        <v>21</v>
      </c>
      <c r="I1023" s="3" t="s">
        <v>39</v>
      </c>
      <c r="J1023" s="3" t="s">
        <v>46</v>
      </c>
      <c r="K1023" s="3">
        <v>48</v>
      </c>
      <c r="L1023" s="3">
        <v>4</v>
      </c>
      <c r="M1023" s="3">
        <v>5680</v>
      </c>
      <c r="N1023" s="3">
        <v>22720</v>
      </c>
      <c r="O1023" s="3">
        <v>0</v>
      </c>
      <c r="P1023" s="3" t="s">
        <v>24</v>
      </c>
      <c r="Q1023" s="3">
        <v>1</v>
      </c>
      <c r="R1023" s="3" t="str">
        <f t="shared" si="15"/>
        <v>Cancelled</v>
      </c>
      <c r="S1023" s="3" t="s">
        <v>25</v>
      </c>
    </row>
    <row r="1024" spans="1:19" x14ac:dyDescent="0.35">
      <c r="A1024" s="3">
        <v>2023</v>
      </c>
      <c r="B1024" s="3" t="s">
        <v>773</v>
      </c>
      <c r="C1024" s="4">
        <v>45459</v>
      </c>
      <c r="D1024" s="3" t="s">
        <v>64</v>
      </c>
      <c r="E1024" s="4">
        <v>45504</v>
      </c>
      <c r="F1024" s="4">
        <v>45505</v>
      </c>
      <c r="G1024" s="3" t="s">
        <v>34</v>
      </c>
      <c r="H1024" s="3" t="s">
        <v>60</v>
      </c>
      <c r="I1024" s="3" t="s">
        <v>22</v>
      </c>
      <c r="J1024" s="3" t="s">
        <v>46</v>
      </c>
      <c r="K1024" s="3">
        <v>45</v>
      </c>
      <c r="L1024" s="3">
        <v>1</v>
      </c>
      <c r="M1024" s="3">
        <v>8322</v>
      </c>
      <c r="N1024" s="3">
        <v>8322</v>
      </c>
      <c r="O1024" s="3">
        <v>0</v>
      </c>
      <c r="P1024" s="3" t="s">
        <v>51</v>
      </c>
      <c r="Q1024" s="3">
        <v>1</v>
      </c>
      <c r="R1024" s="3" t="str">
        <f t="shared" si="15"/>
        <v>Cancelled</v>
      </c>
      <c r="S1024" s="3" t="s">
        <v>25</v>
      </c>
    </row>
    <row r="1025" spans="1:19" x14ac:dyDescent="0.35">
      <c r="A1025" s="3">
        <v>2024</v>
      </c>
      <c r="B1025" s="3" t="s">
        <v>491</v>
      </c>
      <c r="C1025" s="4">
        <v>45349</v>
      </c>
      <c r="D1025" s="3" t="s">
        <v>153</v>
      </c>
      <c r="E1025" s="4">
        <v>45388</v>
      </c>
      <c r="F1025" s="4">
        <v>45393</v>
      </c>
      <c r="G1025" s="3" t="s">
        <v>45</v>
      </c>
      <c r="H1025" s="3" t="s">
        <v>21</v>
      </c>
      <c r="I1025" s="3" t="s">
        <v>22</v>
      </c>
      <c r="J1025" s="3" t="s">
        <v>23</v>
      </c>
      <c r="K1025" s="3">
        <v>39</v>
      </c>
      <c r="L1025" s="3">
        <v>5</v>
      </c>
      <c r="M1025" s="3">
        <v>6430</v>
      </c>
      <c r="N1025" s="3">
        <v>32150</v>
      </c>
      <c r="O1025" s="3">
        <v>0</v>
      </c>
      <c r="P1025" s="3" t="s">
        <v>51</v>
      </c>
      <c r="Q1025" s="3">
        <v>1</v>
      </c>
      <c r="R1025" s="3" t="str">
        <f t="shared" si="15"/>
        <v>Cancelled</v>
      </c>
      <c r="S1025" s="3" t="s">
        <v>25</v>
      </c>
    </row>
    <row r="1026" spans="1:19" x14ac:dyDescent="0.35">
      <c r="A1026" s="3">
        <v>2025</v>
      </c>
      <c r="B1026" s="3" t="s">
        <v>620</v>
      </c>
      <c r="C1026" s="4">
        <v>45575</v>
      </c>
      <c r="D1026" s="3" t="s">
        <v>144</v>
      </c>
      <c r="E1026" s="4">
        <v>45607</v>
      </c>
      <c r="F1026" s="4">
        <v>45609</v>
      </c>
      <c r="G1026" s="3" t="s">
        <v>28</v>
      </c>
      <c r="H1026" s="3" t="s">
        <v>29</v>
      </c>
      <c r="I1026" s="3" t="s">
        <v>39</v>
      </c>
      <c r="J1026" s="3" t="s">
        <v>23</v>
      </c>
      <c r="K1026" s="3">
        <v>32</v>
      </c>
      <c r="L1026" s="3">
        <v>2</v>
      </c>
      <c r="M1026" s="3">
        <v>4572</v>
      </c>
      <c r="N1026" s="3">
        <v>9144</v>
      </c>
      <c r="O1026" s="3">
        <v>0</v>
      </c>
      <c r="P1026" s="3" t="s">
        <v>24</v>
      </c>
      <c r="Q1026" s="3">
        <v>1</v>
      </c>
      <c r="R1026" s="3" t="str">
        <f t="shared" si="15"/>
        <v>Cancelled</v>
      </c>
      <c r="S1026" s="3" t="s">
        <v>31</v>
      </c>
    </row>
    <row r="1027" spans="1:19" x14ac:dyDescent="0.35">
      <c r="A1027" s="3">
        <v>2026</v>
      </c>
      <c r="B1027" s="3" t="s">
        <v>828</v>
      </c>
      <c r="C1027" s="4">
        <v>45317</v>
      </c>
      <c r="D1027" s="3" t="s">
        <v>237</v>
      </c>
      <c r="E1027" s="4">
        <v>45375</v>
      </c>
      <c r="F1027" s="4">
        <v>45377</v>
      </c>
      <c r="G1027" s="3" t="s">
        <v>28</v>
      </c>
      <c r="H1027" s="3" t="s">
        <v>21</v>
      </c>
      <c r="I1027" s="3" t="s">
        <v>22</v>
      </c>
      <c r="J1027" s="3" t="s">
        <v>46</v>
      </c>
      <c r="K1027" s="3">
        <v>58</v>
      </c>
      <c r="L1027" s="3">
        <v>2</v>
      </c>
      <c r="M1027" s="3">
        <v>8931</v>
      </c>
      <c r="N1027" s="3">
        <v>17862</v>
      </c>
      <c r="O1027" s="3">
        <v>0</v>
      </c>
      <c r="P1027" s="3" t="s">
        <v>51</v>
      </c>
      <c r="Q1027" s="3">
        <v>1</v>
      </c>
      <c r="R1027" s="3" t="str">
        <f t="shared" ref="R1027:R1090" si="16">IF(Q1027=0,"Not Cancelled","Cancelled")</f>
        <v>Cancelled</v>
      </c>
      <c r="S1027" s="3" t="s">
        <v>25</v>
      </c>
    </row>
    <row r="1028" spans="1:19" x14ac:dyDescent="0.35">
      <c r="A1028" s="3">
        <v>2027</v>
      </c>
      <c r="B1028" s="3" t="s">
        <v>829</v>
      </c>
      <c r="C1028" s="4">
        <v>45357</v>
      </c>
      <c r="D1028" s="3" t="s">
        <v>226</v>
      </c>
      <c r="E1028" s="4">
        <v>45409</v>
      </c>
      <c r="F1028" s="4">
        <v>45414</v>
      </c>
      <c r="G1028" s="3" t="s">
        <v>45</v>
      </c>
      <c r="H1028" s="3" t="s">
        <v>29</v>
      </c>
      <c r="I1028" s="3" t="s">
        <v>39</v>
      </c>
      <c r="J1028" s="3" t="s">
        <v>46</v>
      </c>
      <c r="K1028" s="3">
        <v>52</v>
      </c>
      <c r="L1028" s="3">
        <v>5</v>
      </c>
      <c r="M1028" s="3">
        <v>2837</v>
      </c>
      <c r="N1028" s="3">
        <v>14185</v>
      </c>
      <c r="O1028" s="3">
        <v>0</v>
      </c>
      <c r="P1028" s="3" t="s">
        <v>24</v>
      </c>
      <c r="Q1028" s="3">
        <v>1</v>
      </c>
      <c r="R1028" s="3" t="str">
        <f t="shared" si="16"/>
        <v>Cancelled</v>
      </c>
      <c r="S1028" s="3" t="s">
        <v>25</v>
      </c>
    </row>
    <row r="1029" spans="1:19" x14ac:dyDescent="0.35">
      <c r="A1029" s="3">
        <v>2028</v>
      </c>
      <c r="B1029" s="3" t="s">
        <v>830</v>
      </c>
      <c r="C1029" s="4">
        <v>45539</v>
      </c>
      <c r="D1029" s="3" t="s">
        <v>71</v>
      </c>
      <c r="E1029" s="4">
        <v>45556</v>
      </c>
      <c r="F1029" s="4">
        <v>45561</v>
      </c>
      <c r="G1029" s="3" t="s">
        <v>45</v>
      </c>
      <c r="H1029" s="3" t="s">
        <v>29</v>
      </c>
      <c r="I1029" s="3" t="s">
        <v>22</v>
      </c>
      <c r="J1029" s="3" t="s">
        <v>23</v>
      </c>
      <c r="K1029" s="3">
        <v>17</v>
      </c>
      <c r="L1029" s="3">
        <v>5</v>
      </c>
      <c r="M1029" s="3">
        <v>6449</v>
      </c>
      <c r="N1029" s="3">
        <v>32245</v>
      </c>
      <c r="O1029" s="3">
        <v>32245</v>
      </c>
      <c r="P1029" s="3" t="s">
        <v>51</v>
      </c>
      <c r="Q1029" s="3">
        <v>0</v>
      </c>
      <c r="R1029" s="3" t="str">
        <f t="shared" si="16"/>
        <v>Not Cancelled</v>
      </c>
      <c r="S1029" s="3" t="s">
        <v>25</v>
      </c>
    </row>
    <row r="1030" spans="1:19" x14ac:dyDescent="0.35">
      <c r="A1030" s="3">
        <v>2029</v>
      </c>
      <c r="B1030" s="3" t="s">
        <v>479</v>
      </c>
      <c r="C1030" s="4">
        <v>45545</v>
      </c>
      <c r="D1030" s="3" t="s">
        <v>91</v>
      </c>
      <c r="E1030" s="4">
        <v>45580</v>
      </c>
      <c r="F1030" s="4">
        <v>45581</v>
      </c>
      <c r="G1030" s="3" t="s">
        <v>34</v>
      </c>
      <c r="H1030" s="3" t="s">
        <v>35</v>
      </c>
      <c r="I1030" s="3" t="s">
        <v>22</v>
      </c>
      <c r="J1030" s="3" t="s">
        <v>46</v>
      </c>
      <c r="K1030" s="3">
        <v>35</v>
      </c>
      <c r="L1030" s="3">
        <v>1</v>
      </c>
      <c r="M1030" s="3">
        <v>8533</v>
      </c>
      <c r="N1030" s="3">
        <v>8533</v>
      </c>
      <c r="O1030" s="3">
        <v>0</v>
      </c>
      <c r="P1030" s="3" t="s">
        <v>24</v>
      </c>
      <c r="Q1030" s="3">
        <v>1</v>
      </c>
      <c r="R1030" s="3" t="str">
        <f t="shared" si="16"/>
        <v>Cancelled</v>
      </c>
      <c r="S1030" s="3" t="s">
        <v>25</v>
      </c>
    </row>
    <row r="1031" spans="1:19" x14ac:dyDescent="0.35">
      <c r="A1031" s="3">
        <v>2030</v>
      </c>
      <c r="B1031" s="3" t="s">
        <v>296</v>
      </c>
      <c r="C1031" s="4">
        <v>45335</v>
      </c>
      <c r="D1031" s="3" t="s">
        <v>105</v>
      </c>
      <c r="E1031" s="4">
        <v>45372</v>
      </c>
      <c r="F1031" s="4">
        <v>45375</v>
      </c>
      <c r="G1031" s="3" t="s">
        <v>20</v>
      </c>
      <c r="H1031" s="3" t="s">
        <v>60</v>
      </c>
      <c r="I1031" s="3" t="s">
        <v>22</v>
      </c>
      <c r="J1031" s="3" t="s">
        <v>23</v>
      </c>
      <c r="K1031" s="3">
        <v>37</v>
      </c>
      <c r="L1031" s="3">
        <v>3</v>
      </c>
      <c r="M1031" s="3">
        <v>5608</v>
      </c>
      <c r="N1031" s="3">
        <v>16824</v>
      </c>
      <c r="O1031" s="3">
        <v>16824</v>
      </c>
      <c r="P1031" s="3" t="s">
        <v>51</v>
      </c>
      <c r="Q1031" s="3">
        <v>0</v>
      </c>
      <c r="R1031" s="3" t="str">
        <f t="shared" si="16"/>
        <v>Not Cancelled</v>
      </c>
      <c r="S1031" s="3" t="s">
        <v>25</v>
      </c>
    </row>
    <row r="1032" spans="1:19" x14ac:dyDescent="0.35">
      <c r="A1032" s="3">
        <v>2031</v>
      </c>
      <c r="B1032" s="3" t="s">
        <v>831</v>
      </c>
      <c r="C1032" s="4">
        <v>45388</v>
      </c>
      <c r="D1032" s="3" t="s">
        <v>109</v>
      </c>
      <c r="E1032" s="4">
        <v>45407</v>
      </c>
      <c r="F1032" s="4">
        <v>45409</v>
      </c>
      <c r="G1032" s="3" t="s">
        <v>28</v>
      </c>
      <c r="H1032" s="3" t="s">
        <v>38</v>
      </c>
      <c r="I1032" s="3" t="s">
        <v>22</v>
      </c>
      <c r="J1032" s="3" t="s">
        <v>46</v>
      </c>
      <c r="K1032" s="3">
        <v>19</v>
      </c>
      <c r="L1032" s="3">
        <v>2</v>
      </c>
      <c r="M1032" s="3">
        <v>4317</v>
      </c>
      <c r="N1032" s="3">
        <v>8634</v>
      </c>
      <c r="O1032" s="3">
        <v>8634</v>
      </c>
      <c r="P1032" s="3" t="s">
        <v>24</v>
      </c>
      <c r="Q1032" s="3">
        <v>0</v>
      </c>
      <c r="R1032" s="3" t="str">
        <f t="shared" si="16"/>
        <v>Not Cancelled</v>
      </c>
      <c r="S1032" s="3" t="s">
        <v>31</v>
      </c>
    </row>
    <row r="1033" spans="1:19" x14ac:dyDescent="0.35">
      <c r="A1033" s="3">
        <v>2032</v>
      </c>
      <c r="B1033" s="3" t="s">
        <v>832</v>
      </c>
      <c r="C1033" s="4">
        <v>45333</v>
      </c>
      <c r="D1033" s="3" t="s">
        <v>62</v>
      </c>
      <c r="E1033" s="4">
        <v>45377</v>
      </c>
      <c r="F1033" s="4">
        <v>45378</v>
      </c>
      <c r="G1033" s="3" t="s">
        <v>34</v>
      </c>
      <c r="H1033" s="3" t="s">
        <v>29</v>
      </c>
      <c r="I1033" s="3" t="s">
        <v>39</v>
      </c>
      <c r="J1033" s="3" t="s">
        <v>46</v>
      </c>
      <c r="K1033" s="3">
        <v>44</v>
      </c>
      <c r="L1033" s="3">
        <v>1</v>
      </c>
      <c r="M1033" s="3">
        <v>2636</v>
      </c>
      <c r="N1033" s="3">
        <v>2636</v>
      </c>
      <c r="O1033" s="3">
        <v>0</v>
      </c>
      <c r="P1033" s="3" t="s">
        <v>51</v>
      </c>
      <c r="Q1033" s="3">
        <v>1</v>
      </c>
      <c r="R1033" s="3" t="str">
        <f t="shared" si="16"/>
        <v>Cancelled</v>
      </c>
      <c r="S1033" s="3" t="s">
        <v>25</v>
      </c>
    </row>
    <row r="1034" spans="1:19" x14ac:dyDescent="0.35">
      <c r="A1034" s="3">
        <v>2033</v>
      </c>
      <c r="B1034" s="3" t="s">
        <v>833</v>
      </c>
      <c r="C1034" s="4">
        <v>45518</v>
      </c>
      <c r="D1034" s="3" t="s">
        <v>57</v>
      </c>
      <c r="E1034" s="4">
        <v>45547</v>
      </c>
      <c r="F1034" s="4">
        <v>45552</v>
      </c>
      <c r="G1034" s="3" t="s">
        <v>45</v>
      </c>
      <c r="H1034" s="3" t="s">
        <v>60</v>
      </c>
      <c r="I1034" s="3" t="s">
        <v>22</v>
      </c>
      <c r="J1034" s="3" t="s">
        <v>46</v>
      </c>
      <c r="K1034" s="3">
        <v>29</v>
      </c>
      <c r="L1034" s="3">
        <v>5</v>
      </c>
      <c r="M1034" s="3">
        <v>5055</v>
      </c>
      <c r="N1034" s="3">
        <v>25275</v>
      </c>
      <c r="O1034" s="3">
        <v>0</v>
      </c>
      <c r="P1034" s="3" t="s">
        <v>24</v>
      </c>
      <c r="Q1034" s="3">
        <v>1</v>
      </c>
      <c r="R1034" s="3" t="str">
        <f t="shared" si="16"/>
        <v>Cancelled</v>
      </c>
      <c r="S1034" s="3" t="s">
        <v>25</v>
      </c>
    </row>
    <row r="1035" spans="1:19" x14ac:dyDescent="0.35">
      <c r="A1035" s="3">
        <v>2034</v>
      </c>
      <c r="B1035" s="3" t="s">
        <v>286</v>
      </c>
      <c r="C1035" s="4">
        <v>45553</v>
      </c>
      <c r="D1035" s="3" t="s">
        <v>96</v>
      </c>
      <c r="E1035" s="4">
        <v>45612</v>
      </c>
      <c r="F1035" s="4">
        <v>45613</v>
      </c>
      <c r="G1035" s="3" t="s">
        <v>34</v>
      </c>
      <c r="H1035" s="3" t="s">
        <v>38</v>
      </c>
      <c r="I1035" s="3" t="s">
        <v>22</v>
      </c>
      <c r="J1035" s="3" t="s">
        <v>23</v>
      </c>
      <c r="K1035" s="3">
        <v>59</v>
      </c>
      <c r="L1035" s="3">
        <v>1</v>
      </c>
      <c r="M1035" s="3">
        <v>8870</v>
      </c>
      <c r="N1035" s="3">
        <v>8870</v>
      </c>
      <c r="O1035" s="3">
        <v>0</v>
      </c>
      <c r="P1035" s="3" t="s">
        <v>51</v>
      </c>
      <c r="Q1035" s="3">
        <v>1</v>
      </c>
      <c r="R1035" s="3" t="str">
        <f t="shared" si="16"/>
        <v>Cancelled</v>
      </c>
      <c r="S1035" s="3" t="s">
        <v>31</v>
      </c>
    </row>
    <row r="1036" spans="1:19" x14ac:dyDescent="0.35">
      <c r="A1036" s="3">
        <v>2035</v>
      </c>
      <c r="B1036" s="3" t="s">
        <v>834</v>
      </c>
      <c r="C1036" s="4">
        <v>45458</v>
      </c>
      <c r="D1036" s="3" t="s">
        <v>209</v>
      </c>
      <c r="E1036" s="4">
        <v>45465</v>
      </c>
      <c r="F1036" s="4">
        <v>45470</v>
      </c>
      <c r="G1036" s="3" t="s">
        <v>45</v>
      </c>
      <c r="H1036" s="3" t="s">
        <v>21</v>
      </c>
      <c r="I1036" s="3" t="s">
        <v>22</v>
      </c>
      <c r="J1036" s="3" t="s">
        <v>30</v>
      </c>
      <c r="K1036" s="3">
        <v>7</v>
      </c>
      <c r="L1036" s="3">
        <v>5</v>
      </c>
      <c r="M1036" s="3">
        <v>6915</v>
      </c>
      <c r="N1036" s="3">
        <v>34575</v>
      </c>
      <c r="O1036" s="3">
        <v>34575</v>
      </c>
      <c r="P1036" s="3" t="s">
        <v>51</v>
      </c>
      <c r="Q1036" s="3">
        <v>0</v>
      </c>
      <c r="R1036" s="3" t="str">
        <f t="shared" si="16"/>
        <v>Not Cancelled</v>
      </c>
      <c r="S1036" s="3" t="s">
        <v>25</v>
      </c>
    </row>
    <row r="1037" spans="1:19" x14ac:dyDescent="0.35">
      <c r="A1037" s="3">
        <v>2036</v>
      </c>
      <c r="B1037" s="3" t="s">
        <v>835</v>
      </c>
      <c r="C1037" s="4">
        <v>45570</v>
      </c>
      <c r="D1037" s="3" t="s">
        <v>82</v>
      </c>
      <c r="E1037" s="4">
        <v>45598</v>
      </c>
      <c r="F1037" s="4">
        <v>45602</v>
      </c>
      <c r="G1037" s="3" t="s">
        <v>42</v>
      </c>
      <c r="H1037" s="3" t="s">
        <v>60</v>
      </c>
      <c r="I1037" s="3" t="s">
        <v>39</v>
      </c>
      <c r="J1037" s="3" t="s">
        <v>23</v>
      </c>
      <c r="K1037" s="3">
        <v>28</v>
      </c>
      <c r="L1037" s="3">
        <v>4</v>
      </c>
      <c r="M1037" s="3">
        <v>8459</v>
      </c>
      <c r="N1037" s="3">
        <v>33836</v>
      </c>
      <c r="O1037" s="3">
        <v>0</v>
      </c>
      <c r="P1037" s="3" t="s">
        <v>51</v>
      </c>
      <c r="Q1037" s="3">
        <v>1</v>
      </c>
      <c r="R1037" s="3" t="str">
        <f t="shared" si="16"/>
        <v>Cancelled</v>
      </c>
      <c r="S1037" s="3" t="s">
        <v>31</v>
      </c>
    </row>
    <row r="1038" spans="1:19" x14ac:dyDescent="0.35">
      <c r="A1038" s="3">
        <v>2037</v>
      </c>
      <c r="B1038" s="3" t="s">
        <v>702</v>
      </c>
      <c r="C1038" s="4">
        <v>45380</v>
      </c>
      <c r="D1038" s="3" t="s">
        <v>165</v>
      </c>
      <c r="E1038" s="4">
        <v>45389</v>
      </c>
      <c r="F1038" s="4">
        <v>45394</v>
      </c>
      <c r="G1038" s="3" t="s">
        <v>45</v>
      </c>
      <c r="H1038" s="3" t="s">
        <v>60</v>
      </c>
      <c r="I1038" s="3" t="s">
        <v>39</v>
      </c>
      <c r="J1038" s="3" t="s">
        <v>46</v>
      </c>
      <c r="K1038" s="3">
        <v>9</v>
      </c>
      <c r="L1038" s="3">
        <v>5</v>
      </c>
      <c r="M1038" s="3">
        <v>3415</v>
      </c>
      <c r="N1038" s="3">
        <v>17075</v>
      </c>
      <c r="O1038" s="3">
        <v>17075</v>
      </c>
      <c r="P1038" s="3" t="s">
        <v>24</v>
      </c>
      <c r="Q1038" s="3">
        <v>0</v>
      </c>
      <c r="R1038" s="3" t="str">
        <f t="shared" si="16"/>
        <v>Not Cancelled</v>
      </c>
      <c r="S1038" s="3" t="s">
        <v>31</v>
      </c>
    </row>
    <row r="1039" spans="1:19" x14ac:dyDescent="0.35">
      <c r="A1039" s="3">
        <v>2038</v>
      </c>
      <c r="B1039" s="3" t="s">
        <v>539</v>
      </c>
      <c r="C1039" s="4">
        <v>45469</v>
      </c>
      <c r="D1039" s="3" t="s">
        <v>82</v>
      </c>
      <c r="E1039" s="4">
        <v>45497</v>
      </c>
      <c r="F1039" s="4">
        <v>45502</v>
      </c>
      <c r="G1039" s="3" t="s">
        <v>45</v>
      </c>
      <c r="H1039" s="3" t="s">
        <v>60</v>
      </c>
      <c r="I1039" s="3" t="s">
        <v>39</v>
      </c>
      <c r="J1039" s="3" t="s">
        <v>30</v>
      </c>
      <c r="K1039" s="3">
        <v>28</v>
      </c>
      <c r="L1039" s="3">
        <v>5</v>
      </c>
      <c r="M1039" s="3">
        <v>7801</v>
      </c>
      <c r="N1039" s="3">
        <v>39005</v>
      </c>
      <c r="O1039" s="3">
        <v>0</v>
      </c>
      <c r="P1039" s="3" t="s">
        <v>24</v>
      </c>
      <c r="Q1039" s="3">
        <v>1</v>
      </c>
      <c r="R1039" s="3" t="str">
        <f t="shared" si="16"/>
        <v>Cancelled</v>
      </c>
      <c r="S1039" s="3" t="s">
        <v>31</v>
      </c>
    </row>
    <row r="1040" spans="1:19" x14ac:dyDescent="0.35">
      <c r="A1040" s="3">
        <v>2039</v>
      </c>
      <c r="B1040" s="3" t="s">
        <v>430</v>
      </c>
      <c r="C1040" s="4">
        <v>45488</v>
      </c>
      <c r="D1040" s="3" t="s">
        <v>55</v>
      </c>
      <c r="E1040" s="4">
        <v>45494</v>
      </c>
      <c r="F1040" s="4">
        <v>45499</v>
      </c>
      <c r="G1040" s="3" t="s">
        <v>45</v>
      </c>
      <c r="H1040" s="3" t="s">
        <v>21</v>
      </c>
      <c r="I1040" s="3" t="s">
        <v>39</v>
      </c>
      <c r="J1040" s="3" t="s">
        <v>30</v>
      </c>
      <c r="K1040" s="3">
        <v>6</v>
      </c>
      <c r="L1040" s="3">
        <v>5</v>
      </c>
      <c r="M1040" s="3">
        <v>8493</v>
      </c>
      <c r="N1040" s="3">
        <v>42465</v>
      </c>
      <c r="O1040" s="3">
        <v>42465</v>
      </c>
      <c r="P1040" s="3" t="s">
        <v>24</v>
      </c>
      <c r="Q1040" s="3">
        <v>0</v>
      </c>
      <c r="R1040" s="3" t="str">
        <f t="shared" si="16"/>
        <v>Not Cancelled</v>
      </c>
      <c r="S1040" s="3" t="s">
        <v>31</v>
      </c>
    </row>
    <row r="1041" spans="1:19" x14ac:dyDescent="0.35">
      <c r="A1041" s="3">
        <v>2040</v>
      </c>
      <c r="B1041" s="3" t="s">
        <v>836</v>
      </c>
      <c r="C1041" s="4">
        <v>45598</v>
      </c>
      <c r="D1041" s="3" t="s">
        <v>57</v>
      </c>
      <c r="E1041" s="4">
        <v>45627</v>
      </c>
      <c r="F1041" s="4">
        <v>45630</v>
      </c>
      <c r="G1041" s="3" t="s">
        <v>20</v>
      </c>
      <c r="H1041" s="3" t="s">
        <v>21</v>
      </c>
      <c r="I1041" s="3" t="s">
        <v>22</v>
      </c>
      <c r="J1041" s="3" t="s">
        <v>46</v>
      </c>
      <c r="K1041" s="3">
        <v>29</v>
      </c>
      <c r="L1041" s="3">
        <v>3</v>
      </c>
      <c r="M1041" s="3">
        <v>8729</v>
      </c>
      <c r="N1041" s="3">
        <v>26187</v>
      </c>
      <c r="O1041" s="3">
        <v>0</v>
      </c>
      <c r="P1041" s="3" t="s">
        <v>51</v>
      </c>
      <c r="Q1041" s="3">
        <v>1</v>
      </c>
      <c r="R1041" s="3" t="str">
        <f t="shared" si="16"/>
        <v>Cancelled</v>
      </c>
      <c r="S1041" s="3" t="s">
        <v>25</v>
      </c>
    </row>
    <row r="1042" spans="1:19" x14ac:dyDescent="0.35">
      <c r="A1042" s="3">
        <v>2041</v>
      </c>
      <c r="B1042" s="3" t="s">
        <v>837</v>
      </c>
      <c r="C1042" s="4">
        <v>45558</v>
      </c>
      <c r="D1042" s="3" t="s">
        <v>237</v>
      </c>
      <c r="E1042" s="4">
        <v>45616</v>
      </c>
      <c r="F1042" s="4">
        <v>45621</v>
      </c>
      <c r="G1042" s="3" t="s">
        <v>45</v>
      </c>
      <c r="H1042" s="3" t="s">
        <v>60</v>
      </c>
      <c r="I1042" s="3" t="s">
        <v>22</v>
      </c>
      <c r="J1042" s="3" t="s">
        <v>23</v>
      </c>
      <c r="K1042" s="3">
        <v>58</v>
      </c>
      <c r="L1042" s="3">
        <v>5</v>
      </c>
      <c r="M1042" s="3">
        <v>6038</v>
      </c>
      <c r="N1042" s="3">
        <v>30190</v>
      </c>
      <c r="O1042" s="3">
        <v>0</v>
      </c>
      <c r="P1042" s="3" t="s">
        <v>24</v>
      </c>
      <c r="Q1042" s="3">
        <v>1</v>
      </c>
      <c r="R1042" s="3" t="str">
        <f t="shared" si="16"/>
        <v>Cancelled</v>
      </c>
      <c r="S1042" s="3" t="s">
        <v>25</v>
      </c>
    </row>
    <row r="1043" spans="1:19" x14ac:dyDescent="0.35">
      <c r="A1043" s="3">
        <v>2042</v>
      </c>
      <c r="B1043" s="3" t="s">
        <v>838</v>
      </c>
      <c r="C1043" s="4">
        <v>45559</v>
      </c>
      <c r="D1043" s="3" t="s">
        <v>71</v>
      </c>
      <c r="E1043" s="4">
        <v>45576</v>
      </c>
      <c r="F1043" s="4">
        <v>45578</v>
      </c>
      <c r="G1043" s="3" t="s">
        <v>28</v>
      </c>
      <c r="H1043" s="3" t="s">
        <v>35</v>
      </c>
      <c r="I1043" s="3" t="s">
        <v>22</v>
      </c>
      <c r="J1043" s="3" t="s">
        <v>30</v>
      </c>
      <c r="K1043" s="3">
        <v>17</v>
      </c>
      <c r="L1043" s="3">
        <v>2</v>
      </c>
      <c r="M1043" s="3">
        <v>7521</v>
      </c>
      <c r="N1043" s="3">
        <v>15042</v>
      </c>
      <c r="O1043" s="3">
        <v>0</v>
      </c>
      <c r="P1043" s="3" t="s">
        <v>51</v>
      </c>
      <c r="Q1043" s="3">
        <v>1</v>
      </c>
      <c r="R1043" s="3" t="str">
        <f t="shared" si="16"/>
        <v>Cancelled</v>
      </c>
      <c r="S1043" s="3" t="s">
        <v>31</v>
      </c>
    </row>
    <row r="1044" spans="1:19" x14ac:dyDescent="0.35">
      <c r="A1044" s="3">
        <v>2043</v>
      </c>
      <c r="B1044" s="3" t="s">
        <v>839</v>
      </c>
      <c r="C1044" s="4">
        <v>45365</v>
      </c>
      <c r="D1044" s="3" t="s">
        <v>88</v>
      </c>
      <c r="E1044" s="4">
        <v>45381</v>
      </c>
      <c r="F1044" s="4">
        <v>45383</v>
      </c>
      <c r="G1044" s="3" t="s">
        <v>28</v>
      </c>
      <c r="H1044" s="3" t="s">
        <v>29</v>
      </c>
      <c r="I1044" s="3" t="s">
        <v>39</v>
      </c>
      <c r="J1044" s="3" t="s">
        <v>30</v>
      </c>
      <c r="K1044" s="3">
        <v>16</v>
      </c>
      <c r="L1044" s="3">
        <v>2</v>
      </c>
      <c r="M1044" s="3">
        <v>4600</v>
      </c>
      <c r="N1044" s="3">
        <v>9200</v>
      </c>
      <c r="O1044" s="3">
        <v>0</v>
      </c>
      <c r="P1044" s="3" t="s">
        <v>51</v>
      </c>
      <c r="Q1044" s="3">
        <v>1</v>
      </c>
      <c r="R1044" s="3" t="str">
        <f t="shared" si="16"/>
        <v>Cancelled</v>
      </c>
      <c r="S1044" s="3" t="s">
        <v>31</v>
      </c>
    </row>
    <row r="1045" spans="1:19" x14ac:dyDescent="0.35">
      <c r="A1045" s="3">
        <v>2044</v>
      </c>
      <c r="B1045" s="3" t="s">
        <v>840</v>
      </c>
      <c r="C1045" s="4">
        <v>45299</v>
      </c>
      <c r="D1045" s="3" t="s">
        <v>111</v>
      </c>
      <c r="E1045" s="4">
        <v>45322</v>
      </c>
      <c r="F1045" s="4">
        <v>45323</v>
      </c>
      <c r="G1045" s="3" t="s">
        <v>34</v>
      </c>
      <c r="H1045" s="3" t="s">
        <v>21</v>
      </c>
      <c r="I1045" s="3" t="s">
        <v>39</v>
      </c>
      <c r="J1045" s="3" t="s">
        <v>23</v>
      </c>
      <c r="K1045" s="3">
        <v>23</v>
      </c>
      <c r="L1045" s="3">
        <v>1</v>
      </c>
      <c r="M1045" s="3">
        <v>5407</v>
      </c>
      <c r="N1045" s="3">
        <v>5407</v>
      </c>
      <c r="O1045" s="3">
        <v>0</v>
      </c>
      <c r="P1045" s="3" t="s">
        <v>51</v>
      </c>
      <c r="Q1045" s="3">
        <v>1</v>
      </c>
      <c r="R1045" s="3" t="str">
        <f t="shared" si="16"/>
        <v>Cancelled</v>
      </c>
      <c r="S1045" s="3" t="s">
        <v>25</v>
      </c>
    </row>
    <row r="1046" spans="1:19" x14ac:dyDescent="0.35">
      <c r="A1046" s="3">
        <v>2045</v>
      </c>
      <c r="B1046" s="3" t="s">
        <v>525</v>
      </c>
      <c r="C1046" s="4">
        <v>45588</v>
      </c>
      <c r="D1046" s="3" t="s">
        <v>48</v>
      </c>
      <c r="E1046" s="4">
        <v>45619</v>
      </c>
      <c r="F1046" s="4">
        <v>45622</v>
      </c>
      <c r="G1046" s="3" t="s">
        <v>20</v>
      </c>
      <c r="H1046" s="3" t="s">
        <v>35</v>
      </c>
      <c r="I1046" s="3" t="s">
        <v>22</v>
      </c>
      <c r="J1046" s="3" t="s">
        <v>23</v>
      </c>
      <c r="K1046" s="3">
        <v>31</v>
      </c>
      <c r="L1046" s="3">
        <v>3</v>
      </c>
      <c r="M1046" s="3">
        <v>5414</v>
      </c>
      <c r="N1046" s="3">
        <v>16242</v>
      </c>
      <c r="O1046" s="3">
        <v>16242</v>
      </c>
      <c r="P1046" s="3" t="s">
        <v>24</v>
      </c>
      <c r="Q1046" s="3">
        <v>0</v>
      </c>
      <c r="R1046" s="3" t="str">
        <f t="shared" si="16"/>
        <v>Not Cancelled</v>
      </c>
      <c r="S1046" s="3" t="s">
        <v>31</v>
      </c>
    </row>
    <row r="1047" spans="1:19" x14ac:dyDescent="0.35">
      <c r="A1047" s="3">
        <v>2046</v>
      </c>
      <c r="B1047" s="3" t="s">
        <v>677</v>
      </c>
      <c r="C1047" s="4">
        <v>45455</v>
      </c>
      <c r="D1047" s="3" t="s">
        <v>20</v>
      </c>
      <c r="E1047" s="4">
        <v>45458</v>
      </c>
      <c r="F1047" s="4">
        <v>45459</v>
      </c>
      <c r="G1047" s="3" t="s">
        <v>34</v>
      </c>
      <c r="H1047" s="3" t="s">
        <v>21</v>
      </c>
      <c r="I1047" s="3" t="s">
        <v>22</v>
      </c>
      <c r="J1047" s="3" t="s">
        <v>30</v>
      </c>
      <c r="K1047" s="3">
        <v>3</v>
      </c>
      <c r="L1047" s="3">
        <v>1</v>
      </c>
      <c r="M1047" s="3">
        <v>7854</v>
      </c>
      <c r="N1047" s="3">
        <v>7854</v>
      </c>
      <c r="O1047" s="3">
        <v>0</v>
      </c>
      <c r="P1047" s="3" t="s">
        <v>51</v>
      </c>
      <c r="Q1047" s="3">
        <v>1</v>
      </c>
      <c r="R1047" s="3" t="str">
        <f t="shared" si="16"/>
        <v>Cancelled</v>
      </c>
      <c r="S1047" s="3" t="s">
        <v>31</v>
      </c>
    </row>
    <row r="1048" spans="1:19" x14ac:dyDescent="0.35">
      <c r="A1048" s="3">
        <v>2047</v>
      </c>
      <c r="B1048" s="3" t="s">
        <v>841</v>
      </c>
      <c r="C1048" s="4">
        <v>45376</v>
      </c>
      <c r="D1048" s="3" t="s">
        <v>175</v>
      </c>
      <c r="E1048" s="4">
        <v>45397</v>
      </c>
      <c r="F1048" s="4">
        <v>45399</v>
      </c>
      <c r="G1048" s="3" t="s">
        <v>28</v>
      </c>
      <c r="H1048" s="3" t="s">
        <v>60</v>
      </c>
      <c r="I1048" s="3" t="s">
        <v>22</v>
      </c>
      <c r="J1048" s="3" t="s">
        <v>23</v>
      </c>
      <c r="K1048" s="3">
        <v>21</v>
      </c>
      <c r="L1048" s="3">
        <v>2</v>
      </c>
      <c r="M1048" s="3">
        <v>4482</v>
      </c>
      <c r="N1048" s="3">
        <v>8964</v>
      </c>
      <c r="O1048" s="3">
        <v>0</v>
      </c>
      <c r="P1048" s="3" t="s">
        <v>24</v>
      </c>
      <c r="Q1048" s="3">
        <v>1</v>
      </c>
      <c r="R1048" s="3" t="str">
        <f t="shared" si="16"/>
        <v>Cancelled</v>
      </c>
      <c r="S1048" s="3" t="s">
        <v>31</v>
      </c>
    </row>
    <row r="1049" spans="1:19" x14ac:dyDescent="0.35">
      <c r="A1049" s="3">
        <v>2048</v>
      </c>
      <c r="B1049" s="3" t="s">
        <v>842</v>
      </c>
      <c r="C1049" s="4">
        <v>45363</v>
      </c>
      <c r="D1049" s="3" t="s">
        <v>98</v>
      </c>
      <c r="E1049" s="4">
        <v>45389</v>
      </c>
      <c r="F1049" s="4">
        <v>45391</v>
      </c>
      <c r="G1049" s="3" t="s">
        <v>28</v>
      </c>
      <c r="H1049" s="3" t="s">
        <v>35</v>
      </c>
      <c r="I1049" s="3" t="s">
        <v>39</v>
      </c>
      <c r="J1049" s="3" t="s">
        <v>30</v>
      </c>
      <c r="K1049" s="3">
        <v>26</v>
      </c>
      <c r="L1049" s="3">
        <v>2</v>
      </c>
      <c r="M1049" s="3">
        <v>6370</v>
      </c>
      <c r="N1049" s="3">
        <v>12740</v>
      </c>
      <c r="O1049" s="3">
        <v>0</v>
      </c>
      <c r="P1049" s="3" t="s">
        <v>24</v>
      </c>
      <c r="Q1049" s="3">
        <v>1</v>
      </c>
      <c r="R1049" s="3" t="str">
        <f t="shared" si="16"/>
        <v>Cancelled</v>
      </c>
      <c r="S1049" s="3" t="s">
        <v>25</v>
      </c>
    </row>
    <row r="1050" spans="1:19" x14ac:dyDescent="0.35">
      <c r="A1050" s="3">
        <v>2049</v>
      </c>
      <c r="B1050" s="3" t="s">
        <v>132</v>
      </c>
      <c r="C1050" s="4">
        <v>45346</v>
      </c>
      <c r="D1050" s="3" t="s">
        <v>146</v>
      </c>
      <c r="E1050" s="4">
        <v>45382</v>
      </c>
      <c r="F1050" s="4">
        <v>45386</v>
      </c>
      <c r="G1050" s="3" t="s">
        <v>42</v>
      </c>
      <c r="H1050" s="3" t="s">
        <v>38</v>
      </c>
      <c r="I1050" s="3" t="s">
        <v>22</v>
      </c>
      <c r="J1050" s="3" t="s">
        <v>46</v>
      </c>
      <c r="K1050" s="3">
        <v>36</v>
      </c>
      <c r="L1050" s="3">
        <v>4</v>
      </c>
      <c r="M1050" s="3">
        <v>7028</v>
      </c>
      <c r="N1050" s="3">
        <v>28112</v>
      </c>
      <c r="O1050" s="3">
        <v>28112</v>
      </c>
      <c r="P1050" s="3" t="s">
        <v>51</v>
      </c>
      <c r="Q1050" s="3">
        <v>0</v>
      </c>
      <c r="R1050" s="3" t="str">
        <f t="shared" si="16"/>
        <v>Not Cancelled</v>
      </c>
      <c r="S1050" s="3" t="s">
        <v>31</v>
      </c>
    </row>
    <row r="1051" spans="1:19" x14ac:dyDescent="0.35">
      <c r="A1051" s="3">
        <v>2050</v>
      </c>
      <c r="B1051" s="3" t="s">
        <v>843</v>
      </c>
      <c r="C1051" s="4">
        <v>45338</v>
      </c>
      <c r="D1051" s="3" t="s">
        <v>140</v>
      </c>
      <c r="E1051" s="4">
        <v>45380</v>
      </c>
      <c r="F1051" s="4">
        <v>45385</v>
      </c>
      <c r="G1051" s="3" t="s">
        <v>45</v>
      </c>
      <c r="H1051" s="3" t="s">
        <v>29</v>
      </c>
      <c r="I1051" s="3" t="s">
        <v>22</v>
      </c>
      <c r="J1051" s="3" t="s">
        <v>23</v>
      </c>
      <c r="K1051" s="3">
        <v>42</v>
      </c>
      <c r="L1051" s="3">
        <v>5</v>
      </c>
      <c r="M1051" s="3">
        <v>6067</v>
      </c>
      <c r="N1051" s="3">
        <v>30335</v>
      </c>
      <c r="O1051" s="3">
        <v>30335</v>
      </c>
      <c r="P1051" s="3" t="s">
        <v>24</v>
      </c>
      <c r="Q1051" s="3">
        <v>0</v>
      </c>
      <c r="R1051" s="3" t="str">
        <f t="shared" si="16"/>
        <v>Not Cancelled</v>
      </c>
      <c r="S1051" s="3" t="s">
        <v>25</v>
      </c>
    </row>
    <row r="1052" spans="1:19" x14ac:dyDescent="0.35">
      <c r="A1052" s="3">
        <v>2051</v>
      </c>
      <c r="B1052" s="3" t="s">
        <v>529</v>
      </c>
      <c r="C1052" s="4">
        <v>45529</v>
      </c>
      <c r="D1052" s="3" t="s">
        <v>105</v>
      </c>
      <c r="E1052" s="4">
        <v>45566</v>
      </c>
      <c r="F1052" s="4">
        <v>45568</v>
      </c>
      <c r="G1052" s="3" t="s">
        <v>28</v>
      </c>
      <c r="H1052" s="3" t="s">
        <v>29</v>
      </c>
      <c r="I1052" s="3" t="s">
        <v>39</v>
      </c>
      <c r="J1052" s="3" t="s">
        <v>30</v>
      </c>
      <c r="K1052" s="3">
        <v>37</v>
      </c>
      <c r="L1052" s="3">
        <v>2</v>
      </c>
      <c r="M1052" s="3">
        <v>3498</v>
      </c>
      <c r="N1052" s="3">
        <v>6996</v>
      </c>
      <c r="O1052" s="3">
        <v>0</v>
      </c>
      <c r="P1052" s="3" t="s">
        <v>51</v>
      </c>
      <c r="Q1052" s="3">
        <v>1</v>
      </c>
      <c r="R1052" s="3" t="str">
        <f t="shared" si="16"/>
        <v>Cancelled</v>
      </c>
      <c r="S1052" s="3" t="s">
        <v>25</v>
      </c>
    </row>
    <row r="1053" spans="1:19" x14ac:dyDescent="0.35">
      <c r="A1053" s="3">
        <v>2052</v>
      </c>
      <c r="B1053" s="3" t="s">
        <v>427</v>
      </c>
      <c r="C1053" s="4">
        <v>45395</v>
      </c>
      <c r="D1053" s="3" t="s">
        <v>133</v>
      </c>
      <c r="E1053" s="4">
        <v>45448</v>
      </c>
      <c r="F1053" s="4">
        <v>45449</v>
      </c>
      <c r="G1053" s="3" t="s">
        <v>34</v>
      </c>
      <c r="H1053" s="3" t="s">
        <v>21</v>
      </c>
      <c r="I1053" s="3" t="s">
        <v>39</v>
      </c>
      <c r="J1053" s="3" t="s">
        <v>23</v>
      </c>
      <c r="K1053" s="3">
        <v>53</v>
      </c>
      <c r="L1053" s="3">
        <v>1</v>
      </c>
      <c r="M1053" s="3">
        <v>4647</v>
      </c>
      <c r="N1053" s="3">
        <v>4647</v>
      </c>
      <c r="O1053" s="3">
        <v>0</v>
      </c>
      <c r="P1053" s="3" t="s">
        <v>51</v>
      </c>
      <c r="Q1053" s="3">
        <v>1</v>
      </c>
      <c r="R1053" s="3" t="str">
        <f t="shared" si="16"/>
        <v>Cancelled</v>
      </c>
      <c r="S1053" s="3" t="s">
        <v>25</v>
      </c>
    </row>
    <row r="1054" spans="1:19" x14ac:dyDescent="0.35">
      <c r="A1054" s="3">
        <v>2053</v>
      </c>
      <c r="B1054" s="3" t="s">
        <v>844</v>
      </c>
      <c r="C1054" s="4">
        <v>45501</v>
      </c>
      <c r="D1054" s="3" t="s">
        <v>19</v>
      </c>
      <c r="E1054" s="4">
        <v>45523</v>
      </c>
      <c r="F1054" s="4">
        <v>45524</v>
      </c>
      <c r="G1054" s="3" t="s">
        <v>34</v>
      </c>
      <c r="H1054" s="3" t="s">
        <v>29</v>
      </c>
      <c r="I1054" s="3" t="s">
        <v>22</v>
      </c>
      <c r="J1054" s="3" t="s">
        <v>23</v>
      </c>
      <c r="K1054" s="3">
        <v>22</v>
      </c>
      <c r="L1054" s="3">
        <v>1</v>
      </c>
      <c r="M1054" s="3">
        <v>7585</v>
      </c>
      <c r="N1054" s="3">
        <v>7585</v>
      </c>
      <c r="O1054" s="3">
        <v>0</v>
      </c>
      <c r="P1054" s="3" t="s">
        <v>24</v>
      </c>
      <c r="Q1054" s="3">
        <v>1</v>
      </c>
      <c r="R1054" s="3" t="str">
        <f t="shared" si="16"/>
        <v>Cancelled</v>
      </c>
      <c r="S1054" s="3" t="s">
        <v>31</v>
      </c>
    </row>
    <row r="1055" spans="1:19" x14ac:dyDescent="0.35">
      <c r="A1055" s="3">
        <v>2054</v>
      </c>
      <c r="B1055" s="3" t="s">
        <v>845</v>
      </c>
      <c r="C1055" s="4">
        <v>45333</v>
      </c>
      <c r="D1055" s="3" t="s">
        <v>140</v>
      </c>
      <c r="E1055" s="4">
        <v>45375</v>
      </c>
      <c r="F1055" s="4">
        <v>45380</v>
      </c>
      <c r="G1055" s="3" t="s">
        <v>45</v>
      </c>
      <c r="H1055" s="3" t="s">
        <v>38</v>
      </c>
      <c r="I1055" s="3" t="s">
        <v>39</v>
      </c>
      <c r="J1055" s="3" t="s">
        <v>30</v>
      </c>
      <c r="K1055" s="3">
        <v>42</v>
      </c>
      <c r="L1055" s="3">
        <v>5</v>
      </c>
      <c r="M1055" s="3">
        <v>7194</v>
      </c>
      <c r="N1055" s="3">
        <v>35970</v>
      </c>
      <c r="O1055" s="3">
        <v>0</v>
      </c>
      <c r="P1055" s="3" t="s">
        <v>51</v>
      </c>
      <c r="Q1055" s="3">
        <v>1</v>
      </c>
      <c r="R1055" s="3" t="str">
        <f t="shared" si="16"/>
        <v>Cancelled</v>
      </c>
      <c r="S1055" s="3" t="s">
        <v>31</v>
      </c>
    </row>
    <row r="1056" spans="1:19" x14ac:dyDescent="0.35">
      <c r="A1056" s="3">
        <v>2055</v>
      </c>
      <c r="B1056" s="3" t="s">
        <v>412</v>
      </c>
      <c r="C1056" s="4">
        <v>45607</v>
      </c>
      <c r="D1056" s="3" t="s">
        <v>102</v>
      </c>
      <c r="E1056" s="4">
        <v>45619</v>
      </c>
      <c r="F1056" s="4">
        <v>45624</v>
      </c>
      <c r="G1056" s="3" t="s">
        <v>45</v>
      </c>
      <c r="H1056" s="3" t="s">
        <v>35</v>
      </c>
      <c r="I1056" s="3" t="s">
        <v>22</v>
      </c>
      <c r="J1056" s="3" t="s">
        <v>46</v>
      </c>
      <c r="K1056" s="3">
        <v>12</v>
      </c>
      <c r="L1056" s="3">
        <v>5</v>
      </c>
      <c r="M1056" s="3">
        <v>2895</v>
      </c>
      <c r="N1056" s="3">
        <v>14475</v>
      </c>
      <c r="O1056" s="3">
        <v>0</v>
      </c>
      <c r="P1056" s="3" t="s">
        <v>51</v>
      </c>
      <c r="Q1056" s="3">
        <v>1</v>
      </c>
      <c r="R1056" s="3" t="str">
        <f t="shared" si="16"/>
        <v>Cancelled</v>
      </c>
      <c r="S1056" s="3" t="s">
        <v>25</v>
      </c>
    </row>
    <row r="1057" spans="1:19" x14ac:dyDescent="0.35">
      <c r="A1057" s="3">
        <v>2056</v>
      </c>
      <c r="B1057" s="3" t="s">
        <v>129</v>
      </c>
      <c r="C1057" s="4">
        <v>45559</v>
      </c>
      <c r="D1057" s="3" t="s">
        <v>140</v>
      </c>
      <c r="E1057" s="4">
        <v>45601</v>
      </c>
      <c r="F1057" s="4">
        <v>45605</v>
      </c>
      <c r="G1057" s="3" t="s">
        <v>42</v>
      </c>
      <c r="H1057" s="3" t="s">
        <v>35</v>
      </c>
      <c r="I1057" s="3" t="s">
        <v>22</v>
      </c>
      <c r="J1057" s="3" t="s">
        <v>30</v>
      </c>
      <c r="K1057" s="3">
        <v>42</v>
      </c>
      <c r="L1057" s="3">
        <v>4</v>
      </c>
      <c r="M1057" s="3">
        <v>6098</v>
      </c>
      <c r="N1057" s="3">
        <v>24392</v>
      </c>
      <c r="O1057" s="3">
        <v>24392</v>
      </c>
      <c r="P1057" s="3" t="s">
        <v>51</v>
      </c>
      <c r="Q1057" s="3">
        <v>0</v>
      </c>
      <c r="R1057" s="3" t="str">
        <f t="shared" si="16"/>
        <v>Not Cancelled</v>
      </c>
      <c r="S1057" s="3" t="s">
        <v>25</v>
      </c>
    </row>
    <row r="1058" spans="1:19" x14ac:dyDescent="0.35">
      <c r="A1058" s="3">
        <v>2057</v>
      </c>
      <c r="B1058" s="3" t="s">
        <v>846</v>
      </c>
      <c r="C1058" s="4">
        <v>45554</v>
      </c>
      <c r="D1058" s="3" t="s">
        <v>44</v>
      </c>
      <c r="E1058" s="4">
        <v>45567</v>
      </c>
      <c r="F1058" s="4">
        <v>45570</v>
      </c>
      <c r="G1058" s="3" t="s">
        <v>20</v>
      </c>
      <c r="H1058" s="3" t="s">
        <v>60</v>
      </c>
      <c r="I1058" s="3" t="s">
        <v>22</v>
      </c>
      <c r="J1058" s="3" t="s">
        <v>23</v>
      </c>
      <c r="K1058" s="3">
        <v>13</v>
      </c>
      <c r="L1058" s="3">
        <v>3</v>
      </c>
      <c r="M1058" s="3">
        <v>7010</v>
      </c>
      <c r="N1058" s="3">
        <v>21030</v>
      </c>
      <c r="O1058" s="3">
        <v>21030</v>
      </c>
      <c r="P1058" s="3" t="s">
        <v>24</v>
      </c>
      <c r="Q1058" s="3">
        <v>0</v>
      </c>
      <c r="R1058" s="3" t="str">
        <f t="shared" si="16"/>
        <v>Not Cancelled</v>
      </c>
      <c r="S1058" s="3" t="s">
        <v>25</v>
      </c>
    </row>
    <row r="1059" spans="1:19" x14ac:dyDescent="0.35">
      <c r="A1059" s="3">
        <v>2058</v>
      </c>
      <c r="B1059" s="3" t="s">
        <v>847</v>
      </c>
      <c r="C1059" s="4">
        <v>45627</v>
      </c>
      <c r="D1059" s="3" t="s">
        <v>75</v>
      </c>
      <c r="E1059" s="4">
        <v>45638</v>
      </c>
      <c r="F1059" s="4">
        <v>45639</v>
      </c>
      <c r="G1059" s="3" t="s">
        <v>34</v>
      </c>
      <c r="H1059" s="3" t="s">
        <v>35</v>
      </c>
      <c r="I1059" s="3" t="s">
        <v>22</v>
      </c>
      <c r="J1059" s="3" t="s">
        <v>30</v>
      </c>
      <c r="K1059" s="3">
        <v>11</v>
      </c>
      <c r="L1059" s="3">
        <v>1</v>
      </c>
      <c r="M1059" s="3">
        <v>3438</v>
      </c>
      <c r="N1059" s="3">
        <v>3438</v>
      </c>
      <c r="O1059" s="3">
        <v>3438</v>
      </c>
      <c r="P1059" s="3" t="s">
        <v>24</v>
      </c>
      <c r="Q1059" s="3">
        <v>0</v>
      </c>
      <c r="R1059" s="3" t="str">
        <f t="shared" si="16"/>
        <v>Not Cancelled</v>
      </c>
      <c r="S1059" s="3" t="s">
        <v>31</v>
      </c>
    </row>
    <row r="1060" spans="1:19" x14ac:dyDescent="0.35">
      <c r="A1060" s="3">
        <v>2059</v>
      </c>
      <c r="B1060" s="3" t="s">
        <v>848</v>
      </c>
      <c r="C1060" s="4">
        <v>45656</v>
      </c>
      <c r="D1060" s="3" t="s">
        <v>117</v>
      </c>
      <c r="E1060" s="4">
        <v>45710</v>
      </c>
      <c r="F1060" s="4">
        <v>45715</v>
      </c>
      <c r="G1060" s="3" t="s">
        <v>45</v>
      </c>
      <c r="H1060" s="3" t="s">
        <v>21</v>
      </c>
      <c r="I1060" s="3" t="s">
        <v>39</v>
      </c>
      <c r="J1060" s="3" t="s">
        <v>23</v>
      </c>
      <c r="K1060" s="3">
        <v>54</v>
      </c>
      <c r="L1060" s="3">
        <v>5</v>
      </c>
      <c r="M1060" s="3">
        <v>4136</v>
      </c>
      <c r="N1060" s="3">
        <v>20680</v>
      </c>
      <c r="O1060" s="3">
        <v>0</v>
      </c>
      <c r="P1060" s="3" t="s">
        <v>24</v>
      </c>
      <c r="Q1060" s="3">
        <v>1</v>
      </c>
      <c r="R1060" s="3" t="str">
        <f t="shared" si="16"/>
        <v>Cancelled</v>
      </c>
      <c r="S1060" s="3" t="s">
        <v>31</v>
      </c>
    </row>
    <row r="1061" spans="1:19" x14ac:dyDescent="0.35">
      <c r="A1061" s="3">
        <v>2060</v>
      </c>
      <c r="B1061" s="3" t="s">
        <v>273</v>
      </c>
      <c r="C1061" s="4">
        <v>45550</v>
      </c>
      <c r="D1061" s="3" t="s">
        <v>88</v>
      </c>
      <c r="E1061" s="4">
        <v>45566</v>
      </c>
      <c r="F1061" s="4">
        <v>45567</v>
      </c>
      <c r="G1061" s="3" t="s">
        <v>34</v>
      </c>
      <c r="H1061" s="3" t="s">
        <v>38</v>
      </c>
      <c r="I1061" s="3" t="s">
        <v>39</v>
      </c>
      <c r="J1061" s="3" t="s">
        <v>30</v>
      </c>
      <c r="K1061" s="3">
        <v>16</v>
      </c>
      <c r="L1061" s="3">
        <v>1</v>
      </c>
      <c r="M1061" s="3">
        <v>5224</v>
      </c>
      <c r="N1061" s="3">
        <v>5224</v>
      </c>
      <c r="O1061" s="3">
        <v>5224</v>
      </c>
      <c r="P1061" s="3" t="s">
        <v>51</v>
      </c>
      <c r="Q1061" s="3">
        <v>0</v>
      </c>
      <c r="R1061" s="3" t="str">
        <f t="shared" si="16"/>
        <v>Not Cancelled</v>
      </c>
      <c r="S1061" s="3" t="s">
        <v>25</v>
      </c>
    </row>
    <row r="1062" spans="1:19" x14ac:dyDescent="0.35">
      <c r="A1062" s="3">
        <v>2061</v>
      </c>
      <c r="B1062" s="3" t="s">
        <v>713</v>
      </c>
      <c r="C1062" s="4">
        <v>45574</v>
      </c>
      <c r="D1062" s="3" t="s">
        <v>59</v>
      </c>
      <c r="E1062" s="4">
        <v>45582</v>
      </c>
      <c r="F1062" s="4">
        <v>45587</v>
      </c>
      <c r="G1062" s="3" t="s">
        <v>45</v>
      </c>
      <c r="H1062" s="3" t="s">
        <v>60</v>
      </c>
      <c r="I1062" s="3" t="s">
        <v>39</v>
      </c>
      <c r="J1062" s="3" t="s">
        <v>46</v>
      </c>
      <c r="K1062" s="3">
        <v>8</v>
      </c>
      <c r="L1062" s="3">
        <v>5</v>
      </c>
      <c r="M1062" s="3">
        <v>5010</v>
      </c>
      <c r="N1062" s="3">
        <v>25050</v>
      </c>
      <c r="O1062" s="3">
        <v>25050</v>
      </c>
      <c r="P1062" s="3" t="s">
        <v>51</v>
      </c>
      <c r="Q1062" s="3">
        <v>0</v>
      </c>
      <c r="R1062" s="3" t="str">
        <f t="shared" si="16"/>
        <v>Not Cancelled</v>
      </c>
      <c r="S1062" s="3" t="s">
        <v>25</v>
      </c>
    </row>
    <row r="1063" spans="1:19" x14ac:dyDescent="0.35">
      <c r="A1063" s="3">
        <v>2062</v>
      </c>
      <c r="B1063" s="3" t="s">
        <v>849</v>
      </c>
      <c r="C1063" s="4">
        <v>45405</v>
      </c>
      <c r="D1063" s="3" t="s">
        <v>179</v>
      </c>
      <c r="E1063" s="4">
        <v>45445</v>
      </c>
      <c r="F1063" s="4">
        <v>45447</v>
      </c>
      <c r="G1063" s="3" t="s">
        <v>28</v>
      </c>
      <c r="H1063" s="3" t="s">
        <v>21</v>
      </c>
      <c r="I1063" s="3" t="s">
        <v>22</v>
      </c>
      <c r="J1063" s="3" t="s">
        <v>46</v>
      </c>
      <c r="K1063" s="3">
        <v>40</v>
      </c>
      <c r="L1063" s="3">
        <v>2</v>
      </c>
      <c r="M1063" s="3">
        <v>7136</v>
      </c>
      <c r="N1063" s="3">
        <v>14272</v>
      </c>
      <c r="O1063" s="3">
        <v>0</v>
      </c>
      <c r="P1063" s="3" t="s">
        <v>24</v>
      </c>
      <c r="Q1063" s="3">
        <v>1</v>
      </c>
      <c r="R1063" s="3" t="str">
        <f t="shared" si="16"/>
        <v>Cancelled</v>
      </c>
      <c r="S1063" s="3" t="s">
        <v>31</v>
      </c>
    </row>
    <row r="1064" spans="1:19" x14ac:dyDescent="0.35">
      <c r="A1064" s="3">
        <v>2063</v>
      </c>
      <c r="B1064" s="3" t="s">
        <v>850</v>
      </c>
      <c r="C1064" s="4">
        <v>45654</v>
      </c>
      <c r="D1064" s="3" t="s">
        <v>96</v>
      </c>
      <c r="E1064" s="4">
        <v>45713</v>
      </c>
      <c r="F1064" s="4">
        <v>45714</v>
      </c>
      <c r="G1064" s="3" t="s">
        <v>34</v>
      </c>
      <c r="H1064" s="3" t="s">
        <v>21</v>
      </c>
      <c r="I1064" s="3" t="s">
        <v>22</v>
      </c>
      <c r="J1064" s="3" t="s">
        <v>46</v>
      </c>
      <c r="K1064" s="3">
        <v>59</v>
      </c>
      <c r="L1064" s="3">
        <v>1</v>
      </c>
      <c r="M1064" s="3">
        <v>4149</v>
      </c>
      <c r="N1064" s="3">
        <v>4149</v>
      </c>
      <c r="O1064" s="3">
        <v>0</v>
      </c>
      <c r="P1064" s="3" t="s">
        <v>24</v>
      </c>
      <c r="Q1064" s="3">
        <v>1</v>
      </c>
      <c r="R1064" s="3" t="str">
        <f t="shared" si="16"/>
        <v>Cancelled</v>
      </c>
      <c r="S1064" s="3" t="s">
        <v>25</v>
      </c>
    </row>
    <row r="1065" spans="1:19" x14ac:dyDescent="0.35">
      <c r="A1065" s="3">
        <v>2064</v>
      </c>
      <c r="B1065" s="3" t="s">
        <v>56</v>
      </c>
      <c r="C1065" s="4">
        <v>45331</v>
      </c>
      <c r="D1065" s="3" t="s">
        <v>100</v>
      </c>
      <c r="E1065" s="4">
        <v>45388</v>
      </c>
      <c r="F1065" s="4">
        <v>45390</v>
      </c>
      <c r="G1065" s="3" t="s">
        <v>28</v>
      </c>
      <c r="H1065" s="3" t="s">
        <v>21</v>
      </c>
      <c r="I1065" s="3" t="s">
        <v>22</v>
      </c>
      <c r="J1065" s="3" t="s">
        <v>46</v>
      </c>
      <c r="K1065" s="3">
        <v>57</v>
      </c>
      <c r="L1065" s="3">
        <v>2</v>
      </c>
      <c r="M1065" s="3">
        <v>6190</v>
      </c>
      <c r="N1065" s="3">
        <v>12380</v>
      </c>
      <c r="O1065" s="3">
        <v>0</v>
      </c>
      <c r="P1065" s="3" t="s">
        <v>24</v>
      </c>
      <c r="Q1065" s="3">
        <v>1</v>
      </c>
      <c r="R1065" s="3" t="str">
        <f t="shared" si="16"/>
        <v>Cancelled</v>
      </c>
      <c r="S1065" s="3" t="s">
        <v>31</v>
      </c>
    </row>
    <row r="1066" spans="1:19" x14ac:dyDescent="0.35">
      <c r="A1066" s="3">
        <v>2065</v>
      </c>
      <c r="B1066" s="3" t="s">
        <v>811</v>
      </c>
      <c r="C1066" s="4">
        <v>45511</v>
      </c>
      <c r="D1066" s="3" t="s">
        <v>179</v>
      </c>
      <c r="E1066" s="4">
        <v>45551</v>
      </c>
      <c r="F1066" s="4">
        <v>45552</v>
      </c>
      <c r="G1066" s="3" t="s">
        <v>34</v>
      </c>
      <c r="H1066" s="3" t="s">
        <v>29</v>
      </c>
      <c r="I1066" s="3" t="s">
        <v>39</v>
      </c>
      <c r="J1066" s="3" t="s">
        <v>30</v>
      </c>
      <c r="K1066" s="3">
        <v>40</v>
      </c>
      <c r="L1066" s="3">
        <v>1</v>
      </c>
      <c r="M1066" s="3">
        <v>8541</v>
      </c>
      <c r="N1066" s="3">
        <v>8541</v>
      </c>
      <c r="O1066" s="3">
        <v>0</v>
      </c>
      <c r="P1066" s="3" t="s">
        <v>24</v>
      </c>
      <c r="Q1066" s="3">
        <v>1</v>
      </c>
      <c r="R1066" s="3" t="str">
        <f t="shared" si="16"/>
        <v>Cancelled</v>
      </c>
      <c r="S1066" s="3" t="s">
        <v>31</v>
      </c>
    </row>
    <row r="1067" spans="1:19" x14ac:dyDescent="0.35">
      <c r="A1067" s="3">
        <v>2066</v>
      </c>
      <c r="B1067" s="3" t="s">
        <v>594</v>
      </c>
      <c r="C1067" s="4">
        <v>45420</v>
      </c>
      <c r="D1067" s="3" t="s">
        <v>64</v>
      </c>
      <c r="E1067" s="4">
        <v>45465</v>
      </c>
      <c r="F1067" s="4">
        <v>45468</v>
      </c>
      <c r="G1067" s="3" t="s">
        <v>20</v>
      </c>
      <c r="H1067" s="3" t="s">
        <v>21</v>
      </c>
      <c r="I1067" s="3" t="s">
        <v>39</v>
      </c>
      <c r="J1067" s="3" t="s">
        <v>46</v>
      </c>
      <c r="K1067" s="3">
        <v>45</v>
      </c>
      <c r="L1067" s="3">
        <v>3</v>
      </c>
      <c r="M1067" s="3">
        <v>5935</v>
      </c>
      <c r="N1067" s="3">
        <v>17805</v>
      </c>
      <c r="O1067" s="3">
        <v>0</v>
      </c>
      <c r="P1067" s="3" t="s">
        <v>24</v>
      </c>
      <c r="Q1067" s="3">
        <v>1</v>
      </c>
      <c r="R1067" s="3" t="str">
        <f t="shared" si="16"/>
        <v>Cancelled</v>
      </c>
      <c r="S1067" s="3" t="s">
        <v>25</v>
      </c>
    </row>
    <row r="1068" spans="1:19" x14ac:dyDescent="0.35">
      <c r="A1068" s="3">
        <v>2067</v>
      </c>
      <c r="B1068" s="3" t="s">
        <v>476</v>
      </c>
      <c r="C1068" s="4">
        <v>45299</v>
      </c>
      <c r="D1068" s="3" t="s">
        <v>96</v>
      </c>
      <c r="E1068" s="4">
        <v>45358</v>
      </c>
      <c r="F1068" s="4">
        <v>45362</v>
      </c>
      <c r="G1068" s="3" t="s">
        <v>42</v>
      </c>
      <c r="H1068" s="3" t="s">
        <v>29</v>
      </c>
      <c r="I1068" s="3" t="s">
        <v>22</v>
      </c>
      <c r="J1068" s="3" t="s">
        <v>30</v>
      </c>
      <c r="K1068" s="3">
        <v>59</v>
      </c>
      <c r="L1068" s="3">
        <v>4</v>
      </c>
      <c r="M1068" s="3">
        <v>5701</v>
      </c>
      <c r="N1068" s="3">
        <v>22804</v>
      </c>
      <c r="O1068" s="3">
        <v>0</v>
      </c>
      <c r="P1068" s="3" t="s">
        <v>51</v>
      </c>
      <c r="Q1068" s="3">
        <v>1</v>
      </c>
      <c r="R1068" s="3" t="str">
        <f t="shared" si="16"/>
        <v>Cancelled</v>
      </c>
      <c r="S1068" s="3" t="s">
        <v>25</v>
      </c>
    </row>
    <row r="1069" spans="1:19" x14ac:dyDescent="0.35">
      <c r="A1069" s="3">
        <v>2068</v>
      </c>
      <c r="B1069" s="3" t="s">
        <v>851</v>
      </c>
      <c r="C1069" s="4">
        <v>45392</v>
      </c>
      <c r="D1069" s="3" t="s">
        <v>28</v>
      </c>
      <c r="E1069" s="4">
        <v>45394</v>
      </c>
      <c r="F1069" s="4">
        <v>45396</v>
      </c>
      <c r="G1069" s="3" t="s">
        <v>28</v>
      </c>
      <c r="H1069" s="3" t="s">
        <v>35</v>
      </c>
      <c r="I1069" s="3" t="s">
        <v>39</v>
      </c>
      <c r="J1069" s="3" t="s">
        <v>23</v>
      </c>
      <c r="K1069" s="3">
        <v>2</v>
      </c>
      <c r="L1069" s="3">
        <v>2</v>
      </c>
      <c r="M1069" s="3">
        <v>6679</v>
      </c>
      <c r="N1069" s="3">
        <v>13358</v>
      </c>
      <c r="O1069" s="3">
        <v>13358</v>
      </c>
      <c r="P1069" s="3" t="s">
        <v>24</v>
      </c>
      <c r="Q1069" s="3">
        <v>0</v>
      </c>
      <c r="R1069" s="3" t="str">
        <f t="shared" si="16"/>
        <v>Not Cancelled</v>
      </c>
      <c r="S1069" s="3" t="s">
        <v>31</v>
      </c>
    </row>
    <row r="1070" spans="1:19" x14ac:dyDescent="0.35">
      <c r="A1070" s="3">
        <v>2069</v>
      </c>
      <c r="B1070" s="3" t="s">
        <v>806</v>
      </c>
      <c r="C1070" s="4">
        <v>45467</v>
      </c>
      <c r="D1070" s="3" t="s">
        <v>50</v>
      </c>
      <c r="E1070" s="4">
        <v>45497</v>
      </c>
      <c r="F1070" s="4">
        <v>45502</v>
      </c>
      <c r="G1070" s="3" t="s">
        <v>45</v>
      </c>
      <c r="H1070" s="3" t="s">
        <v>29</v>
      </c>
      <c r="I1070" s="3" t="s">
        <v>39</v>
      </c>
      <c r="J1070" s="3" t="s">
        <v>23</v>
      </c>
      <c r="K1070" s="3">
        <v>30</v>
      </c>
      <c r="L1070" s="3">
        <v>5</v>
      </c>
      <c r="M1070" s="3">
        <v>6866</v>
      </c>
      <c r="N1070" s="3">
        <v>34330</v>
      </c>
      <c r="O1070" s="3">
        <v>34330</v>
      </c>
      <c r="P1070" s="3" t="s">
        <v>51</v>
      </c>
      <c r="Q1070" s="3">
        <v>0</v>
      </c>
      <c r="R1070" s="3" t="str">
        <f t="shared" si="16"/>
        <v>Not Cancelled</v>
      </c>
      <c r="S1070" s="3" t="s">
        <v>31</v>
      </c>
    </row>
    <row r="1071" spans="1:19" x14ac:dyDescent="0.35">
      <c r="A1071" s="3">
        <v>2070</v>
      </c>
      <c r="B1071" s="3" t="s">
        <v>852</v>
      </c>
      <c r="C1071" s="4">
        <v>45398</v>
      </c>
      <c r="D1071" s="3" t="s">
        <v>50</v>
      </c>
      <c r="E1071" s="4">
        <v>45428</v>
      </c>
      <c r="F1071" s="4">
        <v>45431</v>
      </c>
      <c r="G1071" s="3" t="s">
        <v>20</v>
      </c>
      <c r="H1071" s="3" t="s">
        <v>21</v>
      </c>
      <c r="I1071" s="3" t="s">
        <v>39</v>
      </c>
      <c r="J1071" s="3" t="s">
        <v>23</v>
      </c>
      <c r="K1071" s="3">
        <v>30</v>
      </c>
      <c r="L1071" s="3">
        <v>3</v>
      </c>
      <c r="M1071" s="3">
        <v>4791</v>
      </c>
      <c r="N1071" s="3">
        <v>14373</v>
      </c>
      <c r="O1071" s="3">
        <v>0</v>
      </c>
      <c r="P1071" s="3" t="s">
        <v>51</v>
      </c>
      <c r="Q1071" s="3">
        <v>1</v>
      </c>
      <c r="R1071" s="3" t="str">
        <f t="shared" si="16"/>
        <v>Cancelled</v>
      </c>
      <c r="S1071" s="3" t="s">
        <v>31</v>
      </c>
    </row>
    <row r="1072" spans="1:19" x14ac:dyDescent="0.35">
      <c r="A1072" s="3">
        <v>2071</v>
      </c>
      <c r="B1072" s="3" t="s">
        <v>315</v>
      </c>
      <c r="C1072" s="4">
        <v>45392</v>
      </c>
      <c r="D1072" s="3" t="s">
        <v>102</v>
      </c>
      <c r="E1072" s="4">
        <v>45404</v>
      </c>
      <c r="F1072" s="4">
        <v>45405</v>
      </c>
      <c r="G1072" s="3" t="s">
        <v>34</v>
      </c>
      <c r="H1072" s="3" t="s">
        <v>38</v>
      </c>
      <c r="I1072" s="3" t="s">
        <v>39</v>
      </c>
      <c r="J1072" s="3" t="s">
        <v>46</v>
      </c>
      <c r="K1072" s="3">
        <v>12</v>
      </c>
      <c r="L1072" s="3">
        <v>1</v>
      </c>
      <c r="M1072" s="3">
        <v>6983</v>
      </c>
      <c r="N1072" s="3">
        <v>6983</v>
      </c>
      <c r="O1072" s="3">
        <v>6983</v>
      </c>
      <c r="P1072" s="3" t="s">
        <v>51</v>
      </c>
      <c r="Q1072" s="3">
        <v>0</v>
      </c>
      <c r="R1072" s="3" t="str">
        <f t="shared" si="16"/>
        <v>Not Cancelled</v>
      </c>
      <c r="S1072" s="3" t="s">
        <v>31</v>
      </c>
    </row>
    <row r="1073" spans="1:19" x14ac:dyDescent="0.35">
      <c r="A1073" s="3">
        <v>2072</v>
      </c>
      <c r="B1073" s="3" t="s">
        <v>562</v>
      </c>
      <c r="C1073" s="4">
        <v>45551</v>
      </c>
      <c r="D1073" s="3" t="s">
        <v>37</v>
      </c>
      <c r="E1073" s="4">
        <v>45561</v>
      </c>
      <c r="F1073" s="4">
        <v>45563</v>
      </c>
      <c r="G1073" s="3" t="s">
        <v>28</v>
      </c>
      <c r="H1073" s="3" t="s">
        <v>38</v>
      </c>
      <c r="I1073" s="3" t="s">
        <v>22</v>
      </c>
      <c r="J1073" s="3" t="s">
        <v>46</v>
      </c>
      <c r="K1073" s="3">
        <v>10</v>
      </c>
      <c r="L1073" s="3">
        <v>2</v>
      </c>
      <c r="M1073" s="3">
        <v>2713</v>
      </c>
      <c r="N1073" s="3">
        <v>5426</v>
      </c>
      <c r="O1073" s="3">
        <v>0</v>
      </c>
      <c r="P1073" s="3" t="s">
        <v>51</v>
      </c>
      <c r="Q1073" s="3">
        <v>1</v>
      </c>
      <c r="R1073" s="3" t="str">
        <f t="shared" si="16"/>
        <v>Cancelled</v>
      </c>
      <c r="S1073" s="3" t="s">
        <v>31</v>
      </c>
    </row>
    <row r="1074" spans="1:19" x14ac:dyDescent="0.35">
      <c r="A1074" s="3">
        <v>2073</v>
      </c>
      <c r="B1074" s="3" t="s">
        <v>643</v>
      </c>
      <c r="C1074" s="4">
        <v>45537</v>
      </c>
      <c r="D1074" s="3" t="s">
        <v>62</v>
      </c>
      <c r="E1074" s="4">
        <v>45581</v>
      </c>
      <c r="F1074" s="4">
        <v>45582</v>
      </c>
      <c r="G1074" s="3" t="s">
        <v>34</v>
      </c>
      <c r="H1074" s="3" t="s">
        <v>35</v>
      </c>
      <c r="I1074" s="3" t="s">
        <v>39</v>
      </c>
      <c r="J1074" s="3" t="s">
        <v>46</v>
      </c>
      <c r="K1074" s="3">
        <v>44</v>
      </c>
      <c r="L1074" s="3">
        <v>1</v>
      </c>
      <c r="M1074" s="3">
        <v>5737</v>
      </c>
      <c r="N1074" s="3">
        <v>5737</v>
      </c>
      <c r="O1074" s="3">
        <v>5737</v>
      </c>
      <c r="P1074" s="3" t="s">
        <v>24</v>
      </c>
      <c r="Q1074" s="3">
        <v>0</v>
      </c>
      <c r="R1074" s="3" t="str">
        <f t="shared" si="16"/>
        <v>Not Cancelled</v>
      </c>
      <c r="S1074" s="3" t="s">
        <v>25</v>
      </c>
    </row>
    <row r="1075" spans="1:19" x14ac:dyDescent="0.35">
      <c r="A1075" s="3">
        <v>2074</v>
      </c>
      <c r="B1075" s="3" t="s">
        <v>163</v>
      </c>
      <c r="C1075" s="4">
        <v>45566</v>
      </c>
      <c r="D1075" s="3" t="s">
        <v>75</v>
      </c>
      <c r="E1075" s="4">
        <v>45577</v>
      </c>
      <c r="F1075" s="4">
        <v>45578</v>
      </c>
      <c r="G1075" s="3" t="s">
        <v>34</v>
      </c>
      <c r="H1075" s="3" t="s">
        <v>21</v>
      </c>
      <c r="I1075" s="3" t="s">
        <v>22</v>
      </c>
      <c r="J1075" s="3" t="s">
        <v>23</v>
      </c>
      <c r="K1075" s="3">
        <v>11</v>
      </c>
      <c r="L1075" s="3">
        <v>1</v>
      </c>
      <c r="M1075" s="3">
        <v>6362</v>
      </c>
      <c r="N1075" s="3">
        <v>6362</v>
      </c>
      <c r="O1075" s="3">
        <v>6362</v>
      </c>
      <c r="P1075" s="3" t="s">
        <v>51</v>
      </c>
      <c r="Q1075" s="3">
        <v>0</v>
      </c>
      <c r="R1075" s="3" t="str">
        <f t="shared" si="16"/>
        <v>Not Cancelled</v>
      </c>
      <c r="S1075" s="3" t="s">
        <v>31</v>
      </c>
    </row>
    <row r="1076" spans="1:19" x14ac:dyDescent="0.35">
      <c r="A1076" s="3">
        <v>2075</v>
      </c>
      <c r="B1076" s="3" t="s">
        <v>377</v>
      </c>
      <c r="C1076" s="4">
        <v>45323</v>
      </c>
      <c r="D1076" s="3" t="s">
        <v>277</v>
      </c>
      <c r="E1076" s="4">
        <v>45338</v>
      </c>
      <c r="F1076" s="4">
        <v>45339</v>
      </c>
      <c r="G1076" s="3" t="s">
        <v>34</v>
      </c>
      <c r="H1076" s="3" t="s">
        <v>29</v>
      </c>
      <c r="I1076" s="3" t="s">
        <v>39</v>
      </c>
      <c r="J1076" s="3" t="s">
        <v>23</v>
      </c>
      <c r="K1076" s="3">
        <v>15</v>
      </c>
      <c r="L1076" s="3">
        <v>1</v>
      </c>
      <c r="M1076" s="3">
        <v>2558</v>
      </c>
      <c r="N1076" s="3">
        <v>2558</v>
      </c>
      <c r="O1076" s="3">
        <v>0</v>
      </c>
      <c r="P1076" s="3" t="s">
        <v>24</v>
      </c>
      <c r="Q1076" s="3">
        <v>1</v>
      </c>
      <c r="R1076" s="3" t="str">
        <f t="shared" si="16"/>
        <v>Cancelled</v>
      </c>
      <c r="S1076" s="3" t="s">
        <v>31</v>
      </c>
    </row>
    <row r="1077" spans="1:19" x14ac:dyDescent="0.35">
      <c r="A1077" s="3">
        <v>2076</v>
      </c>
      <c r="B1077" s="3" t="s">
        <v>853</v>
      </c>
      <c r="C1077" s="4">
        <v>45428</v>
      </c>
      <c r="D1077" s="3" t="s">
        <v>88</v>
      </c>
      <c r="E1077" s="4">
        <v>45444</v>
      </c>
      <c r="F1077" s="4">
        <v>45448</v>
      </c>
      <c r="G1077" s="3" t="s">
        <v>42</v>
      </c>
      <c r="H1077" s="3" t="s">
        <v>38</v>
      </c>
      <c r="I1077" s="3" t="s">
        <v>22</v>
      </c>
      <c r="J1077" s="3" t="s">
        <v>23</v>
      </c>
      <c r="K1077" s="3">
        <v>16</v>
      </c>
      <c r="L1077" s="3">
        <v>4</v>
      </c>
      <c r="M1077" s="3">
        <v>8221</v>
      </c>
      <c r="N1077" s="3">
        <v>32884</v>
      </c>
      <c r="O1077" s="3">
        <v>32884</v>
      </c>
      <c r="P1077" s="3" t="s">
        <v>51</v>
      </c>
      <c r="Q1077" s="3">
        <v>0</v>
      </c>
      <c r="R1077" s="3" t="str">
        <f t="shared" si="16"/>
        <v>Not Cancelled</v>
      </c>
      <c r="S1077" s="3" t="s">
        <v>31</v>
      </c>
    </row>
    <row r="1078" spans="1:19" x14ac:dyDescent="0.35">
      <c r="A1078" s="3">
        <v>2077</v>
      </c>
      <c r="B1078" s="3" t="s">
        <v>854</v>
      </c>
      <c r="C1078" s="4">
        <v>45303</v>
      </c>
      <c r="D1078" s="3" t="s">
        <v>71</v>
      </c>
      <c r="E1078" s="4">
        <v>45320</v>
      </c>
      <c r="F1078" s="4">
        <v>45324</v>
      </c>
      <c r="G1078" s="3" t="s">
        <v>42</v>
      </c>
      <c r="H1078" s="3" t="s">
        <v>60</v>
      </c>
      <c r="I1078" s="3" t="s">
        <v>22</v>
      </c>
      <c r="J1078" s="3" t="s">
        <v>23</v>
      </c>
      <c r="K1078" s="3">
        <v>17</v>
      </c>
      <c r="L1078" s="3">
        <v>4</v>
      </c>
      <c r="M1078" s="3">
        <v>5430</v>
      </c>
      <c r="N1078" s="3">
        <v>21720</v>
      </c>
      <c r="O1078" s="3">
        <v>0</v>
      </c>
      <c r="P1078" s="3" t="s">
        <v>24</v>
      </c>
      <c r="Q1078" s="3">
        <v>1</v>
      </c>
      <c r="R1078" s="3" t="str">
        <f t="shared" si="16"/>
        <v>Cancelled</v>
      </c>
      <c r="S1078" s="3" t="s">
        <v>25</v>
      </c>
    </row>
    <row r="1079" spans="1:19" x14ac:dyDescent="0.35">
      <c r="A1079" s="3">
        <v>2078</v>
      </c>
      <c r="B1079" s="3" t="s">
        <v>606</v>
      </c>
      <c r="C1079" s="4">
        <v>45593</v>
      </c>
      <c r="D1079" s="3" t="s">
        <v>98</v>
      </c>
      <c r="E1079" s="4">
        <v>45619</v>
      </c>
      <c r="F1079" s="4">
        <v>45624</v>
      </c>
      <c r="G1079" s="3" t="s">
        <v>45</v>
      </c>
      <c r="H1079" s="3" t="s">
        <v>21</v>
      </c>
      <c r="I1079" s="3" t="s">
        <v>39</v>
      </c>
      <c r="J1079" s="3" t="s">
        <v>30</v>
      </c>
      <c r="K1079" s="3">
        <v>26</v>
      </c>
      <c r="L1079" s="3">
        <v>5</v>
      </c>
      <c r="M1079" s="3">
        <v>7438</v>
      </c>
      <c r="N1079" s="3">
        <v>37190</v>
      </c>
      <c r="O1079" s="3">
        <v>37190</v>
      </c>
      <c r="P1079" s="3" t="s">
        <v>24</v>
      </c>
      <c r="Q1079" s="3">
        <v>0</v>
      </c>
      <c r="R1079" s="3" t="str">
        <f t="shared" si="16"/>
        <v>Not Cancelled</v>
      </c>
      <c r="S1079" s="3" t="s">
        <v>25</v>
      </c>
    </row>
    <row r="1080" spans="1:19" x14ac:dyDescent="0.35">
      <c r="A1080" s="3">
        <v>2079</v>
      </c>
      <c r="B1080" s="3" t="s">
        <v>452</v>
      </c>
      <c r="C1080" s="4">
        <v>45307</v>
      </c>
      <c r="D1080" s="3" t="s">
        <v>28</v>
      </c>
      <c r="E1080" s="4">
        <v>45309</v>
      </c>
      <c r="F1080" s="4">
        <v>45311</v>
      </c>
      <c r="G1080" s="3" t="s">
        <v>28</v>
      </c>
      <c r="H1080" s="3" t="s">
        <v>21</v>
      </c>
      <c r="I1080" s="3" t="s">
        <v>22</v>
      </c>
      <c r="J1080" s="3" t="s">
        <v>30</v>
      </c>
      <c r="K1080" s="3">
        <v>2</v>
      </c>
      <c r="L1080" s="3">
        <v>2</v>
      </c>
      <c r="M1080" s="3">
        <v>5471</v>
      </c>
      <c r="N1080" s="3">
        <v>10942</v>
      </c>
      <c r="O1080" s="3">
        <v>10942</v>
      </c>
      <c r="P1080" s="3" t="s">
        <v>51</v>
      </c>
      <c r="Q1080" s="3">
        <v>0</v>
      </c>
      <c r="R1080" s="3" t="str">
        <f t="shared" si="16"/>
        <v>Not Cancelled</v>
      </c>
      <c r="S1080" s="3" t="s">
        <v>31</v>
      </c>
    </row>
    <row r="1081" spans="1:19" x14ac:dyDescent="0.35">
      <c r="A1081" s="3">
        <v>2080</v>
      </c>
      <c r="B1081" s="3" t="s">
        <v>576</v>
      </c>
      <c r="C1081" s="4">
        <v>45420</v>
      </c>
      <c r="D1081" s="3" t="s">
        <v>78</v>
      </c>
      <c r="E1081" s="4">
        <v>45470</v>
      </c>
      <c r="F1081" s="4">
        <v>45473</v>
      </c>
      <c r="G1081" s="3" t="s">
        <v>20</v>
      </c>
      <c r="H1081" s="3" t="s">
        <v>60</v>
      </c>
      <c r="I1081" s="3" t="s">
        <v>22</v>
      </c>
      <c r="J1081" s="3" t="s">
        <v>46</v>
      </c>
      <c r="K1081" s="3">
        <v>50</v>
      </c>
      <c r="L1081" s="3">
        <v>3</v>
      </c>
      <c r="M1081" s="3">
        <v>4027</v>
      </c>
      <c r="N1081" s="3">
        <v>12081</v>
      </c>
      <c r="O1081" s="3">
        <v>0</v>
      </c>
      <c r="P1081" s="3" t="s">
        <v>24</v>
      </c>
      <c r="Q1081" s="3">
        <v>1</v>
      </c>
      <c r="R1081" s="3" t="str">
        <f t="shared" si="16"/>
        <v>Cancelled</v>
      </c>
      <c r="S1081" s="3" t="s">
        <v>31</v>
      </c>
    </row>
    <row r="1082" spans="1:19" x14ac:dyDescent="0.35">
      <c r="A1082" s="3">
        <v>2081</v>
      </c>
      <c r="B1082" s="3" t="s">
        <v>855</v>
      </c>
      <c r="C1082" s="4">
        <v>45354</v>
      </c>
      <c r="D1082" s="3" t="s">
        <v>102</v>
      </c>
      <c r="E1082" s="4">
        <v>45366</v>
      </c>
      <c r="F1082" s="4">
        <v>45369</v>
      </c>
      <c r="G1082" s="3" t="s">
        <v>20</v>
      </c>
      <c r="H1082" s="3" t="s">
        <v>38</v>
      </c>
      <c r="I1082" s="3" t="s">
        <v>39</v>
      </c>
      <c r="J1082" s="3" t="s">
        <v>46</v>
      </c>
      <c r="K1082" s="3">
        <v>12</v>
      </c>
      <c r="L1082" s="3">
        <v>3</v>
      </c>
      <c r="M1082" s="3">
        <v>8325</v>
      </c>
      <c r="N1082" s="3">
        <v>24975</v>
      </c>
      <c r="O1082" s="3">
        <v>24975</v>
      </c>
      <c r="P1082" s="3" t="s">
        <v>51</v>
      </c>
      <c r="Q1082" s="3">
        <v>0</v>
      </c>
      <c r="R1082" s="3" t="str">
        <f t="shared" si="16"/>
        <v>Not Cancelled</v>
      </c>
      <c r="S1082" s="3" t="s">
        <v>25</v>
      </c>
    </row>
    <row r="1083" spans="1:19" x14ac:dyDescent="0.35">
      <c r="A1083" s="3">
        <v>2082</v>
      </c>
      <c r="B1083" s="3" t="s">
        <v>784</v>
      </c>
      <c r="C1083" s="4">
        <v>45400</v>
      </c>
      <c r="D1083" s="3" t="s">
        <v>124</v>
      </c>
      <c r="E1083" s="4">
        <v>45451</v>
      </c>
      <c r="F1083" s="4">
        <v>45454</v>
      </c>
      <c r="G1083" s="3" t="s">
        <v>20</v>
      </c>
      <c r="H1083" s="3" t="s">
        <v>60</v>
      </c>
      <c r="I1083" s="3" t="s">
        <v>22</v>
      </c>
      <c r="J1083" s="3" t="s">
        <v>23</v>
      </c>
      <c r="K1083" s="3">
        <v>51</v>
      </c>
      <c r="L1083" s="3">
        <v>3</v>
      </c>
      <c r="M1083" s="3">
        <v>2622</v>
      </c>
      <c r="N1083" s="3">
        <v>7866</v>
      </c>
      <c r="O1083" s="3">
        <v>0</v>
      </c>
      <c r="P1083" s="3" t="s">
        <v>24</v>
      </c>
      <c r="Q1083" s="3">
        <v>1</v>
      </c>
      <c r="R1083" s="3" t="str">
        <f t="shared" si="16"/>
        <v>Cancelled</v>
      </c>
      <c r="S1083" s="3" t="s">
        <v>25</v>
      </c>
    </row>
    <row r="1084" spans="1:19" x14ac:dyDescent="0.35">
      <c r="A1084" s="3">
        <v>2083</v>
      </c>
      <c r="B1084" s="3" t="s">
        <v>830</v>
      </c>
      <c r="C1084" s="4">
        <v>45312</v>
      </c>
      <c r="D1084" s="3" t="s">
        <v>98</v>
      </c>
      <c r="E1084" s="4">
        <v>45338</v>
      </c>
      <c r="F1084" s="4">
        <v>45339</v>
      </c>
      <c r="G1084" s="3" t="s">
        <v>34</v>
      </c>
      <c r="H1084" s="3" t="s">
        <v>35</v>
      </c>
      <c r="I1084" s="3" t="s">
        <v>39</v>
      </c>
      <c r="J1084" s="3" t="s">
        <v>30</v>
      </c>
      <c r="K1084" s="3">
        <v>26</v>
      </c>
      <c r="L1084" s="3">
        <v>1</v>
      </c>
      <c r="M1084" s="3">
        <v>6219</v>
      </c>
      <c r="N1084" s="3">
        <v>6219</v>
      </c>
      <c r="O1084" s="3">
        <v>0</v>
      </c>
      <c r="P1084" s="3" t="s">
        <v>51</v>
      </c>
      <c r="Q1084" s="3">
        <v>1</v>
      </c>
      <c r="R1084" s="3" t="str">
        <f t="shared" si="16"/>
        <v>Cancelled</v>
      </c>
      <c r="S1084" s="3" t="s">
        <v>25</v>
      </c>
    </row>
    <row r="1085" spans="1:19" x14ac:dyDescent="0.35">
      <c r="A1085" s="3">
        <v>2084</v>
      </c>
      <c r="B1085" s="3" t="s">
        <v>824</v>
      </c>
      <c r="C1085" s="4">
        <v>45449</v>
      </c>
      <c r="D1085" s="3" t="s">
        <v>111</v>
      </c>
      <c r="E1085" s="4">
        <v>45472</v>
      </c>
      <c r="F1085" s="4">
        <v>45476</v>
      </c>
      <c r="G1085" s="3" t="s">
        <v>42</v>
      </c>
      <c r="H1085" s="3" t="s">
        <v>29</v>
      </c>
      <c r="I1085" s="3" t="s">
        <v>22</v>
      </c>
      <c r="J1085" s="3" t="s">
        <v>30</v>
      </c>
      <c r="K1085" s="3">
        <v>23</v>
      </c>
      <c r="L1085" s="3">
        <v>4</v>
      </c>
      <c r="M1085" s="3">
        <v>3936</v>
      </c>
      <c r="N1085" s="3">
        <v>15744</v>
      </c>
      <c r="O1085" s="3">
        <v>15744</v>
      </c>
      <c r="P1085" s="3" t="s">
        <v>51</v>
      </c>
      <c r="Q1085" s="3">
        <v>0</v>
      </c>
      <c r="R1085" s="3" t="str">
        <f t="shared" si="16"/>
        <v>Not Cancelled</v>
      </c>
      <c r="S1085" s="3" t="s">
        <v>25</v>
      </c>
    </row>
    <row r="1086" spans="1:19" x14ac:dyDescent="0.35">
      <c r="A1086" s="3">
        <v>2085</v>
      </c>
      <c r="B1086" s="3" t="s">
        <v>856</v>
      </c>
      <c r="C1086" s="4">
        <v>45560</v>
      </c>
      <c r="D1086" s="3" t="s">
        <v>27</v>
      </c>
      <c r="E1086" s="4">
        <v>45578</v>
      </c>
      <c r="F1086" s="4">
        <v>45580</v>
      </c>
      <c r="G1086" s="3" t="s">
        <v>28</v>
      </c>
      <c r="H1086" s="3" t="s">
        <v>29</v>
      </c>
      <c r="I1086" s="3" t="s">
        <v>39</v>
      </c>
      <c r="J1086" s="3" t="s">
        <v>46</v>
      </c>
      <c r="K1086" s="3">
        <v>18</v>
      </c>
      <c r="L1086" s="3">
        <v>2</v>
      </c>
      <c r="M1086" s="3">
        <v>3662</v>
      </c>
      <c r="N1086" s="3">
        <v>7324</v>
      </c>
      <c r="O1086" s="3">
        <v>7324</v>
      </c>
      <c r="P1086" s="3" t="s">
        <v>24</v>
      </c>
      <c r="Q1086" s="3">
        <v>0</v>
      </c>
      <c r="R1086" s="3" t="str">
        <f t="shared" si="16"/>
        <v>Not Cancelled</v>
      </c>
      <c r="S1086" s="3" t="s">
        <v>31</v>
      </c>
    </row>
    <row r="1087" spans="1:19" x14ac:dyDescent="0.35">
      <c r="A1087" s="3">
        <v>2086</v>
      </c>
      <c r="B1087" s="3" t="s">
        <v>123</v>
      </c>
      <c r="C1087" s="4">
        <v>45453</v>
      </c>
      <c r="D1087" s="3" t="s">
        <v>144</v>
      </c>
      <c r="E1087" s="4">
        <v>45485</v>
      </c>
      <c r="F1087" s="4">
        <v>45486</v>
      </c>
      <c r="G1087" s="3" t="s">
        <v>34</v>
      </c>
      <c r="H1087" s="3" t="s">
        <v>38</v>
      </c>
      <c r="I1087" s="3" t="s">
        <v>39</v>
      </c>
      <c r="J1087" s="3" t="s">
        <v>30</v>
      </c>
      <c r="K1087" s="3">
        <v>32</v>
      </c>
      <c r="L1087" s="3">
        <v>1</v>
      </c>
      <c r="M1087" s="3">
        <v>5800</v>
      </c>
      <c r="N1087" s="3">
        <v>5800</v>
      </c>
      <c r="O1087" s="3">
        <v>0</v>
      </c>
      <c r="P1087" s="3" t="s">
        <v>24</v>
      </c>
      <c r="Q1087" s="3">
        <v>1</v>
      </c>
      <c r="R1087" s="3" t="str">
        <f t="shared" si="16"/>
        <v>Cancelled</v>
      </c>
      <c r="S1087" s="3" t="s">
        <v>25</v>
      </c>
    </row>
    <row r="1088" spans="1:19" x14ac:dyDescent="0.35">
      <c r="A1088" s="3">
        <v>2087</v>
      </c>
      <c r="B1088" s="3" t="s">
        <v>586</v>
      </c>
      <c r="C1088" s="4">
        <v>45551</v>
      </c>
      <c r="D1088" s="3" t="s">
        <v>211</v>
      </c>
      <c r="E1088" s="4">
        <v>45600</v>
      </c>
      <c r="F1088" s="4">
        <v>45604</v>
      </c>
      <c r="G1088" s="3" t="s">
        <v>42</v>
      </c>
      <c r="H1088" s="3" t="s">
        <v>60</v>
      </c>
      <c r="I1088" s="3" t="s">
        <v>39</v>
      </c>
      <c r="J1088" s="3" t="s">
        <v>46</v>
      </c>
      <c r="K1088" s="3">
        <v>49</v>
      </c>
      <c r="L1088" s="3">
        <v>4</v>
      </c>
      <c r="M1088" s="3">
        <v>5845</v>
      </c>
      <c r="N1088" s="3">
        <v>23380</v>
      </c>
      <c r="O1088" s="3">
        <v>0</v>
      </c>
      <c r="P1088" s="3" t="s">
        <v>51</v>
      </c>
      <c r="Q1088" s="3">
        <v>1</v>
      </c>
      <c r="R1088" s="3" t="str">
        <f t="shared" si="16"/>
        <v>Cancelled</v>
      </c>
      <c r="S1088" s="3" t="s">
        <v>31</v>
      </c>
    </row>
    <row r="1089" spans="1:19" x14ac:dyDescent="0.35">
      <c r="A1089" s="3">
        <v>2088</v>
      </c>
      <c r="B1089" s="3" t="s">
        <v>857</v>
      </c>
      <c r="C1089" s="4">
        <v>45393</v>
      </c>
      <c r="D1089" s="3" t="s">
        <v>115</v>
      </c>
      <c r="E1089" s="4">
        <v>45431</v>
      </c>
      <c r="F1089" s="4">
        <v>45435</v>
      </c>
      <c r="G1089" s="3" t="s">
        <v>42</v>
      </c>
      <c r="H1089" s="3" t="s">
        <v>21</v>
      </c>
      <c r="I1089" s="3" t="s">
        <v>39</v>
      </c>
      <c r="J1089" s="3" t="s">
        <v>23</v>
      </c>
      <c r="K1089" s="3">
        <v>38</v>
      </c>
      <c r="L1089" s="3">
        <v>4</v>
      </c>
      <c r="M1089" s="3">
        <v>4986</v>
      </c>
      <c r="N1089" s="3">
        <v>19944</v>
      </c>
      <c r="O1089" s="3">
        <v>19944</v>
      </c>
      <c r="P1089" s="3" t="s">
        <v>51</v>
      </c>
      <c r="Q1089" s="3">
        <v>0</v>
      </c>
      <c r="R1089" s="3" t="str">
        <f t="shared" si="16"/>
        <v>Not Cancelled</v>
      </c>
      <c r="S1089" s="3" t="s">
        <v>31</v>
      </c>
    </row>
    <row r="1090" spans="1:19" x14ac:dyDescent="0.35">
      <c r="A1090" s="3">
        <v>2089</v>
      </c>
      <c r="B1090" s="3" t="s">
        <v>156</v>
      </c>
      <c r="C1090" s="4">
        <v>45514</v>
      </c>
      <c r="D1090" s="3" t="s">
        <v>100</v>
      </c>
      <c r="E1090" s="4">
        <v>45571</v>
      </c>
      <c r="F1090" s="4">
        <v>45573</v>
      </c>
      <c r="G1090" s="3" t="s">
        <v>28</v>
      </c>
      <c r="H1090" s="3" t="s">
        <v>21</v>
      </c>
      <c r="I1090" s="3" t="s">
        <v>39</v>
      </c>
      <c r="J1090" s="3" t="s">
        <v>23</v>
      </c>
      <c r="K1090" s="3">
        <v>57</v>
      </c>
      <c r="L1090" s="3">
        <v>2</v>
      </c>
      <c r="M1090" s="3">
        <v>3061</v>
      </c>
      <c r="N1090" s="3">
        <v>6122</v>
      </c>
      <c r="O1090" s="3">
        <v>0</v>
      </c>
      <c r="P1090" s="3" t="s">
        <v>24</v>
      </c>
      <c r="Q1090" s="3">
        <v>1</v>
      </c>
      <c r="R1090" s="3" t="str">
        <f t="shared" si="16"/>
        <v>Cancelled</v>
      </c>
      <c r="S1090" s="3" t="s">
        <v>25</v>
      </c>
    </row>
    <row r="1091" spans="1:19" x14ac:dyDescent="0.35">
      <c r="A1091" s="3">
        <v>2090</v>
      </c>
      <c r="B1091" s="3" t="s">
        <v>170</v>
      </c>
      <c r="C1091" s="4">
        <v>45350</v>
      </c>
      <c r="D1091" s="3" t="s">
        <v>148</v>
      </c>
      <c r="E1091" s="4">
        <v>45397</v>
      </c>
      <c r="F1091" s="4">
        <v>45399</v>
      </c>
      <c r="G1091" s="3" t="s">
        <v>28</v>
      </c>
      <c r="H1091" s="3" t="s">
        <v>21</v>
      </c>
      <c r="I1091" s="3" t="s">
        <v>22</v>
      </c>
      <c r="J1091" s="3" t="s">
        <v>46</v>
      </c>
      <c r="K1091" s="3">
        <v>47</v>
      </c>
      <c r="L1091" s="3">
        <v>2</v>
      </c>
      <c r="M1091" s="3">
        <v>6481</v>
      </c>
      <c r="N1091" s="3">
        <v>12962</v>
      </c>
      <c r="O1091" s="3">
        <v>0</v>
      </c>
      <c r="P1091" s="3" t="s">
        <v>51</v>
      </c>
      <c r="Q1091" s="3">
        <v>1</v>
      </c>
      <c r="R1091" s="3" t="str">
        <f t="shared" ref="R1091:R1154" si="17">IF(Q1091=0,"Not Cancelled","Cancelled")</f>
        <v>Cancelled</v>
      </c>
      <c r="S1091" s="3" t="s">
        <v>25</v>
      </c>
    </row>
    <row r="1092" spans="1:19" x14ac:dyDescent="0.35">
      <c r="A1092" s="3">
        <v>2091</v>
      </c>
      <c r="B1092" s="3" t="s">
        <v>858</v>
      </c>
      <c r="C1092" s="4">
        <v>45538</v>
      </c>
      <c r="D1092" s="3" t="s">
        <v>20</v>
      </c>
      <c r="E1092" s="4">
        <v>45541</v>
      </c>
      <c r="F1092" s="4">
        <v>45543</v>
      </c>
      <c r="G1092" s="3" t="s">
        <v>28</v>
      </c>
      <c r="H1092" s="3" t="s">
        <v>35</v>
      </c>
      <c r="I1092" s="3" t="s">
        <v>22</v>
      </c>
      <c r="J1092" s="3" t="s">
        <v>23</v>
      </c>
      <c r="K1092" s="3">
        <v>3</v>
      </c>
      <c r="L1092" s="3">
        <v>2</v>
      </c>
      <c r="M1092" s="3">
        <v>8761</v>
      </c>
      <c r="N1092" s="3">
        <v>17522</v>
      </c>
      <c r="O1092" s="3">
        <v>0</v>
      </c>
      <c r="P1092" s="3" t="s">
        <v>51</v>
      </c>
      <c r="Q1092" s="3">
        <v>1</v>
      </c>
      <c r="R1092" s="3" t="str">
        <f t="shared" si="17"/>
        <v>Cancelled</v>
      </c>
      <c r="S1092" s="3" t="s">
        <v>25</v>
      </c>
    </row>
    <row r="1093" spans="1:19" x14ac:dyDescent="0.35">
      <c r="A1093" s="3">
        <v>2092</v>
      </c>
      <c r="B1093" s="3" t="s">
        <v>859</v>
      </c>
      <c r="C1093" s="4">
        <v>45419</v>
      </c>
      <c r="D1093" s="3" t="s">
        <v>115</v>
      </c>
      <c r="E1093" s="4">
        <v>45457</v>
      </c>
      <c r="F1093" s="4">
        <v>45458</v>
      </c>
      <c r="G1093" s="3" t="s">
        <v>34</v>
      </c>
      <c r="H1093" s="3" t="s">
        <v>35</v>
      </c>
      <c r="I1093" s="3" t="s">
        <v>39</v>
      </c>
      <c r="J1093" s="3" t="s">
        <v>23</v>
      </c>
      <c r="K1093" s="3">
        <v>38</v>
      </c>
      <c r="L1093" s="3">
        <v>1</v>
      </c>
      <c r="M1093" s="3">
        <v>4237</v>
      </c>
      <c r="N1093" s="3">
        <v>4237</v>
      </c>
      <c r="O1093" s="3">
        <v>0</v>
      </c>
      <c r="P1093" s="3" t="s">
        <v>51</v>
      </c>
      <c r="Q1093" s="3">
        <v>1</v>
      </c>
      <c r="R1093" s="3" t="str">
        <f t="shared" si="17"/>
        <v>Cancelled</v>
      </c>
      <c r="S1093" s="3" t="s">
        <v>25</v>
      </c>
    </row>
    <row r="1094" spans="1:19" x14ac:dyDescent="0.35">
      <c r="A1094" s="3">
        <v>2093</v>
      </c>
      <c r="B1094" s="3" t="s">
        <v>860</v>
      </c>
      <c r="C1094" s="4">
        <v>45574</v>
      </c>
      <c r="D1094" s="3" t="s">
        <v>20</v>
      </c>
      <c r="E1094" s="4">
        <v>45577</v>
      </c>
      <c r="F1094" s="4">
        <v>45582</v>
      </c>
      <c r="G1094" s="3" t="s">
        <v>45</v>
      </c>
      <c r="H1094" s="3" t="s">
        <v>21</v>
      </c>
      <c r="I1094" s="3" t="s">
        <v>22</v>
      </c>
      <c r="J1094" s="3" t="s">
        <v>30</v>
      </c>
      <c r="K1094" s="3">
        <v>3</v>
      </c>
      <c r="L1094" s="3">
        <v>5</v>
      </c>
      <c r="M1094" s="3">
        <v>3404</v>
      </c>
      <c r="N1094" s="3">
        <v>17020</v>
      </c>
      <c r="O1094" s="3">
        <v>0</v>
      </c>
      <c r="P1094" s="3" t="s">
        <v>24</v>
      </c>
      <c r="Q1094" s="3">
        <v>1</v>
      </c>
      <c r="R1094" s="3" t="str">
        <f t="shared" si="17"/>
        <v>Cancelled</v>
      </c>
      <c r="S1094" s="3" t="s">
        <v>31</v>
      </c>
    </row>
    <row r="1095" spans="1:19" x14ac:dyDescent="0.35">
      <c r="A1095" s="3">
        <v>2094</v>
      </c>
      <c r="B1095" s="3" t="s">
        <v>861</v>
      </c>
      <c r="C1095" s="4">
        <v>45616</v>
      </c>
      <c r="D1095" s="3" t="s">
        <v>50</v>
      </c>
      <c r="E1095" s="4">
        <v>45646</v>
      </c>
      <c r="F1095" s="4">
        <v>45648</v>
      </c>
      <c r="G1095" s="3" t="s">
        <v>28</v>
      </c>
      <c r="H1095" s="3" t="s">
        <v>38</v>
      </c>
      <c r="I1095" s="3" t="s">
        <v>22</v>
      </c>
      <c r="J1095" s="3" t="s">
        <v>30</v>
      </c>
      <c r="K1095" s="3">
        <v>30</v>
      </c>
      <c r="L1095" s="3">
        <v>2</v>
      </c>
      <c r="M1095" s="3">
        <v>6054</v>
      </c>
      <c r="N1095" s="3">
        <v>12108</v>
      </c>
      <c r="O1095" s="3">
        <v>0</v>
      </c>
      <c r="P1095" s="3" t="s">
        <v>51</v>
      </c>
      <c r="Q1095" s="3">
        <v>1</v>
      </c>
      <c r="R1095" s="3" t="str">
        <f t="shared" si="17"/>
        <v>Cancelled</v>
      </c>
      <c r="S1095" s="3" t="s">
        <v>31</v>
      </c>
    </row>
    <row r="1096" spans="1:19" x14ac:dyDescent="0.35">
      <c r="A1096" s="3">
        <v>2095</v>
      </c>
      <c r="B1096" s="3" t="s">
        <v>696</v>
      </c>
      <c r="C1096" s="4">
        <v>45316</v>
      </c>
      <c r="D1096" s="3" t="s">
        <v>34</v>
      </c>
      <c r="E1096" s="4">
        <v>45317</v>
      </c>
      <c r="F1096" s="4">
        <v>45322</v>
      </c>
      <c r="G1096" s="3" t="s">
        <v>45</v>
      </c>
      <c r="H1096" s="3" t="s">
        <v>35</v>
      </c>
      <c r="I1096" s="3" t="s">
        <v>22</v>
      </c>
      <c r="J1096" s="3" t="s">
        <v>30</v>
      </c>
      <c r="K1096" s="3">
        <v>1</v>
      </c>
      <c r="L1096" s="3">
        <v>5</v>
      </c>
      <c r="M1096" s="3">
        <v>6990</v>
      </c>
      <c r="N1096" s="3">
        <v>34950</v>
      </c>
      <c r="O1096" s="3">
        <v>34950</v>
      </c>
      <c r="P1096" s="3" t="s">
        <v>51</v>
      </c>
      <c r="Q1096" s="3">
        <v>0</v>
      </c>
      <c r="R1096" s="3" t="str">
        <f t="shared" si="17"/>
        <v>Not Cancelled</v>
      </c>
      <c r="S1096" s="3" t="s">
        <v>31</v>
      </c>
    </row>
    <row r="1097" spans="1:19" x14ac:dyDescent="0.35">
      <c r="A1097" s="3">
        <v>2096</v>
      </c>
      <c r="B1097" s="3" t="s">
        <v>439</v>
      </c>
      <c r="C1097" s="4">
        <v>45422</v>
      </c>
      <c r="D1097" s="3" t="s">
        <v>50</v>
      </c>
      <c r="E1097" s="4">
        <v>45452</v>
      </c>
      <c r="F1097" s="4">
        <v>45453</v>
      </c>
      <c r="G1097" s="3" t="s">
        <v>34</v>
      </c>
      <c r="H1097" s="3" t="s">
        <v>35</v>
      </c>
      <c r="I1097" s="3" t="s">
        <v>39</v>
      </c>
      <c r="J1097" s="3" t="s">
        <v>30</v>
      </c>
      <c r="K1097" s="3">
        <v>30</v>
      </c>
      <c r="L1097" s="3">
        <v>1</v>
      </c>
      <c r="M1097" s="3">
        <v>4226</v>
      </c>
      <c r="N1097" s="3">
        <v>4226</v>
      </c>
      <c r="O1097" s="3">
        <v>0</v>
      </c>
      <c r="P1097" s="3" t="s">
        <v>24</v>
      </c>
      <c r="Q1097" s="3">
        <v>1</v>
      </c>
      <c r="R1097" s="3" t="str">
        <f t="shared" si="17"/>
        <v>Cancelled</v>
      </c>
      <c r="S1097" s="3" t="s">
        <v>25</v>
      </c>
    </row>
    <row r="1098" spans="1:19" x14ac:dyDescent="0.35">
      <c r="A1098" s="3">
        <v>2097</v>
      </c>
      <c r="B1098" s="3" t="s">
        <v>862</v>
      </c>
      <c r="C1098" s="4">
        <v>45644</v>
      </c>
      <c r="D1098" s="3" t="s">
        <v>64</v>
      </c>
      <c r="E1098" s="4">
        <v>45689</v>
      </c>
      <c r="F1098" s="4">
        <v>45694</v>
      </c>
      <c r="G1098" s="3" t="s">
        <v>45</v>
      </c>
      <c r="H1098" s="3" t="s">
        <v>29</v>
      </c>
      <c r="I1098" s="3" t="s">
        <v>39</v>
      </c>
      <c r="J1098" s="3" t="s">
        <v>30</v>
      </c>
      <c r="K1098" s="3">
        <v>45</v>
      </c>
      <c r="L1098" s="3">
        <v>5</v>
      </c>
      <c r="M1098" s="3">
        <v>5423</v>
      </c>
      <c r="N1098" s="3">
        <v>27115</v>
      </c>
      <c r="O1098" s="3">
        <v>0</v>
      </c>
      <c r="P1098" s="3" t="s">
        <v>51</v>
      </c>
      <c r="Q1098" s="3">
        <v>1</v>
      </c>
      <c r="R1098" s="3" t="str">
        <f t="shared" si="17"/>
        <v>Cancelled</v>
      </c>
      <c r="S1098" s="3" t="s">
        <v>31</v>
      </c>
    </row>
    <row r="1099" spans="1:19" x14ac:dyDescent="0.35">
      <c r="A1099" s="3">
        <v>2098</v>
      </c>
      <c r="B1099" s="3" t="s">
        <v>395</v>
      </c>
      <c r="C1099" s="4">
        <v>45487</v>
      </c>
      <c r="D1099" s="3" t="s">
        <v>144</v>
      </c>
      <c r="E1099" s="4">
        <v>45519</v>
      </c>
      <c r="F1099" s="4">
        <v>45522</v>
      </c>
      <c r="G1099" s="3" t="s">
        <v>20</v>
      </c>
      <c r="H1099" s="3" t="s">
        <v>29</v>
      </c>
      <c r="I1099" s="3" t="s">
        <v>22</v>
      </c>
      <c r="J1099" s="3" t="s">
        <v>46</v>
      </c>
      <c r="K1099" s="3">
        <v>32</v>
      </c>
      <c r="L1099" s="3">
        <v>3</v>
      </c>
      <c r="M1099" s="3">
        <v>6031</v>
      </c>
      <c r="N1099" s="3">
        <v>18093</v>
      </c>
      <c r="O1099" s="3">
        <v>18093</v>
      </c>
      <c r="P1099" s="3" t="s">
        <v>51</v>
      </c>
      <c r="Q1099" s="3">
        <v>0</v>
      </c>
      <c r="R1099" s="3" t="str">
        <f t="shared" si="17"/>
        <v>Not Cancelled</v>
      </c>
      <c r="S1099" s="3" t="s">
        <v>25</v>
      </c>
    </row>
    <row r="1100" spans="1:19" x14ac:dyDescent="0.35">
      <c r="A1100" s="3">
        <v>2099</v>
      </c>
      <c r="B1100" s="3" t="s">
        <v>863</v>
      </c>
      <c r="C1100" s="4">
        <v>45572</v>
      </c>
      <c r="D1100" s="3" t="s">
        <v>82</v>
      </c>
      <c r="E1100" s="4">
        <v>45600</v>
      </c>
      <c r="F1100" s="4">
        <v>45605</v>
      </c>
      <c r="G1100" s="3" t="s">
        <v>45</v>
      </c>
      <c r="H1100" s="3" t="s">
        <v>38</v>
      </c>
      <c r="I1100" s="3" t="s">
        <v>39</v>
      </c>
      <c r="J1100" s="3" t="s">
        <v>46</v>
      </c>
      <c r="K1100" s="3">
        <v>28</v>
      </c>
      <c r="L1100" s="3">
        <v>5</v>
      </c>
      <c r="M1100" s="3">
        <v>6406</v>
      </c>
      <c r="N1100" s="3">
        <v>32030</v>
      </c>
      <c r="O1100" s="3">
        <v>32030</v>
      </c>
      <c r="P1100" s="3" t="s">
        <v>51</v>
      </c>
      <c r="Q1100" s="3">
        <v>0</v>
      </c>
      <c r="R1100" s="3" t="str">
        <f t="shared" si="17"/>
        <v>Not Cancelled</v>
      </c>
      <c r="S1100" s="3" t="s">
        <v>31</v>
      </c>
    </row>
    <row r="1101" spans="1:19" x14ac:dyDescent="0.35">
      <c r="A1101" s="3">
        <v>2100</v>
      </c>
      <c r="B1101" s="3" t="s">
        <v>795</v>
      </c>
      <c r="C1101" s="4">
        <v>45445</v>
      </c>
      <c r="D1101" s="3" t="s">
        <v>175</v>
      </c>
      <c r="E1101" s="4">
        <v>45466</v>
      </c>
      <c r="F1101" s="4">
        <v>45468</v>
      </c>
      <c r="G1101" s="3" t="s">
        <v>28</v>
      </c>
      <c r="H1101" s="3" t="s">
        <v>35</v>
      </c>
      <c r="I1101" s="3" t="s">
        <v>39</v>
      </c>
      <c r="J1101" s="3" t="s">
        <v>30</v>
      </c>
      <c r="K1101" s="3">
        <v>21</v>
      </c>
      <c r="L1101" s="3">
        <v>2</v>
      </c>
      <c r="M1101" s="3">
        <v>8312</v>
      </c>
      <c r="N1101" s="3">
        <v>16624</v>
      </c>
      <c r="O1101" s="3">
        <v>16624</v>
      </c>
      <c r="P1101" s="3" t="s">
        <v>51</v>
      </c>
      <c r="Q1101" s="3">
        <v>0</v>
      </c>
      <c r="R1101" s="3" t="str">
        <f t="shared" si="17"/>
        <v>Not Cancelled</v>
      </c>
      <c r="S1101" s="3" t="s">
        <v>25</v>
      </c>
    </row>
    <row r="1102" spans="1:19" x14ac:dyDescent="0.35">
      <c r="A1102" s="3">
        <v>2101</v>
      </c>
      <c r="B1102" s="3" t="s">
        <v>260</v>
      </c>
      <c r="C1102" s="4">
        <v>45424</v>
      </c>
      <c r="D1102" s="3" t="s">
        <v>237</v>
      </c>
      <c r="E1102" s="4">
        <v>45482</v>
      </c>
      <c r="F1102" s="4">
        <v>45483</v>
      </c>
      <c r="G1102" s="3" t="s">
        <v>34</v>
      </c>
      <c r="H1102" s="3" t="s">
        <v>35</v>
      </c>
      <c r="I1102" s="3" t="s">
        <v>22</v>
      </c>
      <c r="J1102" s="3" t="s">
        <v>23</v>
      </c>
      <c r="K1102" s="3">
        <v>58</v>
      </c>
      <c r="L1102" s="3">
        <v>1</v>
      </c>
      <c r="M1102" s="3">
        <v>3434</v>
      </c>
      <c r="N1102" s="3">
        <v>3434</v>
      </c>
      <c r="O1102" s="3">
        <v>0</v>
      </c>
      <c r="P1102" s="3" t="s">
        <v>24</v>
      </c>
      <c r="Q1102" s="3">
        <v>1</v>
      </c>
      <c r="R1102" s="3" t="str">
        <f t="shared" si="17"/>
        <v>Cancelled</v>
      </c>
      <c r="S1102" s="3" t="s">
        <v>31</v>
      </c>
    </row>
    <row r="1103" spans="1:19" x14ac:dyDescent="0.35">
      <c r="A1103" s="3">
        <v>2102</v>
      </c>
      <c r="B1103" s="3" t="s">
        <v>864</v>
      </c>
      <c r="C1103" s="4">
        <v>45518</v>
      </c>
      <c r="D1103" s="3" t="s">
        <v>41</v>
      </c>
      <c r="E1103" s="4">
        <v>45564</v>
      </c>
      <c r="F1103" s="4">
        <v>45566</v>
      </c>
      <c r="G1103" s="3" t="s">
        <v>28</v>
      </c>
      <c r="H1103" s="3" t="s">
        <v>60</v>
      </c>
      <c r="I1103" s="3" t="s">
        <v>39</v>
      </c>
      <c r="J1103" s="3" t="s">
        <v>23</v>
      </c>
      <c r="K1103" s="3">
        <v>46</v>
      </c>
      <c r="L1103" s="3">
        <v>2</v>
      </c>
      <c r="M1103" s="3">
        <v>7697</v>
      </c>
      <c r="N1103" s="3">
        <v>15394</v>
      </c>
      <c r="O1103" s="3">
        <v>15394</v>
      </c>
      <c r="P1103" s="3" t="s">
        <v>51</v>
      </c>
      <c r="Q1103" s="3">
        <v>0</v>
      </c>
      <c r="R1103" s="3" t="str">
        <f t="shared" si="17"/>
        <v>Not Cancelled</v>
      </c>
      <c r="S1103" s="3" t="s">
        <v>31</v>
      </c>
    </row>
    <row r="1104" spans="1:19" x14ac:dyDescent="0.35">
      <c r="A1104" s="3">
        <v>2103</v>
      </c>
      <c r="B1104" s="3" t="s">
        <v>212</v>
      </c>
      <c r="C1104" s="4">
        <v>45480</v>
      </c>
      <c r="D1104" s="3" t="s">
        <v>44</v>
      </c>
      <c r="E1104" s="4">
        <v>45493</v>
      </c>
      <c r="F1104" s="4">
        <v>45496</v>
      </c>
      <c r="G1104" s="3" t="s">
        <v>20</v>
      </c>
      <c r="H1104" s="3" t="s">
        <v>38</v>
      </c>
      <c r="I1104" s="3" t="s">
        <v>39</v>
      </c>
      <c r="J1104" s="3" t="s">
        <v>46</v>
      </c>
      <c r="K1104" s="3">
        <v>13</v>
      </c>
      <c r="L1104" s="3">
        <v>3</v>
      </c>
      <c r="M1104" s="3">
        <v>8031</v>
      </c>
      <c r="N1104" s="3">
        <v>24093</v>
      </c>
      <c r="O1104" s="3">
        <v>0</v>
      </c>
      <c r="P1104" s="3" t="s">
        <v>51</v>
      </c>
      <c r="Q1104" s="3">
        <v>1</v>
      </c>
      <c r="R1104" s="3" t="str">
        <f t="shared" si="17"/>
        <v>Cancelled</v>
      </c>
      <c r="S1104" s="3" t="s">
        <v>25</v>
      </c>
    </row>
    <row r="1105" spans="1:19" x14ac:dyDescent="0.35">
      <c r="A1105" s="3">
        <v>2104</v>
      </c>
      <c r="B1105" s="3" t="s">
        <v>865</v>
      </c>
      <c r="C1105" s="4">
        <v>45556</v>
      </c>
      <c r="D1105" s="3" t="s">
        <v>185</v>
      </c>
      <c r="E1105" s="4">
        <v>45583</v>
      </c>
      <c r="F1105" s="4">
        <v>45585</v>
      </c>
      <c r="G1105" s="3" t="s">
        <v>28</v>
      </c>
      <c r="H1105" s="3" t="s">
        <v>38</v>
      </c>
      <c r="I1105" s="3" t="s">
        <v>39</v>
      </c>
      <c r="J1105" s="3" t="s">
        <v>46</v>
      </c>
      <c r="K1105" s="3">
        <v>27</v>
      </c>
      <c r="L1105" s="3">
        <v>2</v>
      </c>
      <c r="M1105" s="3">
        <v>2574</v>
      </c>
      <c r="N1105" s="3">
        <v>5148</v>
      </c>
      <c r="O1105" s="3">
        <v>0</v>
      </c>
      <c r="P1105" s="3" t="s">
        <v>51</v>
      </c>
      <c r="Q1105" s="3">
        <v>1</v>
      </c>
      <c r="R1105" s="3" t="str">
        <f t="shared" si="17"/>
        <v>Cancelled</v>
      </c>
      <c r="S1105" s="3" t="s">
        <v>31</v>
      </c>
    </row>
    <row r="1106" spans="1:19" x14ac:dyDescent="0.35">
      <c r="A1106" s="3">
        <v>2105</v>
      </c>
      <c r="B1106" s="3" t="s">
        <v>349</v>
      </c>
      <c r="C1106" s="4">
        <v>45425</v>
      </c>
      <c r="D1106" s="3" t="s">
        <v>146</v>
      </c>
      <c r="E1106" s="4">
        <v>45461</v>
      </c>
      <c r="F1106" s="4">
        <v>45463</v>
      </c>
      <c r="G1106" s="3" t="s">
        <v>28</v>
      </c>
      <c r="H1106" s="3" t="s">
        <v>60</v>
      </c>
      <c r="I1106" s="3" t="s">
        <v>39</v>
      </c>
      <c r="J1106" s="3" t="s">
        <v>46</v>
      </c>
      <c r="K1106" s="3">
        <v>36</v>
      </c>
      <c r="L1106" s="3">
        <v>2</v>
      </c>
      <c r="M1106" s="3">
        <v>2794</v>
      </c>
      <c r="N1106" s="3">
        <v>5588</v>
      </c>
      <c r="O1106" s="3">
        <v>0</v>
      </c>
      <c r="P1106" s="3" t="s">
        <v>51</v>
      </c>
      <c r="Q1106" s="3">
        <v>1</v>
      </c>
      <c r="R1106" s="3" t="str">
        <f t="shared" si="17"/>
        <v>Cancelled</v>
      </c>
      <c r="S1106" s="3" t="s">
        <v>31</v>
      </c>
    </row>
    <row r="1107" spans="1:19" x14ac:dyDescent="0.35">
      <c r="A1107" s="3">
        <v>2106</v>
      </c>
      <c r="B1107" s="3" t="s">
        <v>417</v>
      </c>
      <c r="C1107" s="4">
        <v>45502</v>
      </c>
      <c r="D1107" s="3" t="s">
        <v>209</v>
      </c>
      <c r="E1107" s="4">
        <v>45509</v>
      </c>
      <c r="F1107" s="4">
        <v>45511</v>
      </c>
      <c r="G1107" s="3" t="s">
        <v>28</v>
      </c>
      <c r="H1107" s="3" t="s">
        <v>60</v>
      </c>
      <c r="I1107" s="3" t="s">
        <v>39</v>
      </c>
      <c r="J1107" s="3" t="s">
        <v>23</v>
      </c>
      <c r="K1107" s="3">
        <v>7</v>
      </c>
      <c r="L1107" s="3">
        <v>2</v>
      </c>
      <c r="M1107" s="3">
        <v>2520</v>
      </c>
      <c r="N1107" s="3">
        <v>5040</v>
      </c>
      <c r="O1107" s="3">
        <v>5040</v>
      </c>
      <c r="P1107" s="3" t="s">
        <v>51</v>
      </c>
      <c r="Q1107" s="3">
        <v>0</v>
      </c>
      <c r="R1107" s="3" t="str">
        <f t="shared" si="17"/>
        <v>Not Cancelled</v>
      </c>
      <c r="S1107" s="3" t="s">
        <v>25</v>
      </c>
    </row>
    <row r="1108" spans="1:19" x14ac:dyDescent="0.35">
      <c r="A1108" s="3">
        <v>2107</v>
      </c>
      <c r="B1108" s="3" t="s">
        <v>305</v>
      </c>
      <c r="C1108" s="4">
        <v>45351</v>
      </c>
      <c r="D1108" s="3" t="s">
        <v>19</v>
      </c>
      <c r="E1108" s="4">
        <v>45373</v>
      </c>
      <c r="F1108" s="4">
        <v>45377</v>
      </c>
      <c r="G1108" s="3" t="s">
        <v>42</v>
      </c>
      <c r="H1108" s="3" t="s">
        <v>29</v>
      </c>
      <c r="I1108" s="3" t="s">
        <v>22</v>
      </c>
      <c r="J1108" s="3" t="s">
        <v>46</v>
      </c>
      <c r="K1108" s="3">
        <v>22</v>
      </c>
      <c r="L1108" s="3">
        <v>4</v>
      </c>
      <c r="M1108" s="3">
        <v>5742</v>
      </c>
      <c r="N1108" s="3">
        <v>22968</v>
      </c>
      <c r="O1108" s="3">
        <v>22968</v>
      </c>
      <c r="P1108" s="3" t="s">
        <v>24</v>
      </c>
      <c r="Q1108" s="3">
        <v>0</v>
      </c>
      <c r="R1108" s="3" t="str">
        <f t="shared" si="17"/>
        <v>Not Cancelled</v>
      </c>
      <c r="S1108" s="3" t="s">
        <v>25</v>
      </c>
    </row>
    <row r="1109" spans="1:19" x14ac:dyDescent="0.35">
      <c r="A1109" s="3">
        <v>2108</v>
      </c>
      <c r="B1109" s="3" t="s">
        <v>866</v>
      </c>
      <c r="C1109" s="4">
        <v>45655</v>
      </c>
      <c r="D1109" s="3" t="s">
        <v>37</v>
      </c>
      <c r="E1109" s="4">
        <v>45665</v>
      </c>
      <c r="F1109" s="4">
        <v>45668</v>
      </c>
      <c r="G1109" s="3" t="s">
        <v>20</v>
      </c>
      <c r="H1109" s="3" t="s">
        <v>38</v>
      </c>
      <c r="I1109" s="3" t="s">
        <v>39</v>
      </c>
      <c r="J1109" s="3" t="s">
        <v>23</v>
      </c>
      <c r="K1109" s="3">
        <v>10</v>
      </c>
      <c r="L1109" s="3">
        <v>3</v>
      </c>
      <c r="M1109" s="3">
        <v>3538</v>
      </c>
      <c r="N1109" s="3">
        <v>10614</v>
      </c>
      <c r="O1109" s="3">
        <v>0</v>
      </c>
      <c r="P1109" s="3" t="s">
        <v>24</v>
      </c>
      <c r="Q1109" s="3">
        <v>1</v>
      </c>
      <c r="R1109" s="3" t="str">
        <f t="shared" si="17"/>
        <v>Cancelled</v>
      </c>
      <c r="S1109" s="3" t="s">
        <v>25</v>
      </c>
    </row>
    <row r="1110" spans="1:19" x14ac:dyDescent="0.35">
      <c r="A1110" s="3">
        <v>2109</v>
      </c>
      <c r="B1110" s="3" t="s">
        <v>867</v>
      </c>
      <c r="C1110" s="4">
        <v>45655</v>
      </c>
      <c r="D1110" s="3" t="s">
        <v>153</v>
      </c>
      <c r="E1110" s="4">
        <v>45694</v>
      </c>
      <c r="F1110" s="4">
        <v>45696</v>
      </c>
      <c r="G1110" s="3" t="s">
        <v>28</v>
      </c>
      <c r="H1110" s="3" t="s">
        <v>38</v>
      </c>
      <c r="I1110" s="3" t="s">
        <v>39</v>
      </c>
      <c r="J1110" s="3" t="s">
        <v>46</v>
      </c>
      <c r="K1110" s="3">
        <v>39</v>
      </c>
      <c r="L1110" s="3">
        <v>2</v>
      </c>
      <c r="M1110" s="3">
        <v>7830</v>
      </c>
      <c r="N1110" s="3">
        <v>15660</v>
      </c>
      <c r="O1110" s="3">
        <v>15660</v>
      </c>
      <c r="P1110" s="3" t="s">
        <v>51</v>
      </c>
      <c r="Q1110" s="3">
        <v>0</v>
      </c>
      <c r="R1110" s="3" t="str">
        <f t="shared" si="17"/>
        <v>Not Cancelled</v>
      </c>
      <c r="S1110" s="3" t="s">
        <v>25</v>
      </c>
    </row>
    <row r="1111" spans="1:19" x14ac:dyDescent="0.35">
      <c r="A1111" s="3">
        <v>2110</v>
      </c>
      <c r="B1111" s="3" t="s">
        <v>868</v>
      </c>
      <c r="C1111" s="4">
        <v>45504</v>
      </c>
      <c r="D1111" s="3" t="s">
        <v>133</v>
      </c>
      <c r="E1111" s="4">
        <v>45557</v>
      </c>
      <c r="F1111" s="4">
        <v>45559</v>
      </c>
      <c r="G1111" s="3" t="s">
        <v>28</v>
      </c>
      <c r="H1111" s="3" t="s">
        <v>60</v>
      </c>
      <c r="I1111" s="3" t="s">
        <v>22</v>
      </c>
      <c r="J1111" s="3" t="s">
        <v>23</v>
      </c>
      <c r="K1111" s="3">
        <v>53</v>
      </c>
      <c r="L1111" s="3">
        <v>2</v>
      </c>
      <c r="M1111" s="3">
        <v>7155</v>
      </c>
      <c r="N1111" s="3">
        <v>14310</v>
      </c>
      <c r="O1111" s="3">
        <v>0</v>
      </c>
      <c r="P1111" s="3" t="s">
        <v>51</v>
      </c>
      <c r="Q1111" s="3">
        <v>1</v>
      </c>
      <c r="R1111" s="3" t="str">
        <f t="shared" si="17"/>
        <v>Cancelled</v>
      </c>
      <c r="S1111" s="3" t="s">
        <v>25</v>
      </c>
    </row>
    <row r="1112" spans="1:19" x14ac:dyDescent="0.35">
      <c r="A1112" s="3">
        <v>2111</v>
      </c>
      <c r="B1112" s="3" t="s">
        <v>869</v>
      </c>
      <c r="C1112" s="4">
        <v>45507</v>
      </c>
      <c r="D1112" s="3" t="s">
        <v>277</v>
      </c>
      <c r="E1112" s="4">
        <v>45522</v>
      </c>
      <c r="F1112" s="4">
        <v>45524</v>
      </c>
      <c r="G1112" s="3" t="s">
        <v>28</v>
      </c>
      <c r="H1112" s="3" t="s">
        <v>21</v>
      </c>
      <c r="I1112" s="3" t="s">
        <v>22</v>
      </c>
      <c r="J1112" s="3" t="s">
        <v>46</v>
      </c>
      <c r="K1112" s="3">
        <v>15</v>
      </c>
      <c r="L1112" s="3">
        <v>2</v>
      </c>
      <c r="M1112" s="3">
        <v>3609</v>
      </c>
      <c r="N1112" s="3">
        <v>7218</v>
      </c>
      <c r="O1112" s="3">
        <v>7218</v>
      </c>
      <c r="P1112" s="3" t="s">
        <v>24</v>
      </c>
      <c r="Q1112" s="3">
        <v>0</v>
      </c>
      <c r="R1112" s="3" t="str">
        <f t="shared" si="17"/>
        <v>Not Cancelled</v>
      </c>
      <c r="S1112" s="3" t="s">
        <v>31</v>
      </c>
    </row>
    <row r="1113" spans="1:19" x14ac:dyDescent="0.35">
      <c r="A1113" s="3">
        <v>2112</v>
      </c>
      <c r="B1113" s="3" t="s">
        <v>870</v>
      </c>
      <c r="C1113" s="4">
        <v>45517</v>
      </c>
      <c r="D1113" s="3" t="s">
        <v>277</v>
      </c>
      <c r="E1113" s="4">
        <v>45532</v>
      </c>
      <c r="F1113" s="4">
        <v>45533</v>
      </c>
      <c r="G1113" s="3" t="s">
        <v>34</v>
      </c>
      <c r="H1113" s="3" t="s">
        <v>21</v>
      </c>
      <c r="I1113" s="3" t="s">
        <v>39</v>
      </c>
      <c r="J1113" s="3" t="s">
        <v>46</v>
      </c>
      <c r="K1113" s="3">
        <v>15</v>
      </c>
      <c r="L1113" s="3">
        <v>1</v>
      </c>
      <c r="M1113" s="3">
        <v>7768</v>
      </c>
      <c r="N1113" s="3">
        <v>7768</v>
      </c>
      <c r="O1113" s="3">
        <v>0</v>
      </c>
      <c r="P1113" s="3" t="s">
        <v>24</v>
      </c>
      <c r="Q1113" s="3">
        <v>1</v>
      </c>
      <c r="R1113" s="3" t="str">
        <f t="shared" si="17"/>
        <v>Cancelled</v>
      </c>
      <c r="S1113" s="3" t="s">
        <v>25</v>
      </c>
    </row>
    <row r="1114" spans="1:19" x14ac:dyDescent="0.35">
      <c r="A1114" s="3">
        <v>2113</v>
      </c>
      <c r="B1114" s="3" t="s">
        <v>230</v>
      </c>
      <c r="C1114" s="4">
        <v>45422</v>
      </c>
      <c r="D1114" s="3" t="s">
        <v>42</v>
      </c>
      <c r="E1114" s="4">
        <v>45426</v>
      </c>
      <c r="F1114" s="4">
        <v>45430</v>
      </c>
      <c r="G1114" s="3" t="s">
        <v>42</v>
      </c>
      <c r="H1114" s="3" t="s">
        <v>29</v>
      </c>
      <c r="I1114" s="3" t="s">
        <v>22</v>
      </c>
      <c r="J1114" s="3" t="s">
        <v>23</v>
      </c>
      <c r="K1114" s="3">
        <v>4</v>
      </c>
      <c r="L1114" s="3">
        <v>4</v>
      </c>
      <c r="M1114" s="3">
        <v>6271</v>
      </c>
      <c r="N1114" s="3">
        <v>25084</v>
      </c>
      <c r="O1114" s="3">
        <v>25084</v>
      </c>
      <c r="P1114" s="3" t="s">
        <v>24</v>
      </c>
      <c r="Q1114" s="3">
        <v>0</v>
      </c>
      <c r="R1114" s="3" t="str">
        <f t="shared" si="17"/>
        <v>Not Cancelled</v>
      </c>
      <c r="S1114" s="3" t="s">
        <v>31</v>
      </c>
    </row>
    <row r="1115" spans="1:19" x14ac:dyDescent="0.35">
      <c r="A1115" s="3">
        <v>2114</v>
      </c>
      <c r="B1115" s="3" t="s">
        <v>506</v>
      </c>
      <c r="C1115" s="4">
        <v>45367</v>
      </c>
      <c r="D1115" s="3" t="s">
        <v>144</v>
      </c>
      <c r="E1115" s="4">
        <v>45399</v>
      </c>
      <c r="F1115" s="4">
        <v>45400</v>
      </c>
      <c r="G1115" s="3" t="s">
        <v>34</v>
      </c>
      <c r="H1115" s="3" t="s">
        <v>21</v>
      </c>
      <c r="I1115" s="3" t="s">
        <v>39</v>
      </c>
      <c r="J1115" s="3" t="s">
        <v>46</v>
      </c>
      <c r="K1115" s="3">
        <v>32</v>
      </c>
      <c r="L1115" s="3">
        <v>1</v>
      </c>
      <c r="M1115" s="3">
        <v>2871</v>
      </c>
      <c r="N1115" s="3">
        <v>2871</v>
      </c>
      <c r="O1115" s="3">
        <v>0</v>
      </c>
      <c r="P1115" s="3" t="s">
        <v>51</v>
      </c>
      <c r="Q1115" s="3">
        <v>1</v>
      </c>
      <c r="R1115" s="3" t="str">
        <f t="shared" si="17"/>
        <v>Cancelled</v>
      </c>
      <c r="S1115" s="3" t="s">
        <v>31</v>
      </c>
    </row>
    <row r="1116" spans="1:19" x14ac:dyDescent="0.35">
      <c r="A1116" s="3">
        <v>2115</v>
      </c>
      <c r="B1116" s="3" t="s">
        <v>871</v>
      </c>
      <c r="C1116" s="4">
        <v>45577</v>
      </c>
      <c r="D1116" s="3" t="s">
        <v>111</v>
      </c>
      <c r="E1116" s="4">
        <v>45600</v>
      </c>
      <c r="F1116" s="4">
        <v>45604</v>
      </c>
      <c r="G1116" s="3" t="s">
        <v>42</v>
      </c>
      <c r="H1116" s="3" t="s">
        <v>21</v>
      </c>
      <c r="I1116" s="3" t="s">
        <v>22</v>
      </c>
      <c r="J1116" s="3" t="s">
        <v>30</v>
      </c>
      <c r="K1116" s="3">
        <v>23</v>
      </c>
      <c r="L1116" s="3">
        <v>4</v>
      </c>
      <c r="M1116" s="3">
        <v>8623</v>
      </c>
      <c r="N1116" s="3">
        <v>34492</v>
      </c>
      <c r="O1116" s="3">
        <v>0</v>
      </c>
      <c r="P1116" s="3" t="s">
        <v>51</v>
      </c>
      <c r="Q1116" s="3">
        <v>1</v>
      </c>
      <c r="R1116" s="3" t="str">
        <f t="shared" si="17"/>
        <v>Cancelled</v>
      </c>
      <c r="S1116" s="3" t="s">
        <v>25</v>
      </c>
    </row>
    <row r="1117" spans="1:19" x14ac:dyDescent="0.35">
      <c r="A1117" s="3">
        <v>2116</v>
      </c>
      <c r="B1117" s="3" t="s">
        <v>259</v>
      </c>
      <c r="C1117" s="4">
        <v>45568</v>
      </c>
      <c r="D1117" s="3" t="s">
        <v>113</v>
      </c>
      <c r="E1117" s="4">
        <v>45623</v>
      </c>
      <c r="F1117" s="4">
        <v>45625</v>
      </c>
      <c r="G1117" s="3" t="s">
        <v>28</v>
      </c>
      <c r="H1117" s="3" t="s">
        <v>21</v>
      </c>
      <c r="I1117" s="3" t="s">
        <v>39</v>
      </c>
      <c r="J1117" s="3" t="s">
        <v>23</v>
      </c>
      <c r="K1117" s="3">
        <v>55</v>
      </c>
      <c r="L1117" s="3">
        <v>2</v>
      </c>
      <c r="M1117" s="3">
        <v>7413</v>
      </c>
      <c r="N1117" s="3">
        <v>14826</v>
      </c>
      <c r="O1117" s="3">
        <v>14826</v>
      </c>
      <c r="P1117" s="3" t="s">
        <v>51</v>
      </c>
      <c r="Q1117" s="3">
        <v>0</v>
      </c>
      <c r="R1117" s="3" t="str">
        <f t="shared" si="17"/>
        <v>Not Cancelled</v>
      </c>
      <c r="S1117" s="3" t="s">
        <v>31</v>
      </c>
    </row>
    <row r="1118" spans="1:19" x14ac:dyDescent="0.35">
      <c r="A1118" s="3">
        <v>2117</v>
      </c>
      <c r="B1118" s="3" t="s">
        <v>872</v>
      </c>
      <c r="C1118" s="4">
        <v>45447</v>
      </c>
      <c r="D1118" s="3" t="s">
        <v>55</v>
      </c>
      <c r="E1118" s="4">
        <v>45453</v>
      </c>
      <c r="F1118" s="4">
        <v>45456</v>
      </c>
      <c r="G1118" s="3" t="s">
        <v>20</v>
      </c>
      <c r="H1118" s="3" t="s">
        <v>35</v>
      </c>
      <c r="I1118" s="3" t="s">
        <v>22</v>
      </c>
      <c r="J1118" s="3" t="s">
        <v>46</v>
      </c>
      <c r="K1118" s="3">
        <v>6</v>
      </c>
      <c r="L1118" s="3">
        <v>3</v>
      </c>
      <c r="M1118" s="3">
        <v>3674</v>
      </c>
      <c r="N1118" s="3">
        <v>11022</v>
      </c>
      <c r="O1118" s="3">
        <v>0</v>
      </c>
      <c r="P1118" s="3" t="s">
        <v>51</v>
      </c>
      <c r="Q1118" s="3">
        <v>1</v>
      </c>
      <c r="R1118" s="3" t="str">
        <f t="shared" si="17"/>
        <v>Cancelled</v>
      </c>
      <c r="S1118" s="3" t="s">
        <v>31</v>
      </c>
    </row>
    <row r="1119" spans="1:19" x14ac:dyDescent="0.35">
      <c r="A1119" s="3">
        <v>2118</v>
      </c>
      <c r="B1119" s="3" t="s">
        <v>873</v>
      </c>
      <c r="C1119" s="4">
        <v>45539</v>
      </c>
      <c r="D1119" s="3" t="s">
        <v>159</v>
      </c>
      <c r="E1119" s="4">
        <v>45563</v>
      </c>
      <c r="F1119" s="4">
        <v>45568</v>
      </c>
      <c r="G1119" s="3" t="s">
        <v>45</v>
      </c>
      <c r="H1119" s="3" t="s">
        <v>29</v>
      </c>
      <c r="I1119" s="3" t="s">
        <v>39</v>
      </c>
      <c r="J1119" s="3" t="s">
        <v>23</v>
      </c>
      <c r="K1119" s="3">
        <v>24</v>
      </c>
      <c r="L1119" s="3">
        <v>5</v>
      </c>
      <c r="M1119" s="3">
        <v>3664</v>
      </c>
      <c r="N1119" s="3">
        <v>18320</v>
      </c>
      <c r="O1119" s="3">
        <v>0</v>
      </c>
      <c r="P1119" s="3" t="s">
        <v>51</v>
      </c>
      <c r="Q1119" s="3">
        <v>1</v>
      </c>
      <c r="R1119" s="3" t="str">
        <f t="shared" si="17"/>
        <v>Cancelled</v>
      </c>
      <c r="S1119" s="3" t="s">
        <v>25</v>
      </c>
    </row>
    <row r="1120" spans="1:19" x14ac:dyDescent="0.35">
      <c r="A1120" s="3">
        <v>2119</v>
      </c>
      <c r="B1120" s="3" t="s">
        <v>874</v>
      </c>
      <c r="C1120" s="4">
        <v>45509</v>
      </c>
      <c r="D1120" s="3" t="s">
        <v>157</v>
      </c>
      <c r="E1120" s="4">
        <v>45529</v>
      </c>
      <c r="F1120" s="4">
        <v>45534</v>
      </c>
      <c r="G1120" s="3" t="s">
        <v>45</v>
      </c>
      <c r="H1120" s="3" t="s">
        <v>60</v>
      </c>
      <c r="I1120" s="3" t="s">
        <v>22</v>
      </c>
      <c r="J1120" s="3" t="s">
        <v>46</v>
      </c>
      <c r="K1120" s="3">
        <v>20</v>
      </c>
      <c r="L1120" s="3">
        <v>5</v>
      </c>
      <c r="M1120" s="3">
        <v>3592</v>
      </c>
      <c r="N1120" s="3">
        <v>17960</v>
      </c>
      <c r="O1120" s="3">
        <v>17960</v>
      </c>
      <c r="P1120" s="3" t="s">
        <v>51</v>
      </c>
      <c r="Q1120" s="3">
        <v>0</v>
      </c>
      <c r="R1120" s="3" t="str">
        <f t="shared" si="17"/>
        <v>Not Cancelled</v>
      </c>
      <c r="S1120" s="3" t="s">
        <v>31</v>
      </c>
    </row>
    <row r="1121" spans="1:19" x14ac:dyDescent="0.35">
      <c r="A1121" s="3">
        <v>2120</v>
      </c>
      <c r="B1121" s="3" t="s">
        <v>875</v>
      </c>
      <c r="C1121" s="4">
        <v>45481</v>
      </c>
      <c r="D1121" s="3" t="s">
        <v>237</v>
      </c>
      <c r="E1121" s="4">
        <v>45539</v>
      </c>
      <c r="F1121" s="4">
        <v>45541</v>
      </c>
      <c r="G1121" s="3" t="s">
        <v>28</v>
      </c>
      <c r="H1121" s="3" t="s">
        <v>21</v>
      </c>
      <c r="I1121" s="3" t="s">
        <v>39</v>
      </c>
      <c r="J1121" s="3" t="s">
        <v>30</v>
      </c>
      <c r="K1121" s="3">
        <v>58</v>
      </c>
      <c r="L1121" s="3">
        <v>2</v>
      </c>
      <c r="M1121" s="3">
        <v>3783</v>
      </c>
      <c r="N1121" s="3">
        <v>7566</v>
      </c>
      <c r="O1121" s="3">
        <v>0</v>
      </c>
      <c r="P1121" s="3" t="s">
        <v>24</v>
      </c>
      <c r="Q1121" s="3">
        <v>1</v>
      </c>
      <c r="R1121" s="3" t="str">
        <f t="shared" si="17"/>
        <v>Cancelled</v>
      </c>
      <c r="S1121" s="3" t="s">
        <v>25</v>
      </c>
    </row>
    <row r="1122" spans="1:19" x14ac:dyDescent="0.35">
      <c r="A1122" s="3">
        <v>2121</v>
      </c>
      <c r="B1122" s="3" t="s">
        <v>644</v>
      </c>
      <c r="C1122" s="4">
        <v>45454</v>
      </c>
      <c r="D1122" s="3" t="s">
        <v>105</v>
      </c>
      <c r="E1122" s="4">
        <v>45491</v>
      </c>
      <c r="F1122" s="4">
        <v>45492</v>
      </c>
      <c r="G1122" s="3" t="s">
        <v>34</v>
      </c>
      <c r="H1122" s="3" t="s">
        <v>35</v>
      </c>
      <c r="I1122" s="3" t="s">
        <v>39</v>
      </c>
      <c r="J1122" s="3" t="s">
        <v>46</v>
      </c>
      <c r="K1122" s="3">
        <v>37</v>
      </c>
      <c r="L1122" s="3">
        <v>1</v>
      </c>
      <c r="M1122" s="3">
        <v>4511</v>
      </c>
      <c r="N1122" s="3">
        <v>4511</v>
      </c>
      <c r="O1122" s="3">
        <v>4511</v>
      </c>
      <c r="P1122" s="3" t="s">
        <v>24</v>
      </c>
      <c r="Q1122" s="3">
        <v>0</v>
      </c>
      <c r="R1122" s="3" t="str">
        <f t="shared" si="17"/>
        <v>Not Cancelled</v>
      </c>
      <c r="S1122" s="3" t="s">
        <v>25</v>
      </c>
    </row>
    <row r="1123" spans="1:19" x14ac:dyDescent="0.35">
      <c r="A1123" s="3">
        <v>2122</v>
      </c>
      <c r="B1123" s="3" t="s">
        <v>876</v>
      </c>
      <c r="C1123" s="4">
        <v>45471</v>
      </c>
      <c r="D1123" s="3" t="s">
        <v>157</v>
      </c>
      <c r="E1123" s="4">
        <v>45491</v>
      </c>
      <c r="F1123" s="4">
        <v>45494</v>
      </c>
      <c r="G1123" s="3" t="s">
        <v>20</v>
      </c>
      <c r="H1123" s="3" t="s">
        <v>21</v>
      </c>
      <c r="I1123" s="3" t="s">
        <v>39</v>
      </c>
      <c r="J1123" s="3" t="s">
        <v>46</v>
      </c>
      <c r="K1123" s="3">
        <v>20</v>
      </c>
      <c r="L1123" s="3">
        <v>3</v>
      </c>
      <c r="M1123" s="3">
        <v>3345</v>
      </c>
      <c r="N1123" s="3">
        <v>10035</v>
      </c>
      <c r="O1123" s="3">
        <v>0</v>
      </c>
      <c r="P1123" s="3" t="s">
        <v>51</v>
      </c>
      <c r="Q1123" s="3">
        <v>1</v>
      </c>
      <c r="R1123" s="3" t="str">
        <f t="shared" si="17"/>
        <v>Cancelled</v>
      </c>
      <c r="S1123" s="3" t="s">
        <v>25</v>
      </c>
    </row>
    <row r="1124" spans="1:19" x14ac:dyDescent="0.35">
      <c r="A1124" s="3">
        <v>2123</v>
      </c>
      <c r="B1124" s="3" t="s">
        <v>238</v>
      </c>
      <c r="C1124" s="4">
        <v>45325</v>
      </c>
      <c r="D1124" s="3" t="s">
        <v>102</v>
      </c>
      <c r="E1124" s="4">
        <v>45337</v>
      </c>
      <c r="F1124" s="4">
        <v>45341</v>
      </c>
      <c r="G1124" s="3" t="s">
        <v>42</v>
      </c>
      <c r="H1124" s="3" t="s">
        <v>35</v>
      </c>
      <c r="I1124" s="3" t="s">
        <v>22</v>
      </c>
      <c r="J1124" s="3" t="s">
        <v>30</v>
      </c>
      <c r="K1124" s="3">
        <v>12</v>
      </c>
      <c r="L1124" s="3">
        <v>4</v>
      </c>
      <c r="M1124" s="3">
        <v>4491</v>
      </c>
      <c r="N1124" s="3">
        <v>17964</v>
      </c>
      <c r="O1124" s="3">
        <v>17964</v>
      </c>
      <c r="P1124" s="3" t="s">
        <v>51</v>
      </c>
      <c r="Q1124" s="3">
        <v>0</v>
      </c>
      <c r="R1124" s="3" t="str">
        <f t="shared" si="17"/>
        <v>Not Cancelled</v>
      </c>
      <c r="S1124" s="3" t="s">
        <v>31</v>
      </c>
    </row>
    <row r="1125" spans="1:19" x14ac:dyDescent="0.35">
      <c r="A1125" s="3">
        <v>2124</v>
      </c>
      <c r="B1125" s="3" t="s">
        <v>492</v>
      </c>
      <c r="C1125" s="4">
        <v>45332</v>
      </c>
      <c r="D1125" s="3" t="s">
        <v>69</v>
      </c>
      <c r="E1125" s="4">
        <v>45365</v>
      </c>
      <c r="F1125" s="4">
        <v>45367</v>
      </c>
      <c r="G1125" s="3" t="s">
        <v>28</v>
      </c>
      <c r="H1125" s="3" t="s">
        <v>29</v>
      </c>
      <c r="I1125" s="3" t="s">
        <v>22</v>
      </c>
      <c r="J1125" s="3" t="s">
        <v>23</v>
      </c>
      <c r="K1125" s="3">
        <v>33</v>
      </c>
      <c r="L1125" s="3">
        <v>2</v>
      </c>
      <c r="M1125" s="3">
        <v>3020</v>
      </c>
      <c r="N1125" s="3">
        <v>6040</v>
      </c>
      <c r="O1125" s="3">
        <v>0</v>
      </c>
      <c r="P1125" s="3" t="s">
        <v>51</v>
      </c>
      <c r="Q1125" s="3">
        <v>1</v>
      </c>
      <c r="R1125" s="3" t="str">
        <f t="shared" si="17"/>
        <v>Cancelled</v>
      </c>
      <c r="S1125" s="3" t="s">
        <v>31</v>
      </c>
    </row>
    <row r="1126" spans="1:19" x14ac:dyDescent="0.35">
      <c r="A1126" s="3">
        <v>2125</v>
      </c>
      <c r="B1126" s="3" t="s">
        <v>271</v>
      </c>
      <c r="C1126" s="4">
        <v>45598</v>
      </c>
      <c r="D1126" s="3" t="s">
        <v>82</v>
      </c>
      <c r="E1126" s="4">
        <v>45626</v>
      </c>
      <c r="F1126" s="4">
        <v>45629</v>
      </c>
      <c r="G1126" s="3" t="s">
        <v>20</v>
      </c>
      <c r="H1126" s="3" t="s">
        <v>21</v>
      </c>
      <c r="I1126" s="3" t="s">
        <v>39</v>
      </c>
      <c r="J1126" s="3" t="s">
        <v>46</v>
      </c>
      <c r="K1126" s="3">
        <v>28</v>
      </c>
      <c r="L1126" s="3">
        <v>3</v>
      </c>
      <c r="M1126" s="3">
        <v>6966</v>
      </c>
      <c r="N1126" s="3">
        <v>20898</v>
      </c>
      <c r="O1126" s="3">
        <v>0</v>
      </c>
      <c r="P1126" s="3" t="s">
        <v>24</v>
      </c>
      <c r="Q1126" s="3">
        <v>1</v>
      </c>
      <c r="R1126" s="3" t="str">
        <f t="shared" si="17"/>
        <v>Cancelled</v>
      </c>
      <c r="S1126" s="3" t="s">
        <v>31</v>
      </c>
    </row>
    <row r="1127" spans="1:19" x14ac:dyDescent="0.35">
      <c r="A1127" s="3">
        <v>2126</v>
      </c>
      <c r="B1127" s="3" t="s">
        <v>877</v>
      </c>
      <c r="C1127" s="4">
        <v>45629</v>
      </c>
      <c r="D1127" s="3" t="s">
        <v>59</v>
      </c>
      <c r="E1127" s="4">
        <v>45637</v>
      </c>
      <c r="F1127" s="4">
        <v>45640</v>
      </c>
      <c r="G1127" s="3" t="s">
        <v>20</v>
      </c>
      <c r="H1127" s="3" t="s">
        <v>35</v>
      </c>
      <c r="I1127" s="3" t="s">
        <v>39</v>
      </c>
      <c r="J1127" s="3" t="s">
        <v>46</v>
      </c>
      <c r="K1127" s="3">
        <v>8</v>
      </c>
      <c r="L1127" s="3">
        <v>3</v>
      </c>
      <c r="M1127" s="3">
        <v>8038</v>
      </c>
      <c r="N1127" s="3">
        <v>24114</v>
      </c>
      <c r="O1127" s="3">
        <v>24114</v>
      </c>
      <c r="P1127" s="3" t="s">
        <v>24</v>
      </c>
      <c r="Q1127" s="3">
        <v>0</v>
      </c>
      <c r="R1127" s="3" t="str">
        <f t="shared" si="17"/>
        <v>Not Cancelled</v>
      </c>
      <c r="S1127" s="3" t="s">
        <v>31</v>
      </c>
    </row>
    <row r="1128" spans="1:19" x14ac:dyDescent="0.35">
      <c r="A1128" s="3">
        <v>2127</v>
      </c>
      <c r="B1128" s="3" t="s">
        <v>198</v>
      </c>
      <c r="C1128" s="4">
        <v>45605</v>
      </c>
      <c r="D1128" s="3" t="s">
        <v>34</v>
      </c>
      <c r="E1128" s="4">
        <v>45606</v>
      </c>
      <c r="F1128" s="4">
        <v>45610</v>
      </c>
      <c r="G1128" s="3" t="s">
        <v>42</v>
      </c>
      <c r="H1128" s="3" t="s">
        <v>38</v>
      </c>
      <c r="I1128" s="3" t="s">
        <v>39</v>
      </c>
      <c r="J1128" s="3" t="s">
        <v>30</v>
      </c>
      <c r="K1128" s="3">
        <v>1</v>
      </c>
      <c r="L1128" s="3">
        <v>4</v>
      </c>
      <c r="M1128" s="3">
        <v>6696</v>
      </c>
      <c r="N1128" s="3">
        <v>26784</v>
      </c>
      <c r="O1128" s="3">
        <v>26784</v>
      </c>
      <c r="P1128" s="3" t="s">
        <v>24</v>
      </c>
      <c r="Q1128" s="3">
        <v>0</v>
      </c>
      <c r="R1128" s="3" t="str">
        <f t="shared" si="17"/>
        <v>Not Cancelled</v>
      </c>
      <c r="S1128" s="3" t="s">
        <v>25</v>
      </c>
    </row>
    <row r="1129" spans="1:19" x14ac:dyDescent="0.35">
      <c r="A1129" s="3">
        <v>2128</v>
      </c>
      <c r="B1129" s="3" t="s">
        <v>507</v>
      </c>
      <c r="C1129" s="4">
        <v>45366</v>
      </c>
      <c r="D1129" s="3" t="s">
        <v>105</v>
      </c>
      <c r="E1129" s="4">
        <v>45403</v>
      </c>
      <c r="F1129" s="4">
        <v>45406</v>
      </c>
      <c r="G1129" s="3" t="s">
        <v>20</v>
      </c>
      <c r="H1129" s="3" t="s">
        <v>38</v>
      </c>
      <c r="I1129" s="3" t="s">
        <v>39</v>
      </c>
      <c r="J1129" s="3" t="s">
        <v>23</v>
      </c>
      <c r="K1129" s="3">
        <v>37</v>
      </c>
      <c r="L1129" s="3">
        <v>3</v>
      </c>
      <c r="M1129" s="3">
        <v>7256</v>
      </c>
      <c r="N1129" s="3">
        <v>21768</v>
      </c>
      <c r="O1129" s="3">
        <v>0</v>
      </c>
      <c r="P1129" s="3" t="s">
        <v>24</v>
      </c>
      <c r="Q1129" s="3">
        <v>1</v>
      </c>
      <c r="R1129" s="3" t="str">
        <f t="shared" si="17"/>
        <v>Cancelled</v>
      </c>
      <c r="S1129" s="3" t="s">
        <v>31</v>
      </c>
    </row>
    <row r="1130" spans="1:19" x14ac:dyDescent="0.35">
      <c r="A1130" s="3">
        <v>2129</v>
      </c>
      <c r="B1130" s="3" t="s">
        <v>878</v>
      </c>
      <c r="C1130" s="4">
        <v>45570</v>
      </c>
      <c r="D1130" s="3" t="s">
        <v>19</v>
      </c>
      <c r="E1130" s="4">
        <v>45592</v>
      </c>
      <c r="F1130" s="4">
        <v>45593</v>
      </c>
      <c r="G1130" s="3" t="s">
        <v>34</v>
      </c>
      <c r="H1130" s="3" t="s">
        <v>35</v>
      </c>
      <c r="I1130" s="3" t="s">
        <v>22</v>
      </c>
      <c r="J1130" s="3" t="s">
        <v>23</v>
      </c>
      <c r="K1130" s="3">
        <v>22</v>
      </c>
      <c r="L1130" s="3">
        <v>1</v>
      </c>
      <c r="M1130" s="3">
        <v>8277</v>
      </c>
      <c r="N1130" s="3">
        <v>8277</v>
      </c>
      <c r="O1130" s="3">
        <v>8277</v>
      </c>
      <c r="P1130" s="3" t="s">
        <v>51</v>
      </c>
      <c r="Q1130" s="3">
        <v>0</v>
      </c>
      <c r="R1130" s="3" t="str">
        <f t="shared" si="17"/>
        <v>Not Cancelled</v>
      </c>
      <c r="S1130" s="3" t="s">
        <v>25</v>
      </c>
    </row>
    <row r="1131" spans="1:19" x14ac:dyDescent="0.35">
      <c r="A1131" s="3">
        <v>2130</v>
      </c>
      <c r="B1131" s="3" t="s">
        <v>879</v>
      </c>
      <c r="C1131" s="4">
        <v>45467</v>
      </c>
      <c r="D1131" s="3" t="s">
        <v>55</v>
      </c>
      <c r="E1131" s="4">
        <v>45473</v>
      </c>
      <c r="F1131" s="4">
        <v>45474</v>
      </c>
      <c r="G1131" s="3" t="s">
        <v>34</v>
      </c>
      <c r="H1131" s="3" t="s">
        <v>21</v>
      </c>
      <c r="I1131" s="3" t="s">
        <v>22</v>
      </c>
      <c r="J1131" s="3" t="s">
        <v>30</v>
      </c>
      <c r="K1131" s="3">
        <v>6</v>
      </c>
      <c r="L1131" s="3">
        <v>1</v>
      </c>
      <c r="M1131" s="3">
        <v>2742</v>
      </c>
      <c r="N1131" s="3">
        <v>2742</v>
      </c>
      <c r="O1131" s="3">
        <v>0</v>
      </c>
      <c r="P1131" s="3" t="s">
        <v>24</v>
      </c>
      <c r="Q1131" s="3">
        <v>1</v>
      </c>
      <c r="R1131" s="3" t="str">
        <f t="shared" si="17"/>
        <v>Cancelled</v>
      </c>
      <c r="S1131" s="3" t="s">
        <v>31</v>
      </c>
    </row>
    <row r="1132" spans="1:19" x14ac:dyDescent="0.35">
      <c r="A1132" s="3">
        <v>2131</v>
      </c>
      <c r="B1132" s="3" t="s">
        <v>880</v>
      </c>
      <c r="C1132" s="4">
        <v>45441</v>
      </c>
      <c r="D1132" s="3" t="s">
        <v>175</v>
      </c>
      <c r="E1132" s="4">
        <v>45462</v>
      </c>
      <c r="F1132" s="4">
        <v>45463</v>
      </c>
      <c r="G1132" s="3" t="s">
        <v>34</v>
      </c>
      <c r="H1132" s="3" t="s">
        <v>21</v>
      </c>
      <c r="I1132" s="3" t="s">
        <v>22</v>
      </c>
      <c r="J1132" s="3" t="s">
        <v>30</v>
      </c>
      <c r="K1132" s="3">
        <v>21</v>
      </c>
      <c r="L1132" s="3">
        <v>1</v>
      </c>
      <c r="M1132" s="3">
        <v>5300</v>
      </c>
      <c r="N1132" s="3">
        <v>5300</v>
      </c>
      <c r="O1132" s="3">
        <v>5300</v>
      </c>
      <c r="P1132" s="3" t="s">
        <v>24</v>
      </c>
      <c r="Q1132" s="3">
        <v>0</v>
      </c>
      <c r="R1132" s="3" t="str">
        <f t="shared" si="17"/>
        <v>Not Cancelled</v>
      </c>
      <c r="S1132" s="3" t="s">
        <v>31</v>
      </c>
    </row>
    <row r="1133" spans="1:19" x14ac:dyDescent="0.35">
      <c r="A1133" s="3">
        <v>2132</v>
      </c>
      <c r="B1133" s="3" t="s">
        <v>881</v>
      </c>
      <c r="C1133" s="4">
        <v>45564</v>
      </c>
      <c r="D1133" s="3" t="s">
        <v>144</v>
      </c>
      <c r="E1133" s="4">
        <v>45596</v>
      </c>
      <c r="F1133" s="4">
        <v>45599</v>
      </c>
      <c r="G1133" s="3" t="s">
        <v>20</v>
      </c>
      <c r="H1133" s="3" t="s">
        <v>29</v>
      </c>
      <c r="I1133" s="3" t="s">
        <v>39</v>
      </c>
      <c r="J1133" s="3" t="s">
        <v>46</v>
      </c>
      <c r="K1133" s="3">
        <v>32</v>
      </c>
      <c r="L1133" s="3">
        <v>3</v>
      </c>
      <c r="M1133" s="3">
        <v>7107</v>
      </c>
      <c r="N1133" s="3">
        <v>21321</v>
      </c>
      <c r="O1133" s="3">
        <v>21321</v>
      </c>
      <c r="P1133" s="3" t="s">
        <v>51</v>
      </c>
      <c r="Q1133" s="3">
        <v>0</v>
      </c>
      <c r="R1133" s="3" t="str">
        <f t="shared" si="17"/>
        <v>Not Cancelled</v>
      </c>
      <c r="S1133" s="3" t="s">
        <v>31</v>
      </c>
    </row>
    <row r="1134" spans="1:19" x14ac:dyDescent="0.35">
      <c r="A1134" s="3">
        <v>2133</v>
      </c>
      <c r="B1134" s="3" t="s">
        <v>479</v>
      </c>
      <c r="C1134" s="4">
        <v>45616</v>
      </c>
      <c r="D1134" s="3" t="s">
        <v>91</v>
      </c>
      <c r="E1134" s="4">
        <v>45651</v>
      </c>
      <c r="F1134" s="4">
        <v>45652</v>
      </c>
      <c r="G1134" s="3" t="s">
        <v>34</v>
      </c>
      <c r="H1134" s="3" t="s">
        <v>29</v>
      </c>
      <c r="I1134" s="3" t="s">
        <v>39</v>
      </c>
      <c r="J1134" s="3" t="s">
        <v>30</v>
      </c>
      <c r="K1134" s="3">
        <v>35</v>
      </c>
      <c r="L1134" s="3">
        <v>1</v>
      </c>
      <c r="M1134" s="3">
        <v>5396</v>
      </c>
      <c r="N1134" s="3">
        <v>5396</v>
      </c>
      <c r="O1134" s="3">
        <v>5396</v>
      </c>
      <c r="P1134" s="3" t="s">
        <v>51</v>
      </c>
      <c r="Q1134" s="3">
        <v>0</v>
      </c>
      <c r="R1134" s="3" t="str">
        <f t="shared" si="17"/>
        <v>Not Cancelled</v>
      </c>
      <c r="S1134" s="3" t="s">
        <v>31</v>
      </c>
    </row>
    <row r="1135" spans="1:19" x14ac:dyDescent="0.35">
      <c r="A1135" s="3">
        <v>2134</v>
      </c>
      <c r="B1135" s="3" t="s">
        <v>76</v>
      </c>
      <c r="C1135" s="4">
        <v>45399</v>
      </c>
      <c r="D1135" s="3" t="s">
        <v>277</v>
      </c>
      <c r="E1135" s="4">
        <v>45414</v>
      </c>
      <c r="F1135" s="4">
        <v>45418</v>
      </c>
      <c r="G1135" s="3" t="s">
        <v>42</v>
      </c>
      <c r="H1135" s="3" t="s">
        <v>60</v>
      </c>
      <c r="I1135" s="3" t="s">
        <v>22</v>
      </c>
      <c r="J1135" s="3" t="s">
        <v>30</v>
      </c>
      <c r="K1135" s="3">
        <v>15</v>
      </c>
      <c r="L1135" s="3">
        <v>4</v>
      </c>
      <c r="M1135" s="3">
        <v>5102</v>
      </c>
      <c r="N1135" s="3">
        <v>20408</v>
      </c>
      <c r="O1135" s="3">
        <v>0</v>
      </c>
      <c r="P1135" s="3" t="s">
        <v>51</v>
      </c>
      <c r="Q1135" s="3">
        <v>1</v>
      </c>
      <c r="R1135" s="3" t="str">
        <f t="shared" si="17"/>
        <v>Cancelled</v>
      </c>
      <c r="S1135" s="3" t="s">
        <v>31</v>
      </c>
    </row>
    <row r="1136" spans="1:19" x14ac:dyDescent="0.35">
      <c r="A1136" s="3">
        <v>2135</v>
      </c>
      <c r="B1136" s="3" t="s">
        <v>882</v>
      </c>
      <c r="C1136" s="4">
        <v>45430</v>
      </c>
      <c r="D1136" s="3" t="s">
        <v>45</v>
      </c>
      <c r="E1136" s="4">
        <v>45435</v>
      </c>
      <c r="F1136" s="4">
        <v>45438</v>
      </c>
      <c r="G1136" s="3" t="s">
        <v>20</v>
      </c>
      <c r="H1136" s="3" t="s">
        <v>29</v>
      </c>
      <c r="I1136" s="3" t="s">
        <v>22</v>
      </c>
      <c r="J1136" s="3" t="s">
        <v>30</v>
      </c>
      <c r="K1136" s="3">
        <v>5</v>
      </c>
      <c r="L1136" s="3">
        <v>3</v>
      </c>
      <c r="M1136" s="3">
        <v>4773</v>
      </c>
      <c r="N1136" s="3">
        <v>14319</v>
      </c>
      <c r="O1136" s="3">
        <v>14319</v>
      </c>
      <c r="P1136" s="3" t="s">
        <v>24</v>
      </c>
      <c r="Q1136" s="3">
        <v>0</v>
      </c>
      <c r="R1136" s="3" t="str">
        <f t="shared" si="17"/>
        <v>Not Cancelled</v>
      </c>
      <c r="S1136" s="3" t="s">
        <v>25</v>
      </c>
    </row>
    <row r="1137" spans="1:19" x14ac:dyDescent="0.35">
      <c r="A1137" s="3">
        <v>2136</v>
      </c>
      <c r="B1137" s="3" t="s">
        <v>638</v>
      </c>
      <c r="C1137" s="4">
        <v>45641</v>
      </c>
      <c r="D1137" s="3" t="s">
        <v>94</v>
      </c>
      <c r="E1137" s="4">
        <v>45697</v>
      </c>
      <c r="F1137" s="4">
        <v>45702</v>
      </c>
      <c r="G1137" s="3" t="s">
        <v>45</v>
      </c>
      <c r="H1137" s="3" t="s">
        <v>21</v>
      </c>
      <c r="I1137" s="3" t="s">
        <v>22</v>
      </c>
      <c r="J1137" s="3" t="s">
        <v>23</v>
      </c>
      <c r="K1137" s="3">
        <v>56</v>
      </c>
      <c r="L1137" s="3">
        <v>5</v>
      </c>
      <c r="M1137" s="3">
        <v>4041</v>
      </c>
      <c r="N1137" s="3">
        <v>20205</v>
      </c>
      <c r="O1137" s="3">
        <v>20205</v>
      </c>
      <c r="P1137" s="3" t="s">
        <v>51</v>
      </c>
      <c r="Q1137" s="3">
        <v>0</v>
      </c>
      <c r="R1137" s="3" t="str">
        <f t="shared" si="17"/>
        <v>Not Cancelled</v>
      </c>
      <c r="S1137" s="3" t="s">
        <v>31</v>
      </c>
    </row>
    <row r="1138" spans="1:19" x14ac:dyDescent="0.35">
      <c r="A1138" s="3">
        <v>2137</v>
      </c>
      <c r="B1138" s="3" t="s">
        <v>800</v>
      </c>
      <c r="C1138" s="4">
        <v>45562</v>
      </c>
      <c r="D1138" s="3" t="s">
        <v>41</v>
      </c>
      <c r="E1138" s="4">
        <v>45608</v>
      </c>
      <c r="F1138" s="4">
        <v>45611</v>
      </c>
      <c r="G1138" s="3" t="s">
        <v>20</v>
      </c>
      <c r="H1138" s="3" t="s">
        <v>60</v>
      </c>
      <c r="I1138" s="3" t="s">
        <v>22</v>
      </c>
      <c r="J1138" s="3" t="s">
        <v>30</v>
      </c>
      <c r="K1138" s="3">
        <v>46</v>
      </c>
      <c r="L1138" s="3">
        <v>3</v>
      </c>
      <c r="M1138" s="3">
        <v>8857</v>
      </c>
      <c r="N1138" s="3">
        <v>26571</v>
      </c>
      <c r="O1138" s="3">
        <v>0</v>
      </c>
      <c r="P1138" s="3" t="s">
        <v>24</v>
      </c>
      <c r="Q1138" s="3">
        <v>1</v>
      </c>
      <c r="R1138" s="3" t="str">
        <f t="shared" si="17"/>
        <v>Cancelled</v>
      </c>
      <c r="S1138" s="3" t="s">
        <v>31</v>
      </c>
    </row>
    <row r="1139" spans="1:19" x14ac:dyDescent="0.35">
      <c r="A1139" s="3">
        <v>2138</v>
      </c>
      <c r="B1139" s="3" t="s">
        <v>883</v>
      </c>
      <c r="C1139" s="4">
        <v>45638</v>
      </c>
      <c r="D1139" s="3" t="s">
        <v>78</v>
      </c>
      <c r="E1139" s="4">
        <v>45688</v>
      </c>
      <c r="F1139" s="4">
        <v>45692</v>
      </c>
      <c r="G1139" s="3" t="s">
        <v>42</v>
      </c>
      <c r="H1139" s="3" t="s">
        <v>29</v>
      </c>
      <c r="I1139" s="3" t="s">
        <v>39</v>
      </c>
      <c r="J1139" s="3" t="s">
        <v>46</v>
      </c>
      <c r="K1139" s="3">
        <v>50</v>
      </c>
      <c r="L1139" s="3">
        <v>4</v>
      </c>
      <c r="M1139" s="3">
        <v>5265</v>
      </c>
      <c r="N1139" s="3">
        <v>21060</v>
      </c>
      <c r="O1139" s="3">
        <v>21060</v>
      </c>
      <c r="P1139" s="3" t="s">
        <v>24</v>
      </c>
      <c r="Q1139" s="3">
        <v>0</v>
      </c>
      <c r="R1139" s="3" t="str">
        <f t="shared" si="17"/>
        <v>Not Cancelled</v>
      </c>
      <c r="S1139" s="3" t="s">
        <v>31</v>
      </c>
    </row>
    <row r="1140" spans="1:19" x14ac:dyDescent="0.35">
      <c r="A1140" s="3">
        <v>2139</v>
      </c>
      <c r="B1140" s="3" t="s">
        <v>579</v>
      </c>
      <c r="C1140" s="4">
        <v>45580</v>
      </c>
      <c r="D1140" s="3" t="s">
        <v>73</v>
      </c>
      <c r="E1140" s="4">
        <v>45628</v>
      </c>
      <c r="F1140" s="4">
        <v>45633</v>
      </c>
      <c r="G1140" s="3" t="s">
        <v>45</v>
      </c>
      <c r="H1140" s="3" t="s">
        <v>35</v>
      </c>
      <c r="I1140" s="3" t="s">
        <v>39</v>
      </c>
      <c r="J1140" s="3" t="s">
        <v>46</v>
      </c>
      <c r="K1140" s="3">
        <v>48</v>
      </c>
      <c r="L1140" s="3">
        <v>5</v>
      </c>
      <c r="M1140" s="3">
        <v>4614</v>
      </c>
      <c r="N1140" s="3">
        <v>23070</v>
      </c>
      <c r="O1140" s="3">
        <v>0</v>
      </c>
      <c r="P1140" s="3" t="s">
        <v>24</v>
      </c>
      <c r="Q1140" s="3">
        <v>1</v>
      </c>
      <c r="R1140" s="3" t="str">
        <f t="shared" si="17"/>
        <v>Cancelled</v>
      </c>
      <c r="S1140" s="3" t="s">
        <v>31</v>
      </c>
    </row>
    <row r="1141" spans="1:19" x14ac:dyDescent="0.35">
      <c r="A1141" s="3">
        <v>2140</v>
      </c>
      <c r="B1141" s="3" t="s">
        <v>186</v>
      </c>
      <c r="C1141" s="4">
        <v>45503</v>
      </c>
      <c r="D1141" s="3" t="s">
        <v>55</v>
      </c>
      <c r="E1141" s="4">
        <v>45509</v>
      </c>
      <c r="F1141" s="4">
        <v>45512</v>
      </c>
      <c r="G1141" s="3" t="s">
        <v>20</v>
      </c>
      <c r="H1141" s="3" t="s">
        <v>38</v>
      </c>
      <c r="I1141" s="3" t="s">
        <v>39</v>
      </c>
      <c r="J1141" s="3" t="s">
        <v>46</v>
      </c>
      <c r="K1141" s="3">
        <v>6</v>
      </c>
      <c r="L1141" s="3">
        <v>3</v>
      </c>
      <c r="M1141" s="3">
        <v>6991</v>
      </c>
      <c r="N1141" s="3">
        <v>20973</v>
      </c>
      <c r="O1141" s="3">
        <v>20973</v>
      </c>
      <c r="P1141" s="3" t="s">
        <v>24</v>
      </c>
      <c r="Q1141" s="3">
        <v>0</v>
      </c>
      <c r="R1141" s="3" t="str">
        <f t="shared" si="17"/>
        <v>Not Cancelled</v>
      </c>
      <c r="S1141" s="3" t="s">
        <v>25</v>
      </c>
    </row>
    <row r="1142" spans="1:19" x14ac:dyDescent="0.35">
      <c r="A1142" s="3">
        <v>2141</v>
      </c>
      <c r="B1142" s="3" t="s">
        <v>184</v>
      </c>
      <c r="C1142" s="4">
        <v>45563</v>
      </c>
      <c r="D1142" s="3" t="s">
        <v>107</v>
      </c>
      <c r="E1142" s="4">
        <v>45588</v>
      </c>
      <c r="F1142" s="4">
        <v>45589</v>
      </c>
      <c r="G1142" s="3" t="s">
        <v>34</v>
      </c>
      <c r="H1142" s="3" t="s">
        <v>29</v>
      </c>
      <c r="I1142" s="3" t="s">
        <v>22</v>
      </c>
      <c r="J1142" s="3" t="s">
        <v>30</v>
      </c>
      <c r="K1142" s="3">
        <v>25</v>
      </c>
      <c r="L1142" s="3">
        <v>1</v>
      </c>
      <c r="M1142" s="3">
        <v>7207</v>
      </c>
      <c r="N1142" s="3">
        <v>7207</v>
      </c>
      <c r="O1142" s="3">
        <v>7207</v>
      </c>
      <c r="P1142" s="3" t="s">
        <v>51</v>
      </c>
      <c r="Q1142" s="3">
        <v>0</v>
      </c>
      <c r="R1142" s="3" t="str">
        <f t="shared" si="17"/>
        <v>Not Cancelled</v>
      </c>
      <c r="S1142" s="3" t="s">
        <v>31</v>
      </c>
    </row>
    <row r="1143" spans="1:19" x14ac:dyDescent="0.35">
      <c r="A1143" s="3">
        <v>2142</v>
      </c>
      <c r="B1143" s="3" t="s">
        <v>884</v>
      </c>
      <c r="C1143" s="4">
        <v>45357</v>
      </c>
      <c r="D1143" s="3" t="s">
        <v>94</v>
      </c>
      <c r="E1143" s="4">
        <v>45413</v>
      </c>
      <c r="F1143" s="4">
        <v>45415</v>
      </c>
      <c r="G1143" s="3" t="s">
        <v>28</v>
      </c>
      <c r="H1143" s="3" t="s">
        <v>29</v>
      </c>
      <c r="I1143" s="3" t="s">
        <v>39</v>
      </c>
      <c r="J1143" s="3" t="s">
        <v>23</v>
      </c>
      <c r="K1143" s="3">
        <v>56</v>
      </c>
      <c r="L1143" s="3">
        <v>2</v>
      </c>
      <c r="M1143" s="3">
        <v>5583</v>
      </c>
      <c r="N1143" s="3">
        <v>11166</v>
      </c>
      <c r="O1143" s="3">
        <v>0</v>
      </c>
      <c r="P1143" s="3" t="s">
        <v>51</v>
      </c>
      <c r="Q1143" s="3">
        <v>1</v>
      </c>
      <c r="R1143" s="3" t="str">
        <f t="shared" si="17"/>
        <v>Cancelled</v>
      </c>
      <c r="S1143" s="3" t="s">
        <v>25</v>
      </c>
    </row>
    <row r="1144" spans="1:19" x14ac:dyDescent="0.35">
      <c r="A1144" s="3">
        <v>2143</v>
      </c>
      <c r="B1144" s="3" t="s">
        <v>184</v>
      </c>
      <c r="C1144" s="4">
        <v>45539</v>
      </c>
      <c r="D1144" s="3" t="s">
        <v>41</v>
      </c>
      <c r="E1144" s="4">
        <v>45585</v>
      </c>
      <c r="F1144" s="4">
        <v>45587</v>
      </c>
      <c r="G1144" s="3" t="s">
        <v>28</v>
      </c>
      <c r="H1144" s="3" t="s">
        <v>35</v>
      </c>
      <c r="I1144" s="3" t="s">
        <v>22</v>
      </c>
      <c r="J1144" s="3" t="s">
        <v>30</v>
      </c>
      <c r="K1144" s="3">
        <v>46</v>
      </c>
      <c r="L1144" s="3">
        <v>2</v>
      </c>
      <c r="M1144" s="3">
        <v>7856</v>
      </c>
      <c r="N1144" s="3">
        <v>15712</v>
      </c>
      <c r="O1144" s="3">
        <v>0</v>
      </c>
      <c r="P1144" s="3" t="s">
        <v>24</v>
      </c>
      <c r="Q1144" s="3">
        <v>1</v>
      </c>
      <c r="R1144" s="3" t="str">
        <f t="shared" si="17"/>
        <v>Cancelled</v>
      </c>
      <c r="S1144" s="3" t="s">
        <v>31</v>
      </c>
    </row>
    <row r="1145" spans="1:19" x14ac:dyDescent="0.35">
      <c r="A1145" s="3">
        <v>2144</v>
      </c>
      <c r="B1145" s="3" t="s">
        <v>458</v>
      </c>
      <c r="C1145" s="4">
        <v>45447</v>
      </c>
      <c r="D1145" s="3" t="s">
        <v>96</v>
      </c>
      <c r="E1145" s="4">
        <v>45506</v>
      </c>
      <c r="F1145" s="4">
        <v>45507</v>
      </c>
      <c r="G1145" s="3" t="s">
        <v>34</v>
      </c>
      <c r="H1145" s="3" t="s">
        <v>21</v>
      </c>
      <c r="I1145" s="3" t="s">
        <v>22</v>
      </c>
      <c r="J1145" s="3" t="s">
        <v>30</v>
      </c>
      <c r="K1145" s="3">
        <v>59</v>
      </c>
      <c r="L1145" s="3">
        <v>1</v>
      </c>
      <c r="M1145" s="3">
        <v>4357</v>
      </c>
      <c r="N1145" s="3">
        <v>4357</v>
      </c>
      <c r="O1145" s="3">
        <v>0</v>
      </c>
      <c r="P1145" s="3" t="s">
        <v>51</v>
      </c>
      <c r="Q1145" s="3">
        <v>1</v>
      </c>
      <c r="R1145" s="3" t="str">
        <f t="shared" si="17"/>
        <v>Cancelled</v>
      </c>
      <c r="S1145" s="3" t="s">
        <v>25</v>
      </c>
    </row>
    <row r="1146" spans="1:19" x14ac:dyDescent="0.35">
      <c r="A1146" s="3">
        <v>2145</v>
      </c>
      <c r="B1146" s="3" t="s">
        <v>885</v>
      </c>
      <c r="C1146" s="4">
        <v>45338</v>
      </c>
      <c r="D1146" s="3" t="s">
        <v>94</v>
      </c>
      <c r="E1146" s="4">
        <v>45394</v>
      </c>
      <c r="F1146" s="4">
        <v>45396</v>
      </c>
      <c r="G1146" s="3" t="s">
        <v>28</v>
      </c>
      <c r="H1146" s="3" t="s">
        <v>35</v>
      </c>
      <c r="I1146" s="3" t="s">
        <v>22</v>
      </c>
      <c r="J1146" s="3" t="s">
        <v>46</v>
      </c>
      <c r="K1146" s="3">
        <v>56</v>
      </c>
      <c r="L1146" s="3">
        <v>2</v>
      </c>
      <c r="M1146" s="3">
        <v>3269</v>
      </c>
      <c r="N1146" s="3">
        <v>6538</v>
      </c>
      <c r="O1146" s="3">
        <v>6538</v>
      </c>
      <c r="P1146" s="3" t="s">
        <v>24</v>
      </c>
      <c r="Q1146" s="3">
        <v>0</v>
      </c>
      <c r="R1146" s="3" t="str">
        <f t="shared" si="17"/>
        <v>Not Cancelled</v>
      </c>
      <c r="S1146" s="3" t="s">
        <v>25</v>
      </c>
    </row>
    <row r="1147" spans="1:19" x14ac:dyDescent="0.35">
      <c r="A1147" s="3">
        <v>2146</v>
      </c>
      <c r="B1147" s="3" t="s">
        <v>886</v>
      </c>
      <c r="C1147" s="4">
        <v>45492</v>
      </c>
      <c r="D1147" s="3" t="s">
        <v>179</v>
      </c>
      <c r="E1147" s="4">
        <v>45532</v>
      </c>
      <c r="F1147" s="4">
        <v>45534</v>
      </c>
      <c r="G1147" s="3" t="s">
        <v>28</v>
      </c>
      <c r="H1147" s="3" t="s">
        <v>29</v>
      </c>
      <c r="I1147" s="3" t="s">
        <v>22</v>
      </c>
      <c r="J1147" s="3" t="s">
        <v>30</v>
      </c>
      <c r="K1147" s="3">
        <v>40</v>
      </c>
      <c r="L1147" s="3">
        <v>2</v>
      </c>
      <c r="M1147" s="3">
        <v>3922</v>
      </c>
      <c r="N1147" s="3">
        <v>7844</v>
      </c>
      <c r="O1147" s="3">
        <v>0</v>
      </c>
      <c r="P1147" s="3" t="s">
        <v>24</v>
      </c>
      <c r="Q1147" s="3">
        <v>1</v>
      </c>
      <c r="R1147" s="3" t="str">
        <f t="shared" si="17"/>
        <v>Cancelled</v>
      </c>
      <c r="S1147" s="3" t="s">
        <v>25</v>
      </c>
    </row>
    <row r="1148" spans="1:19" x14ac:dyDescent="0.35">
      <c r="A1148" s="3">
        <v>2147</v>
      </c>
      <c r="B1148" s="3" t="s">
        <v>887</v>
      </c>
      <c r="C1148" s="4">
        <v>45439</v>
      </c>
      <c r="D1148" s="3" t="s">
        <v>57</v>
      </c>
      <c r="E1148" s="4">
        <v>45468</v>
      </c>
      <c r="F1148" s="4">
        <v>45469</v>
      </c>
      <c r="G1148" s="3" t="s">
        <v>34</v>
      </c>
      <c r="H1148" s="3" t="s">
        <v>21</v>
      </c>
      <c r="I1148" s="3" t="s">
        <v>22</v>
      </c>
      <c r="J1148" s="3" t="s">
        <v>23</v>
      </c>
      <c r="K1148" s="3">
        <v>29</v>
      </c>
      <c r="L1148" s="3">
        <v>1</v>
      </c>
      <c r="M1148" s="3">
        <v>2906</v>
      </c>
      <c r="N1148" s="3">
        <v>2906</v>
      </c>
      <c r="O1148" s="3">
        <v>0</v>
      </c>
      <c r="P1148" s="3" t="s">
        <v>51</v>
      </c>
      <c r="Q1148" s="3">
        <v>1</v>
      </c>
      <c r="R1148" s="3" t="str">
        <f t="shared" si="17"/>
        <v>Cancelled</v>
      </c>
      <c r="S1148" s="3" t="s">
        <v>25</v>
      </c>
    </row>
    <row r="1149" spans="1:19" x14ac:dyDescent="0.35">
      <c r="A1149" s="3">
        <v>2148</v>
      </c>
      <c r="B1149" s="3" t="s">
        <v>271</v>
      </c>
      <c r="C1149" s="4">
        <v>45415</v>
      </c>
      <c r="D1149" s="3" t="s">
        <v>209</v>
      </c>
      <c r="E1149" s="4">
        <v>45422</v>
      </c>
      <c r="F1149" s="4">
        <v>45423</v>
      </c>
      <c r="G1149" s="3" t="s">
        <v>34</v>
      </c>
      <c r="H1149" s="3" t="s">
        <v>60</v>
      </c>
      <c r="I1149" s="3" t="s">
        <v>39</v>
      </c>
      <c r="J1149" s="3" t="s">
        <v>46</v>
      </c>
      <c r="K1149" s="3">
        <v>7</v>
      </c>
      <c r="L1149" s="3">
        <v>1</v>
      </c>
      <c r="M1149" s="3">
        <v>5472</v>
      </c>
      <c r="N1149" s="3">
        <v>5472</v>
      </c>
      <c r="O1149" s="3">
        <v>5472</v>
      </c>
      <c r="P1149" s="3" t="s">
        <v>51</v>
      </c>
      <c r="Q1149" s="3">
        <v>0</v>
      </c>
      <c r="R1149" s="3" t="str">
        <f t="shared" si="17"/>
        <v>Not Cancelled</v>
      </c>
      <c r="S1149" s="3" t="s">
        <v>25</v>
      </c>
    </row>
    <row r="1150" spans="1:19" x14ac:dyDescent="0.35">
      <c r="A1150" s="3">
        <v>2149</v>
      </c>
      <c r="B1150" s="3" t="s">
        <v>707</v>
      </c>
      <c r="C1150" s="4">
        <v>45292</v>
      </c>
      <c r="D1150" s="3" t="s">
        <v>179</v>
      </c>
      <c r="E1150" s="4">
        <v>45332</v>
      </c>
      <c r="F1150" s="4">
        <v>45335</v>
      </c>
      <c r="G1150" s="3" t="s">
        <v>20</v>
      </c>
      <c r="H1150" s="3" t="s">
        <v>29</v>
      </c>
      <c r="I1150" s="3" t="s">
        <v>39</v>
      </c>
      <c r="J1150" s="3" t="s">
        <v>23</v>
      </c>
      <c r="K1150" s="3">
        <v>40</v>
      </c>
      <c r="L1150" s="3">
        <v>3</v>
      </c>
      <c r="M1150" s="3">
        <v>4372</v>
      </c>
      <c r="N1150" s="3">
        <v>13116</v>
      </c>
      <c r="O1150" s="3">
        <v>0</v>
      </c>
      <c r="P1150" s="3" t="s">
        <v>24</v>
      </c>
      <c r="Q1150" s="3">
        <v>1</v>
      </c>
      <c r="R1150" s="3" t="str">
        <f t="shared" si="17"/>
        <v>Cancelled</v>
      </c>
      <c r="S1150" s="3" t="s">
        <v>31</v>
      </c>
    </row>
    <row r="1151" spans="1:19" x14ac:dyDescent="0.35">
      <c r="A1151" s="3">
        <v>2150</v>
      </c>
      <c r="B1151" s="3" t="s">
        <v>888</v>
      </c>
      <c r="C1151" s="4">
        <v>45538</v>
      </c>
      <c r="D1151" s="3" t="s">
        <v>44</v>
      </c>
      <c r="E1151" s="4">
        <v>45551</v>
      </c>
      <c r="F1151" s="4">
        <v>45554</v>
      </c>
      <c r="G1151" s="3" t="s">
        <v>20</v>
      </c>
      <c r="H1151" s="3" t="s">
        <v>35</v>
      </c>
      <c r="I1151" s="3" t="s">
        <v>39</v>
      </c>
      <c r="J1151" s="3" t="s">
        <v>23</v>
      </c>
      <c r="K1151" s="3">
        <v>13</v>
      </c>
      <c r="L1151" s="3">
        <v>3</v>
      </c>
      <c r="M1151" s="3">
        <v>8099</v>
      </c>
      <c r="N1151" s="3">
        <v>24297</v>
      </c>
      <c r="O1151" s="3">
        <v>0</v>
      </c>
      <c r="P1151" s="3" t="s">
        <v>51</v>
      </c>
      <c r="Q1151" s="3">
        <v>1</v>
      </c>
      <c r="R1151" s="3" t="str">
        <f t="shared" si="17"/>
        <v>Cancelled</v>
      </c>
      <c r="S1151" s="3" t="s">
        <v>25</v>
      </c>
    </row>
    <row r="1152" spans="1:19" x14ac:dyDescent="0.35">
      <c r="A1152" s="3">
        <v>2151</v>
      </c>
      <c r="B1152" s="3" t="s">
        <v>889</v>
      </c>
      <c r="C1152" s="4">
        <v>45634</v>
      </c>
      <c r="D1152" s="3" t="s">
        <v>115</v>
      </c>
      <c r="E1152" s="4">
        <v>45672</v>
      </c>
      <c r="F1152" s="4">
        <v>45673</v>
      </c>
      <c r="G1152" s="3" t="s">
        <v>34</v>
      </c>
      <c r="H1152" s="3" t="s">
        <v>60</v>
      </c>
      <c r="I1152" s="3" t="s">
        <v>22</v>
      </c>
      <c r="J1152" s="3" t="s">
        <v>23</v>
      </c>
      <c r="K1152" s="3">
        <v>38</v>
      </c>
      <c r="L1152" s="3">
        <v>1</v>
      </c>
      <c r="M1152" s="3">
        <v>5194</v>
      </c>
      <c r="N1152" s="3">
        <v>5194</v>
      </c>
      <c r="O1152" s="3">
        <v>0</v>
      </c>
      <c r="P1152" s="3" t="s">
        <v>24</v>
      </c>
      <c r="Q1152" s="3">
        <v>1</v>
      </c>
      <c r="R1152" s="3" t="str">
        <f t="shared" si="17"/>
        <v>Cancelled</v>
      </c>
      <c r="S1152" s="3" t="s">
        <v>31</v>
      </c>
    </row>
    <row r="1153" spans="1:19" x14ac:dyDescent="0.35">
      <c r="A1153" s="3">
        <v>2152</v>
      </c>
      <c r="B1153" s="3" t="s">
        <v>890</v>
      </c>
      <c r="C1153" s="4">
        <v>45419</v>
      </c>
      <c r="D1153" s="3" t="s">
        <v>27</v>
      </c>
      <c r="E1153" s="4">
        <v>45437</v>
      </c>
      <c r="F1153" s="4">
        <v>45441</v>
      </c>
      <c r="G1153" s="3" t="s">
        <v>42</v>
      </c>
      <c r="H1153" s="3" t="s">
        <v>38</v>
      </c>
      <c r="I1153" s="3" t="s">
        <v>39</v>
      </c>
      <c r="J1153" s="3" t="s">
        <v>30</v>
      </c>
      <c r="K1153" s="3">
        <v>18</v>
      </c>
      <c r="L1153" s="3">
        <v>4</v>
      </c>
      <c r="M1153" s="3">
        <v>4769</v>
      </c>
      <c r="N1153" s="3">
        <v>19076</v>
      </c>
      <c r="O1153" s="3">
        <v>0</v>
      </c>
      <c r="P1153" s="3" t="s">
        <v>51</v>
      </c>
      <c r="Q1153" s="3">
        <v>1</v>
      </c>
      <c r="R1153" s="3" t="str">
        <f t="shared" si="17"/>
        <v>Cancelled</v>
      </c>
      <c r="S1153" s="3" t="s">
        <v>25</v>
      </c>
    </row>
    <row r="1154" spans="1:19" x14ac:dyDescent="0.35">
      <c r="A1154" s="3">
        <v>2153</v>
      </c>
      <c r="B1154" s="3" t="s">
        <v>764</v>
      </c>
      <c r="C1154" s="4">
        <v>45482</v>
      </c>
      <c r="D1154" s="3" t="s">
        <v>28</v>
      </c>
      <c r="E1154" s="4">
        <v>45484</v>
      </c>
      <c r="F1154" s="4">
        <v>45486</v>
      </c>
      <c r="G1154" s="3" t="s">
        <v>28</v>
      </c>
      <c r="H1154" s="3" t="s">
        <v>60</v>
      </c>
      <c r="I1154" s="3" t="s">
        <v>22</v>
      </c>
      <c r="J1154" s="3" t="s">
        <v>30</v>
      </c>
      <c r="K1154" s="3">
        <v>2</v>
      </c>
      <c r="L1154" s="3">
        <v>2</v>
      </c>
      <c r="M1154" s="3">
        <v>7775</v>
      </c>
      <c r="N1154" s="3">
        <v>15550</v>
      </c>
      <c r="O1154" s="3">
        <v>15550</v>
      </c>
      <c r="P1154" s="3" t="s">
        <v>24</v>
      </c>
      <c r="Q1154" s="3">
        <v>0</v>
      </c>
      <c r="R1154" s="3" t="str">
        <f t="shared" si="17"/>
        <v>Not Cancelled</v>
      </c>
      <c r="S1154" s="3" t="s">
        <v>25</v>
      </c>
    </row>
    <row r="1155" spans="1:19" x14ac:dyDescent="0.35">
      <c r="A1155" s="3">
        <v>2154</v>
      </c>
      <c r="B1155" s="3" t="s">
        <v>263</v>
      </c>
      <c r="C1155" s="4">
        <v>45358</v>
      </c>
      <c r="D1155" s="3" t="s">
        <v>59</v>
      </c>
      <c r="E1155" s="4">
        <v>45366</v>
      </c>
      <c r="F1155" s="4">
        <v>45369</v>
      </c>
      <c r="G1155" s="3" t="s">
        <v>20</v>
      </c>
      <c r="H1155" s="3" t="s">
        <v>35</v>
      </c>
      <c r="I1155" s="3" t="s">
        <v>39</v>
      </c>
      <c r="J1155" s="3" t="s">
        <v>30</v>
      </c>
      <c r="K1155" s="3">
        <v>8</v>
      </c>
      <c r="L1155" s="3">
        <v>3</v>
      </c>
      <c r="M1155" s="3">
        <v>7249</v>
      </c>
      <c r="N1155" s="3">
        <v>21747</v>
      </c>
      <c r="O1155" s="3">
        <v>21747</v>
      </c>
      <c r="P1155" s="3" t="s">
        <v>24</v>
      </c>
      <c r="Q1155" s="3">
        <v>0</v>
      </c>
      <c r="R1155" s="3" t="str">
        <f t="shared" ref="R1155:R1218" si="18">IF(Q1155=0,"Not Cancelled","Cancelled")</f>
        <v>Not Cancelled</v>
      </c>
      <c r="S1155" s="3" t="s">
        <v>31</v>
      </c>
    </row>
    <row r="1156" spans="1:19" x14ac:dyDescent="0.35">
      <c r="A1156" s="3">
        <v>2155</v>
      </c>
      <c r="B1156" s="3" t="s">
        <v>740</v>
      </c>
      <c r="C1156" s="4">
        <v>45295</v>
      </c>
      <c r="D1156" s="3" t="s">
        <v>75</v>
      </c>
      <c r="E1156" s="4">
        <v>45306</v>
      </c>
      <c r="F1156" s="4">
        <v>45308</v>
      </c>
      <c r="G1156" s="3" t="s">
        <v>28</v>
      </c>
      <c r="H1156" s="3" t="s">
        <v>60</v>
      </c>
      <c r="I1156" s="3" t="s">
        <v>22</v>
      </c>
      <c r="J1156" s="3" t="s">
        <v>30</v>
      </c>
      <c r="K1156" s="3">
        <v>11</v>
      </c>
      <c r="L1156" s="3">
        <v>2</v>
      </c>
      <c r="M1156" s="3">
        <v>3681</v>
      </c>
      <c r="N1156" s="3">
        <v>7362</v>
      </c>
      <c r="O1156" s="3">
        <v>7362</v>
      </c>
      <c r="P1156" s="3" t="s">
        <v>51</v>
      </c>
      <c r="Q1156" s="3">
        <v>0</v>
      </c>
      <c r="R1156" s="3" t="str">
        <f t="shared" si="18"/>
        <v>Not Cancelled</v>
      </c>
      <c r="S1156" s="3" t="s">
        <v>25</v>
      </c>
    </row>
    <row r="1157" spans="1:19" x14ac:dyDescent="0.35">
      <c r="A1157" s="3">
        <v>2156</v>
      </c>
      <c r="B1157" s="3" t="s">
        <v>891</v>
      </c>
      <c r="C1157" s="4">
        <v>45594</v>
      </c>
      <c r="D1157" s="3" t="s">
        <v>69</v>
      </c>
      <c r="E1157" s="4">
        <v>45627</v>
      </c>
      <c r="F1157" s="4">
        <v>45632</v>
      </c>
      <c r="G1157" s="3" t="s">
        <v>45</v>
      </c>
      <c r="H1157" s="3" t="s">
        <v>35</v>
      </c>
      <c r="I1157" s="3" t="s">
        <v>22</v>
      </c>
      <c r="J1157" s="3" t="s">
        <v>46</v>
      </c>
      <c r="K1157" s="3">
        <v>33</v>
      </c>
      <c r="L1157" s="3">
        <v>5</v>
      </c>
      <c r="M1157" s="3">
        <v>7572</v>
      </c>
      <c r="N1157" s="3">
        <v>37860</v>
      </c>
      <c r="O1157" s="3">
        <v>37860</v>
      </c>
      <c r="P1157" s="3" t="s">
        <v>51</v>
      </c>
      <c r="Q1157" s="3">
        <v>0</v>
      </c>
      <c r="R1157" s="3" t="str">
        <f t="shared" si="18"/>
        <v>Not Cancelled</v>
      </c>
      <c r="S1157" s="3" t="s">
        <v>25</v>
      </c>
    </row>
    <row r="1158" spans="1:19" x14ac:dyDescent="0.35">
      <c r="A1158" s="3">
        <v>2157</v>
      </c>
      <c r="B1158" s="3" t="s">
        <v>507</v>
      </c>
      <c r="C1158" s="4">
        <v>45585</v>
      </c>
      <c r="D1158" s="3" t="s">
        <v>117</v>
      </c>
      <c r="E1158" s="4">
        <v>45639</v>
      </c>
      <c r="F1158" s="4">
        <v>45640</v>
      </c>
      <c r="G1158" s="3" t="s">
        <v>34</v>
      </c>
      <c r="H1158" s="3" t="s">
        <v>29</v>
      </c>
      <c r="I1158" s="3" t="s">
        <v>39</v>
      </c>
      <c r="J1158" s="3" t="s">
        <v>30</v>
      </c>
      <c r="K1158" s="3">
        <v>54</v>
      </c>
      <c r="L1158" s="3">
        <v>1</v>
      </c>
      <c r="M1158" s="3">
        <v>3939</v>
      </c>
      <c r="N1158" s="3">
        <v>3939</v>
      </c>
      <c r="O1158" s="3">
        <v>3939</v>
      </c>
      <c r="P1158" s="3" t="s">
        <v>24</v>
      </c>
      <c r="Q1158" s="3">
        <v>0</v>
      </c>
      <c r="R1158" s="3" t="str">
        <f t="shared" si="18"/>
        <v>Not Cancelled</v>
      </c>
      <c r="S1158" s="3" t="s">
        <v>25</v>
      </c>
    </row>
    <row r="1159" spans="1:19" x14ac:dyDescent="0.35">
      <c r="A1159" s="3">
        <v>2158</v>
      </c>
      <c r="B1159" s="3" t="s">
        <v>65</v>
      </c>
      <c r="C1159" s="4">
        <v>45434</v>
      </c>
      <c r="D1159" s="3" t="s">
        <v>115</v>
      </c>
      <c r="E1159" s="4">
        <v>45472</v>
      </c>
      <c r="F1159" s="4">
        <v>45476</v>
      </c>
      <c r="G1159" s="3" t="s">
        <v>42</v>
      </c>
      <c r="H1159" s="3" t="s">
        <v>21</v>
      </c>
      <c r="I1159" s="3" t="s">
        <v>22</v>
      </c>
      <c r="J1159" s="3" t="s">
        <v>46</v>
      </c>
      <c r="K1159" s="3">
        <v>38</v>
      </c>
      <c r="L1159" s="3">
        <v>4</v>
      </c>
      <c r="M1159" s="3">
        <v>5553</v>
      </c>
      <c r="N1159" s="3">
        <v>22212</v>
      </c>
      <c r="O1159" s="3">
        <v>0</v>
      </c>
      <c r="P1159" s="3" t="s">
        <v>51</v>
      </c>
      <c r="Q1159" s="3">
        <v>1</v>
      </c>
      <c r="R1159" s="3" t="str">
        <f t="shared" si="18"/>
        <v>Cancelled</v>
      </c>
      <c r="S1159" s="3" t="s">
        <v>25</v>
      </c>
    </row>
    <row r="1160" spans="1:19" x14ac:dyDescent="0.35">
      <c r="A1160" s="3">
        <v>2159</v>
      </c>
      <c r="B1160" s="3" t="s">
        <v>875</v>
      </c>
      <c r="C1160" s="4">
        <v>45482</v>
      </c>
      <c r="D1160" s="3" t="s">
        <v>73</v>
      </c>
      <c r="E1160" s="4">
        <v>45530</v>
      </c>
      <c r="F1160" s="4">
        <v>45535</v>
      </c>
      <c r="G1160" s="3" t="s">
        <v>45</v>
      </c>
      <c r="H1160" s="3" t="s">
        <v>38</v>
      </c>
      <c r="I1160" s="3" t="s">
        <v>39</v>
      </c>
      <c r="J1160" s="3" t="s">
        <v>23</v>
      </c>
      <c r="K1160" s="3">
        <v>48</v>
      </c>
      <c r="L1160" s="3">
        <v>5</v>
      </c>
      <c r="M1160" s="3">
        <v>7963</v>
      </c>
      <c r="N1160" s="3">
        <v>39815</v>
      </c>
      <c r="O1160" s="3">
        <v>0</v>
      </c>
      <c r="P1160" s="3" t="s">
        <v>51</v>
      </c>
      <c r="Q1160" s="3">
        <v>1</v>
      </c>
      <c r="R1160" s="3" t="str">
        <f t="shared" si="18"/>
        <v>Cancelled</v>
      </c>
      <c r="S1160" s="3" t="s">
        <v>31</v>
      </c>
    </row>
    <row r="1161" spans="1:19" x14ac:dyDescent="0.35">
      <c r="A1161" s="3">
        <v>2160</v>
      </c>
      <c r="B1161" s="3" t="s">
        <v>892</v>
      </c>
      <c r="C1161" s="4">
        <v>45312</v>
      </c>
      <c r="D1161" s="3" t="s">
        <v>185</v>
      </c>
      <c r="E1161" s="4">
        <v>45339</v>
      </c>
      <c r="F1161" s="4">
        <v>45344</v>
      </c>
      <c r="G1161" s="3" t="s">
        <v>45</v>
      </c>
      <c r="H1161" s="3" t="s">
        <v>21</v>
      </c>
      <c r="I1161" s="3" t="s">
        <v>39</v>
      </c>
      <c r="J1161" s="3" t="s">
        <v>46</v>
      </c>
      <c r="K1161" s="3">
        <v>27</v>
      </c>
      <c r="L1161" s="3">
        <v>5</v>
      </c>
      <c r="M1161" s="3">
        <v>5833</v>
      </c>
      <c r="N1161" s="3">
        <v>29165</v>
      </c>
      <c r="O1161" s="3">
        <v>29165</v>
      </c>
      <c r="P1161" s="3" t="s">
        <v>24</v>
      </c>
      <c r="Q1161" s="3">
        <v>0</v>
      </c>
      <c r="R1161" s="3" t="str">
        <f t="shared" si="18"/>
        <v>Not Cancelled</v>
      </c>
      <c r="S1161" s="3" t="s">
        <v>25</v>
      </c>
    </row>
    <row r="1162" spans="1:19" x14ac:dyDescent="0.35">
      <c r="A1162" s="3">
        <v>2161</v>
      </c>
      <c r="B1162" s="3" t="s">
        <v>893</v>
      </c>
      <c r="C1162" s="4">
        <v>45518</v>
      </c>
      <c r="D1162" s="3" t="s">
        <v>157</v>
      </c>
      <c r="E1162" s="4">
        <v>45538</v>
      </c>
      <c r="F1162" s="4">
        <v>45543</v>
      </c>
      <c r="G1162" s="3" t="s">
        <v>45</v>
      </c>
      <c r="H1162" s="3" t="s">
        <v>21</v>
      </c>
      <c r="I1162" s="3" t="s">
        <v>39</v>
      </c>
      <c r="J1162" s="3" t="s">
        <v>30</v>
      </c>
      <c r="K1162" s="3">
        <v>20</v>
      </c>
      <c r="L1162" s="3">
        <v>5</v>
      </c>
      <c r="M1162" s="3">
        <v>5397</v>
      </c>
      <c r="N1162" s="3">
        <v>26985</v>
      </c>
      <c r="O1162" s="3">
        <v>0</v>
      </c>
      <c r="P1162" s="3" t="s">
        <v>24</v>
      </c>
      <c r="Q1162" s="3">
        <v>1</v>
      </c>
      <c r="R1162" s="3" t="str">
        <f t="shared" si="18"/>
        <v>Cancelled</v>
      </c>
      <c r="S1162" s="3" t="s">
        <v>25</v>
      </c>
    </row>
    <row r="1163" spans="1:19" x14ac:dyDescent="0.35">
      <c r="A1163" s="3">
        <v>2162</v>
      </c>
      <c r="B1163" s="3" t="s">
        <v>509</v>
      </c>
      <c r="C1163" s="4">
        <v>45604</v>
      </c>
      <c r="D1163" s="3" t="s">
        <v>102</v>
      </c>
      <c r="E1163" s="4">
        <v>45616</v>
      </c>
      <c r="F1163" s="4">
        <v>45617</v>
      </c>
      <c r="G1163" s="3" t="s">
        <v>34</v>
      </c>
      <c r="H1163" s="3" t="s">
        <v>21</v>
      </c>
      <c r="I1163" s="3" t="s">
        <v>22</v>
      </c>
      <c r="J1163" s="3" t="s">
        <v>46</v>
      </c>
      <c r="K1163" s="3">
        <v>12</v>
      </c>
      <c r="L1163" s="3">
        <v>1</v>
      </c>
      <c r="M1163" s="3">
        <v>5403</v>
      </c>
      <c r="N1163" s="3">
        <v>5403</v>
      </c>
      <c r="O1163" s="3">
        <v>5403</v>
      </c>
      <c r="P1163" s="3" t="s">
        <v>51</v>
      </c>
      <c r="Q1163" s="3">
        <v>0</v>
      </c>
      <c r="R1163" s="3" t="str">
        <f t="shared" si="18"/>
        <v>Not Cancelled</v>
      </c>
      <c r="S1163" s="3" t="s">
        <v>31</v>
      </c>
    </row>
    <row r="1164" spans="1:19" x14ac:dyDescent="0.35">
      <c r="A1164" s="3">
        <v>2163</v>
      </c>
      <c r="B1164" s="3" t="s">
        <v>638</v>
      </c>
      <c r="C1164" s="4">
        <v>45408</v>
      </c>
      <c r="D1164" s="3" t="s">
        <v>66</v>
      </c>
      <c r="E1164" s="4">
        <v>45451</v>
      </c>
      <c r="F1164" s="4">
        <v>45454</v>
      </c>
      <c r="G1164" s="3" t="s">
        <v>20</v>
      </c>
      <c r="H1164" s="3" t="s">
        <v>35</v>
      </c>
      <c r="I1164" s="3" t="s">
        <v>22</v>
      </c>
      <c r="J1164" s="3" t="s">
        <v>30</v>
      </c>
      <c r="K1164" s="3">
        <v>43</v>
      </c>
      <c r="L1164" s="3">
        <v>3</v>
      </c>
      <c r="M1164" s="3">
        <v>2728</v>
      </c>
      <c r="N1164" s="3">
        <v>8184</v>
      </c>
      <c r="O1164" s="3">
        <v>8184</v>
      </c>
      <c r="P1164" s="3" t="s">
        <v>51</v>
      </c>
      <c r="Q1164" s="3">
        <v>0</v>
      </c>
      <c r="R1164" s="3" t="str">
        <f t="shared" si="18"/>
        <v>Not Cancelled</v>
      </c>
      <c r="S1164" s="3" t="s">
        <v>31</v>
      </c>
    </row>
    <row r="1165" spans="1:19" x14ac:dyDescent="0.35">
      <c r="A1165" s="3">
        <v>2164</v>
      </c>
      <c r="B1165" s="3" t="s">
        <v>330</v>
      </c>
      <c r="C1165" s="4">
        <v>45593</v>
      </c>
      <c r="D1165" s="3" t="s">
        <v>48</v>
      </c>
      <c r="E1165" s="4">
        <v>45624</v>
      </c>
      <c r="F1165" s="4">
        <v>45625</v>
      </c>
      <c r="G1165" s="3" t="s">
        <v>34</v>
      </c>
      <c r="H1165" s="3" t="s">
        <v>35</v>
      </c>
      <c r="I1165" s="3" t="s">
        <v>22</v>
      </c>
      <c r="J1165" s="3" t="s">
        <v>30</v>
      </c>
      <c r="K1165" s="3">
        <v>31</v>
      </c>
      <c r="L1165" s="3">
        <v>1</v>
      </c>
      <c r="M1165" s="3">
        <v>6459</v>
      </c>
      <c r="N1165" s="3">
        <v>6459</v>
      </c>
      <c r="O1165" s="3">
        <v>0</v>
      </c>
      <c r="P1165" s="3" t="s">
        <v>24</v>
      </c>
      <c r="Q1165" s="3">
        <v>1</v>
      </c>
      <c r="R1165" s="3" t="str">
        <f t="shared" si="18"/>
        <v>Cancelled</v>
      </c>
      <c r="S1165" s="3" t="s">
        <v>25</v>
      </c>
    </row>
    <row r="1166" spans="1:19" x14ac:dyDescent="0.35">
      <c r="A1166" s="3">
        <v>2165</v>
      </c>
      <c r="B1166" s="3" t="s">
        <v>392</v>
      </c>
      <c r="C1166" s="4">
        <v>45433</v>
      </c>
      <c r="D1166" s="3" t="s">
        <v>185</v>
      </c>
      <c r="E1166" s="4">
        <v>45460</v>
      </c>
      <c r="F1166" s="4">
        <v>45463</v>
      </c>
      <c r="G1166" s="3" t="s">
        <v>20</v>
      </c>
      <c r="H1166" s="3" t="s">
        <v>38</v>
      </c>
      <c r="I1166" s="3" t="s">
        <v>22</v>
      </c>
      <c r="J1166" s="3" t="s">
        <v>46</v>
      </c>
      <c r="K1166" s="3">
        <v>27</v>
      </c>
      <c r="L1166" s="3">
        <v>3</v>
      </c>
      <c r="M1166" s="3">
        <v>8923</v>
      </c>
      <c r="N1166" s="3">
        <v>26769</v>
      </c>
      <c r="O1166" s="3">
        <v>26769</v>
      </c>
      <c r="P1166" s="3" t="s">
        <v>24</v>
      </c>
      <c r="Q1166" s="3">
        <v>0</v>
      </c>
      <c r="R1166" s="3" t="str">
        <f t="shared" si="18"/>
        <v>Not Cancelled</v>
      </c>
      <c r="S1166" s="3" t="s">
        <v>25</v>
      </c>
    </row>
    <row r="1167" spans="1:19" x14ac:dyDescent="0.35">
      <c r="A1167" s="3">
        <v>2166</v>
      </c>
      <c r="B1167" s="3" t="s">
        <v>791</v>
      </c>
      <c r="C1167" s="4">
        <v>45330</v>
      </c>
      <c r="D1167" s="3" t="s">
        <v>144</v>
      </c>
      <c r="E1167" s="4">
        <v>45362</v>
      </c>
      <c r="F1167" s="4">
        <v>45367</v>
      </c>
      <c r="G1167" s="3" t="s">
        <v>45</v>
      </c>
      <c r="H1167" s="3" t="s">
        <v>35</v>
      </c>
      <c r="I1167" s="3" t="s">
        <v>39</v>
      </c>
      <c r="J1167" s="3" t="s">
        <v>46</v>
      </c>
      <c r="K1167" s="3">
        <v>32</v>
      </c>
      <c r="L1167" s="3">
        <v>5</v>
      </c>
      <c r="M1167" s="3">
        <v>4393</v>
      </c>
      <c r="N1167" s="3">
        <v>21965</v>
      </c>
      <c r="O1167" s="3">
        <v>0</v>
      </c>
      <c r="P1167" s="3" t="s">
        <v>24</v>
      </c>
      <c r="Q1167" s="3">
        <v>1</v>
      </c>
      <c r="R1167" s="3" t="str">
        <f t="shared" si="18"/>
        <v>Cancelled</v>
      </c>
      <c r="S1167" s="3" t="s">
        <v>31</v>
      </c>
    </row>
    <row r="1168" spans="1:19" x14ac:dyDescent="0.35">
      <c r="A1168" s="3">
        <v>2167</v>
      </c>
      <c r="B1168" s="3" t="s">
        <v>568</v>
      </c>
      <c r="C1168" s="4">
        <v>45646</v>
      </c>
      <c r="D1168" s="3" t="s">
        <v>37</v>
      </c>
      <c r="E1168" s="4">
        <v>45656</v>
      </c>
      <c r="F1168" s="4">
        <v>45661</v>
      </c>
      <c r="G1168" s="3" t="s">
        <v>45</v>
      </c>
      <c r="H1168" s="3" t="s">
        <v>35</v>
      </c>
      <c r="I1168" s="3" t="s">
        <v>22</v>
      </c>
      <c r="J1168" s="3" t="s">
        <v>23</v>
      </c>
      <c r="K1168" s="3">
        <v>10</v>
      </c>
      <c r="L1168" s="3">
        <v>5</v>
      </c>
      <c r="M1168" s="3">
        <v>3813</v>
      </c>
      <c r="N1168" s="3">
        <v>19065</v>
      </c>
      <c r="O1168" s="3">
        <v>19065</v>
      </c>
      <c r="P1168" s="3" t="s">
        <v>24</v>
      </c>
      <c r="Q1168" s="3">
        <v>0</v>
      </c>
      <c r="R1168" s="3" t="str">
        <f t="shared" si="18"/>
        <v>Not Cancelled</v>
      </c>
      <c r="S1168" s="3" t="s">
        <v>25</v>
      </c>
    </row>
    <row r="1169" spans="1:19" x14ac:dyDescent="0.35">
      <c r="A1169" s="3">
        <v>2168</v>
      </c>
      <c r="B1169" s="3" t="s">
        <v>502</v>
      </c>
      <c r="C1169" s="4">
        <v>45543</v>
      </c>
      <c r="D1169" s="3" t="s">
        <v>20</v>
      </c>
      <c r="E1169" s="4">
        <v>45546</v>
      </c>
      <c r="F1169" s="4">
        <v>45550</v>
      </c>
      <c r="G1169" s="3" t="s">
        <v>42</v>
      </c>
      <c r="H1169" s="3" t="s">
        <v>35</v>
      </c>
      <c r="I1169" s="3" t="s">
        <v>39</v>
      </c>
      <c r="J1169" s="3" t="s">
        <v>23</v>
      </c>
      <c r="K1169" s="3">
        <v>3</v>
      </c>
      <c r="L1169" s="3">
        <v>4</v>
      </c>
      <c r="M1169" s="3">
        <v>3570</v>
      </c>
      <c r="N1169" s="3">
        <v>14280</v>
      </c>
      <c r="O1169" s="3">
        <v>0</v>
      </c>
      <c r="P1169" s="3" t="s">
        <v>24</v>
      </c>
      <c r="Q1169" s="3">
        <v>1</v>
      </c>
      <c r="R1169" s="3" t="str">
        <f t="shared" si="18"/>
        <v>Cancelled</v>
      </c>
      <c r="S1169" s="3" t="s">
        <v>31</v>
      </c>
    </row>
    <row r="1170" spans="1:19" x14ac:dyDescent="0.35">
      <c r="A1170" s="3">
        <v>2169</v>
      </c>
      <c r="B1170" s="3" t="s">
        <v>894</v>
      </c>
      <c r="C1170" s="4">
        <v>45624</v>
      </c>
      <c r="D1170" s="3" t="s">
        <v>64</v>
      </c>
      <c r="E1170" s="4">
        <v>45669</v>
      </c>
      <c r="F1170" s="4">
        <v>45672</v>
      </c>
      <c r="G1170" s="3" t="s">
        <v>20</v>
      </c>
      <c r="H1170" s="3" t="s">
        <v>35</v>
      </c>
      <c r="I1170" s="3" t="s">
        <v>39</v>
      </c>
      <c r="J1170" s="3" t="s">
        <v>23</v>
      </c>
      <c r="K1170" s="3">
        <v>45</v>
      </c>
      <c r="L1170" s="3">
        <v>3</v>
      </c>
      <c r="M1170" s="3">
        <v>3474</v>
      </c>
      <c r="N1170" s="3">
        <v>10422</v>
      </c>
      <c r="O1170" s="3">
        <v>10422</v>
      </c>
      <c r="P1170" s="3" t="s">
        <v>24</v>
      </c>
      <c r="Q1170" s="3">
        <v>0</v>
      </c>
      <c r="R1170" s="3" t="str">
        <f t="shared" si="18"/>
        <v>Not Cancelled</v>
      </c>
      <c r="S1170" s="3" t="s">
        <v>25</v>
      </c>
    </row>
    <row r="1171" spans="1:19" x14ac:dyDescent="0.35">
      <c r="A1171" s="3">
        <v>2170</v>
      </c>
      <c r="B1171" s="3" t="s">
        <v>104</v>
      </c>
      <c r="C1171" s="4">
        <v>45498</v>
      </c>
      <c r="D1171" s="3" t="s">
        <v>185</v>
      </c>
      <c r="E1171" s="4">
        <v>45525</v>
      </c>
      <c r="F1171" s="4">
        <v>45530</v>
      </c>
      <c r="G1171" s="3" t="s">
        <v>45</v>
      </c>
      <c r="H1171" s="3" t="s">
        <v>29</v>
      </c>
      <c r="I1171" s="3" t="s">
        <v>22</v>
      </c>
      <c r="J1171" s="3" t="s">
        <v>23</v>
      </c>
      <c r="K1171" s="3">
        <v>27</v>
      </c>
      <c r="L1171" s="3">
        <v>5</v>
      </c>
      <c r="M1171" s="3">
        <v>4238</v>
      </c>
      <c r="N1171" s="3">
        <v>21190</v>
      </c>
      <c r="O1171" s="3">
        <v>0</v>
      </c>
      <c r="P1171" s="3" t="s">
        <v>24</v>
      </c>
      <c r="Q1171" s="3">
        <v>1</v>
      </c>
      <c r="R1171" s="3" t="str">
        <f t="shared" si="18"/>
        <v>Cancelled</v>
      </c>
      <c r="S1171" s="3" t="s">
        <v>31</v>
      </c>
    </row>
    <row r="1172" spans="1:19" x14ac:dyDescent="0.35">
      <c r="A1172" s="3">
        <v>2171</v>
      </c>
      <c r="B1172" s="3" t="s">
        <v>895</v>
      </c>
      <c r="C1172" s="4">
        <v>45501</v>
      </c>
      <c r="D1172" s="3" t="s">
        <v>91</v>
      </c>
      <c r="E1172" s="4">
        <v>45536</v>
      </c>
      <c r="F1172" s="4">
        <v>45538</v>
      </c>
      <c r="G1172" s="3" t="s">
        <v>28</v>
      </c>
      <c r="H1172" s="3" t="s">
        <v>38</v>
      </c>
      <c r="I1172" s="3" t="s">
        <v>22</v>
      </c>
      <c r="J1172" s="3" t="s">
        <v>23</v>
      </c>
      <c r="K1172" s="3">
        <v>35</v>
      </c>
      <c r="L1172" s="3">
        <v>2</v>
      </c>
      <c r="M1172" s="3">
        <v>5785</v>
      </c>
      <c r="N1172" s="3">
        <v>11570</v>
      </c>
      <c r="O1172" s="3">
        <v>0</v>
      </c>
      <c r="P1172" s="3" t="s">
        <v>24</v>
      </c>
      <c r="Q1172" s="3">
        <v>1</v>
      </c>
      <c r="R1172" s="3" t="str">
        <f t="shared" si="18"/>
        <v>Cancelled</v>
      </c>
      <c r="S1172" s="3" t="s">
        <v>31</v>
      </c>
    </row>
    <row r="1173" spans="1:19" x14ac:dyDescent="0.35">
      <c r="A1173" s="3">
        <v>2172</v>
      </c>
      <c r="B1173" s="3" t="s">
        <v>896</v>
      </c>
      <c r="C1173" s="4">
        <v>45406</v>
      </c>
      <c r="D1173" s="3" t="s">
        <v>48</v>
      </c>
      <c r="E1173" s="4">
        <v>45437</v>
      </c>
      <c r="F1173" s="4">
        <v>45441</v>
      </c>
      <c r="G1173" s="3" t="s">
        <v>42</v>
      </c>
      <c r="H1173" s="3" t="s">
        <v>35</v>
      </c>
      <c r="I1173" s="3" t="s">
        <v>39</v>
      </c>
      <c r="J1173" s="3" t="s">
        <v>46</v>
      </c>
      <c r="K1173" s="3">
        <v>31</v>
      </c>
      <c r="L1173" s="3">
        <v>4</v>
      </c>
      <c r="M1173" s="3">
        <v>3257</v>
      </c>
      <c r="N1173" s="3">
        <v>13028</v>
      </c>
      <c r="O1173" s="3">
        <v>0</v>
      </c>
      <c r="P1173" s="3" t="s">
        <v>51</v>
      </c>
      <c r="Q1173" s="3">
        <v>1</v>
      </c>
      <c r="R1173" s="3" t="str">
        <f t="shared" si="18"/>
        <v>Cancelled</v>
      </c>
      <c r="S1173" s="3" t="s">
        <v>31</v>
      </c>
    </row>
    <row r="1174" spans="1:19" x14ac:dyDescent="0.35">
      <c r="A1174" s="3">
        <v>2173</v>
      </c>
      <c r="B1174" s="3" t="s">
        <v>395</v>
      </c>
      <c r="C1174" s="4">
        <v>45516</v>
      </c>
      <c r="D1174" s="3" t="s">
        <v>277</v>
      </c>
      <c r="E1174" s="4">
        <v>45531</v>
      </c>
      <c r="F1174" s="4">
        <v>45532</v>
      </c>
      <c r="G1174" s="3" t="s">
        <v>34</v>
      </c>
      <c r="H1174" s="3" t="s">
        <v>38</v>
      </c>
      <c r="I1174" s="3" t="s">
        <v>22</v>
      </c>
      <c r="J1174" s="3" t="s">
        <v>23</v>
      </c>
      <c r="K1174" s="3">
        <v>15</v>
      </c>
      <c r="L1174" s="3">
        <v>1</v>
      </c>
      <c r="M1174" s="3">
        <v>5595</v>
      </c>
      <c r="N1174" s="3">
        <v>5595</v>
      </c>
      <c r="O1174" s="3">
        <v>0</v>
      </c>
      <c r="P1174" s="3" t="s">
        <v>51</v>
      </c>
      <c r="Q1174" s="3">
        <v>1</v>
      </c>
      <c r="R1174" s="3" t="str">
        <f t="shared" si="18"/>
        <v>Cancelled</v>
      </c>
      <c r="S1174" s="3" t="s">
        <v>25</v>
      </c>
    </row>
    <row r="1175" spans="1:19" x14ac:dyDescent="0.35">
      <c r="A1175" s="3">
        <v>2174</v>
      </c>
      <c r="B1175" s="3" t="s">
        <v>422</v>
      </c>
      <c r="C1175" s="4">
        <v>45425</v>
      </c>
      <c r="D1175" s="3" t="s">
        <v>88</v>
      </c>
      <c r="E1175" s="4">
        <v>45441</v>
      </c>
      <c r="F1175" s="4">
        <v>45445</v>
      </c>
      <c r="G1175" s="3" t="s">
        <v>42</v>
      </c>
      <c r="H1175" s="3" t="s">
        <v>60</v>
      </c>
      <c r="I1175" s="3" t="s">
        <v>39</v>
      </c>
      <c r="J1175" s="3" t="s">
        <v>46</v>
      </c>
      <c r="K1175" s="3">
        <v>16</v>
      </c>
      <c r="L1175" s="3">
        <v>4</v>
      </c>
      <c r="M1175" s="3">
        <v>2820</v>
      </c>
      <c r="N1175" s="3">
        <v>11280</v>
      </c>
      <c r="O1175" s="3">
        <v>0</v>
      </c>
      <c r="P1175" s="3" t="s">
        <v>51</v>
      </c>
      <c r="Q1175" s="3">
        <v>1</v>
      </c>
      <c r="R1175" s="3" t="str">
        <f t="shared" si="18"/>
        <v>Cancelled</v>
      </c>
      <c r="S1175" s="3" t="s">
        <v>25</v>
      </c>
    </row>
    <row r="1176" spans="1:19" x14ac:dyDescent="0.35">
      <c r="A1176" s="3">
        <v>2175</v>
      </c>
      <c r="B1176" s="3" t="s">
        <v>897</v>
      </c>
      <c r="C1176" s="4">
        <v>45542</v>
      </c>
      <c r="D1176" s="3" t="s">
        <v>44</v>
      </c>
      <c r="E1176" s="4">
        <v>45555</v>
      </c>
      <c r="F1176" s="4">
        <v>45557</v>
      </c>
      <c r="G1176" s="3" t="s">
        <v>28</v>
      </c>
      <c r="H1176" s="3" t="s">
        <v>29</v>
      </c>
      <c r="I1176" s="3" t="s">
        <v>22</v>
      </c>
      <c r="J1176" s="3" t="s">
        <v>23</v>
      </c>
      <c r="K1176" s="3">
        <v>13</v>
      </c>
      <c r="L1176" s="3">
        <v>2</v>
      </c>
      <c r="M1176" s="3">
        <v>4821</v>
      </c>
      <c r="N1176" s="3">
        <v>9642</v>
      </c>
      <c r="O1176" s="3">
        <v>9642</v>
      </c>
      <c r="P1176" s="3" t="s">
        <v>24</v>
      </c>
      <c r="Q1176" s="3">
        <v>0</v>
      </c>
      <c r="R1176" s="3" t="str">
        <f t="shared" si="18"/>
        <v>Not Cancelled</v>
      </c>
      <c r="S1176" s="3" t="s">
        <v>25</v>
      </c>
    </row>
    <row r="1177" spans="1:19" x14ac:dyDescent="0.35">
      <c r="A1177" s="3">
        <v>2176</v>
      </c>
      <c r="B1177" s="3" t="s">
        <v>898</v>
      </c>
      <c r="C1177" s="4">
        <v>45510</v>
      </c>
      <c r="D1177" s="3" t="s">
        <v>211</v>
      </c>
      <c r="E1177" s="4">
        <v>45559</v>
      </c>
      <c r="F1177" s="4">
        <v>45562</v>
      </c>
      <c r="G1177" s="3" t="s">
        <v>20</v>
      </c>
      <c r="H1177" s="3" t="s">
        <v>35</v>
      </c>
      <c r="I1177" s="3" t="s">
        <v>22</v>
      </c>
      <c r="J1177" s="3" t="s">
        <v>30</v>
      </c>
      <c r="K1177" s="3">
        <v>49</v>
      </c>
      <c r="L1177" s="3">
        <v>3</v>
      </c>
      <c r="M1177" s="3">
        <v>3055</v>
      </c>
      <c r="N1177" s="3">
        <v>9165</v>
      </c>
      <c r="O1177" s="3">
        <v>0</v>
      </c>
      <c r="P1177" s="3" t="s">
        <v>51</v>
      </c>
      <c r="Q1177" s="3">
        <v>1</v>
      </c>
      <c r="R1177" s="3" t="str">
        <f t="shared" si="18"/>
        <v>Cancelled</v>
      </c>
      <c r="S1177" s="3" t="s">
        <v>25</v>
      </c>
    </row>
    <row r="1178" spans="1:19" x14ac:dyDescent="0.35">
      <c r="A1178" s="3">
        <v>2177</v>
      </c>
      <c r="B1178" s="3" t="s">
        <v>451</v>
      </c>
      <c r="C1178" s="4">
        <v>45382</v>
      </c>
      <c r="D1178" s="3" t="s">
        <v>91</v>
      </c>
      <c r="E1178" s="4">
        <v>45417</v>
      </c>
      <c r="F1178" s="4">
        <v>45418</v>
      </c>
      <c r="G1178" s="3" t="s">
        <v>34</v>
      </c>
      <c r="H1178" s="3" t="s">
        <v>29</v>
      </c>
      <c r="I1178" s="3" t="s">
        <v>39</v>
      </c>
      <c r="J1178" s="3" t="s">
        <v>23</v>
      </c>
      <c r="K1178" s="3">
        <v>35</v>
      </c>
      <c r="L1178" s="3">
        <v>1</v>
      </c>
      <c r="M1178" s="3">
        <v>7439</v>
      </c>
      <c r="N1178" s="3">
        <v>7439</v>
      </c>
      <c r="O1178" s="3">
        <v>0</v>
      </c>
      <c r="P1178" s="3" t="s">
        <v>24</v>
      </c>
      <c r="Q1178" s="3">
        <v>1</v>
      </c>
      <c r="R1178" s="3" t="str">
        <f t="shared" si="18"/>
        <v>Cancelled</v>
      </c>
      <c r="S1178" s="3" t="s">
        <v>31</v>
      </c>
    </row>
    <row r="1179" spans="1:19" x14ac:dyDescent="0.35">
      <c r="A1179" s="3">
        <v>2178</v>
      </c>
      <c r="B1179" s="3" t="s">
        <v>899</v>
      </c>
      <c r="C1179" s="4">
        <v>45645</v>
      </c>
      <c r="D1179" s="3" t="s">
        <v>226</v>
      </c>
      <c r="E1179" s="4">
        <v>45697</v>
      </c>
      <c r="F1179" s="4">
        <v>45698</v>
      </c>
      <c r="G1179" s="3" t="s">
        <v>34</v>
      </c>
      <c r="H1179" s="3" t="s">
        <v>29</v>
      </c>
      <c r="I1179" s="3" t="s">
        <v>39</v>
      </c>
      <c r="J1179" s="3" t="s">
        <v>30</v>
      </c>
      <c r="K1179" s="3">
        <v>52</v>
      </c>
      <c r="L1179" s="3">
        <v>1</v>
      </c>
      <c r="M1179" s="3">
        <v>7932</v>
      </c>
      <c r="N1179" s="3">
        <v>7932</v>
      </c>
      <c r="O1179" s="3">
        <v>0</v>
      </c>
      <c r="P1179" s="3" t="s">
        <v>51</v>
      </c>
      <c r="Q1179" s="3">
        <v>1</v>
      </c>
      <c r="R1179" s="3" t="str">
        <f t="shared" si="18"/>
        <v>Cancelled</v>
      </c>
      <c r="S1179" s="3" t="s">
        <v>31</v>
      </c>
    </row>
    <row r="1180" spans="1:19" x14ac:dyDescent="0.35">
      <c r="A1180" s="3">
        <v>2179</v>
      </c>
      <c r="B1180" s="3" t="s">
        <v>900</v>
      </c>
      <c r="C1180" s="4">
        <v>45337</v>
      </c>
      <c r="D1180" s="3" t="s">
        <v>75</v>
      </c>
      <c r="E1180" s="4">
        <v>45348</v>
      </c>
      <c r="F1180" s="4">
        <v>45351</v>
      </c>
      <c r="G1180" s="3" t="s">
        <v>20</v>
      </c>
      <c r="H1180" s="3" t="s">
        <v>60</v>
      </c>
      <c r="I1180" s="3" t="s">
        <v>39</v>
      </c>
      <c r="J1180" s="3" t="s">
        <v>46</v>
      </c>
      <c r="K1180" s="3">
        <v>11</v>
      </c>
      <c r="L1180" s="3">
        <v>3</v>
      </c>
      <c r="M1180" s="3">
        <v>3886</v>
      </c>
      <c r="N1180" s="3">
        <v>11658</v>
      </c>
      <c r="O1180" s="3">
        <v>11658</v>
      </c>
      <c r="P1180" s="3" t="s">
        <v>24</v>
      </c>
      <c r="Q1180" s="3">
        <v>0</v>
      </c>
      <c r="R1180" s="3" t="str">
        <f t="shared" si="18"/>
        <v>Not Cancelled</v>
      </c>
      <c r="S1180" s="3" t="s">
        <v>31</v>
      </c>
    </row>
    <row r="1181" spans="1:19" x14ac:dyDescent="0.35">
      <c r="A1181" s="3">
        <v>2180</v>
      </c>
      <c r="B1181" s="3" t="s">
        <v>901</v>
      </c>
      <c r="C1181" s="4">
        <v>45329</v>
      </c>
      <c r="D1181" s="3" t="s">
        <v>96</v>
      </c>
      <c r="E1181" s="4">
        <v>45388</v>
      </c>
      <c r="F1181" s="4">
        <v>45392</v>
      </c>
      <c r="G1181" s="3" t="s">
        <v>42</v>
      </c>
      <c r="H1181" s="3" t="s">
        <v>38</v>
      </c>
      <c r="I1181" s="3" t="s">
        <v>22</v>
      </c>
      <c r="J1181" s="3" t="s">
        <v>23</v>
      </c>
      <c r="K1181" s="3">
        <v>59</v>
      </c>
      <c r="L1181" s="3">
        <v>4</v>
      </c>
      <c r="M1181" s="3">
        <v>7263</v>
      </c>
      <c r="N1181" s="3">
        <v>29052</v>
      </c>
      <c r="O1181" s="3">
        <v>0</v>
      </c>
      <c r="P1181" s="3" t="s">
        <v>24</v>
      </c>
      <c r="Q1181" s="3">
        <v>1</v>
      </c>
      <c r="R1181" s="3" t="str">
        <f t="shared" si="18"/>
        <v>Cancelled</v>
      </c>
      <c r="S1181" s="3" t="s">
        <v>25</v>
      </c>
    </row>
    <row r="1182" spans="1:19" x14ac:dyDescent="0.35">
      <c r="A1182" s="3">
        <v>2181</v>
      </c>
      <c r="B1182" s="3" t="s">
        <v>589</v>
      </c>
      <c r="C1182" s="4">
        <v>45433</v>
      </c>
      <c r="D1182" s="3" t="s">
        <v>175</v>
      </c>
      <c r="E1182" s="4">
        <v>45454</v>
      </c>
      <c r="F1182" s="4">
        <v>45459</v>
      </c>
      <c r="G1182" s="3" t="s">
        <v>45</v>
      </c>
      <c r="H1182" s="3" t="s">
        <v>29</v>
      </c>
      <c r="I1182" s="3" t="s">
        <v>22</v>
      </c>
      <c r="J1182" s="3" t="s">
        <v>46</v>
      </c>
      <c r="K1182" s="3">
        <v>21</v>
      </c>
      <c r="L1182" s="3">
        <v>5</v>
      </c>
      <c r="M1182" s="3">
        <v>5547</v>
      </c>
      <c r="N1182" s="3">
        <v>27735</v>
      </c>
      <c r="O1182" s="3">
        <v>27735</v>
      </c>
      <c r="P1182" s="3" t="s">
        <v>51</v>
      </c>
      <c r="Q1182" s="3">
        <v>0</v>
      </c>
      <c r="R1182" s="3" t="str">
        <f t="shared" si="18"/>
        <v>Not Cancelled</v>
      </c>
      <c r="S1182" s="3" t="s">
        <v>25</v>
      </c>
    </row>
    <row r="1183" spans="1:19" x14ac:dyDescent="0.35">
      <c r="A1183" s="3">
        <v>2182</v>
      </c>
      <c r="B1183" s="3" t="s">
        <v>902</v>
      </c>
      <c r="C1183" s="4">
        <v>45391</v>
      </c>
      <c r="D1183" s="3" t="s">
        <v>124</v>
      </c>
      <c r="E1183" s="4">
        <v>45442</v>
      </c>
      <c r="F1183" s="4">
        <v>45446</v>
      </c>
      <c r="G1183" s="3" t="s">
        <v>42</v>
      </c>
      <c r="H1183" s="3" t="s">
        <v>21</v>
      </c>
      <c r="I1183" s="3" t="s">
        <v>22</v>
      </c>
      <c r="J1183" s="3" t="s">
        <v>23</v>
      </c>
      <c r="K1183" s="3">
        <v>51</v>
      </c>
      <c r="L1183" s="3">
        <v>4</v>
      </c>
      <c r="M1183" s="3">
        <v>4927</v>
      </c>
      <c r="N1183" s="3">
        <v>19708</v>
      </c>
      <c r="O1183" s="3">
        <v>0</v>
      </c>
      <c r="P1183" s="3" t="s">
        <v>24</v>
      </c>
      <c r="Q1183" s="3">
        <v>1</v>
      </c>
      <c r="R1183" s="3" t="str">
        <f t="shared" si="18"/>
        <v>Cancelled</v>
      </c>
      <c r="S1183" s="3" t="s">
        <v>25</v>
      </c>
    </row>
    <row r="1184" spans="1:19" x14ac:dyDescent="0.35">
      <c r="A1184" s="3">
        <v>2183</v>
      </c>
      <c r="B1184" s="3" t="s">
        <v>903</v>
      </c>
      <c r="C1184" s="4">
        <v>45619</v>
      </c>
      <c r="D1184" s="3" t="s">
        <v>117</v>
      </c>
      <c r="E1184" s="4">
        <v>45673</v>
      </c>
      <c r="F1184" s="4">
        <v>45675</v>
      </c>
      <c r="G1184" s="3" t="s">
        <v>28</v>
      </c>
      <c r="H1184" s="3" t="s">
        <v>60</v>
      </c>
      <c r="I1184" s="3" t="s">
        <v>39</v>
      </c>
      <c r="J1184" s="3" t="s">
        <v>46</v>
      </c>
      <c r="K1184" s="3">
        <v>54</v>
      </c>
      <c r="L1184" s="3">
        <v>2</v>
      </c>
      <c r="M1184" s="3">
        <v>8538</v>
      </c>
      <c r="N1184" s="3">
        <v>17076</v>
      </c>
      <c r="O1184" s="3">
        <v>0</v>
      </c>
      <c r="P1184" s="3" t="s">
        <v>51</v>
      </c>
      <c r="Q1184" s="3">
        <v>1</v>
      </c>
      <c r="R1184" s="3" t="str">
        <f t="shared" si="18"/>
        <v>Cancelled</v>
      </c>
      <c r="S1184" s="3" t="s">
        <v>31</v>
      </c>
    </row>
    <row r="1185" spans="1:19" x14ac:dyDescent="0.35">
      <c r="A1185" s="3">
        <v>2184</v>
      </c>
      <c r="B1185" s="3" t="s">
        <v>154</v>
      </c>
      <c r="C1185" s="4">
        <v>45481</v>
      </c>
      <c r="D1185" s="3" t="s">
        <v>75</v>
      </c>
      <c r="E1185" s="4">
        <v>45492</v>
      </c>
      <c r="F1185" s="4">
        <v>45497</v>
      </c>
      <c r="G1185" s="3" t="s">
        <v>45</v>
      </c>
      <c r="H1185" s="3" t="s">
        <v>21</v>
      </c>
      <c r="I1185" s="3" t="s">
        <v>39</v>
      </c>
      <c r="J1185" s="3" t="s">
        <v>23</v>
      </c>
      <c r="K1185" s="3">
        <v>11</v>
      </c>
      <c r="L1185" s="3">
        <v>5</v>
      </c>
      <c r="M1185" s="3">
        <v>4504</v>
      </c>
      <c r="N1185" s="3">
        <v>22520</v>
      </c>
      <c r="O1185" s="3">
        <v>0</v>
      </c>
      <c r="P1185" s="3" t="s">
        <v>51</v>
      </c>
      <c r="Q1185" s="3">
        <v>1</v>
      </c>
      <c r="R1185" s="3" t="str">
        <f t="shared" si="18"/>
        <v>Cancelled</v>
      </c>
      <c r="S1185" s="3" t="s">
        <v>25</v>
      </c>
    </row>
    <row r="1186" spans="1:19" x14ac:dyDescent="0.35">
      <c r="A1186" s="3">
        <v>2185</v>
      </c>
      <c r="B1186" s="3" t="s">
        <v>497</v>
      </c>
      <c r="C1186" s="4">
        <v>45326</v>
      </c>
      <c r="D1186" s="3" t="s">
        <v>50</v>
      </c>
      <c r="E1186" s="4">
        <v>45356</v>
      </c>
      <c r="F1186" s="4">
        <v>45360</v>
      </c>
      <c r="G1186" s="3" t="s">
        <v>42</v>
      </c>
      <c r="H1186" s="3" t="s">
        <v>60</v>
      </c>
      <c r="I1186" s="3" t="s">
        <v>22</v>
      </c>
      <c r="J1186" s="3" t="s">
        <v>23</v>
      </c>
      <c r="K1186" s="3">
        <v>30</v>
      </c>
      <c r="L1186" s="3">
        <v>4</v>
      </c>
      <c r="M1186" s="3">
        <v>4430</v>
      </c>
      <c r="N1186" s="3">
        <v>17720</v>
      </c>
      <c r="O1186" s="3">
        <v>0</v>
      </c>
      <c r="P1186" s="3" t="s">
        <v>51</v>
      </c>
      <c r="Q1186" s="3">
        <v>1</v>
      </c>
      <c r="R1186" s="3" t="str">
        <f t="shared" si="18"/>
        <v>Cancelled</v>
      </c>
      <c r="S1186" s="3" t="s">
        <v>25</v>
      </c>
    </row>
    <row r="1187" spans="1:19" x14ac:dyDescent="0.35">
      <c r="A1187" s="3">
        <v>2186</v>
      </c>
      <c r="B1187" s="3" t="s">
        <v>757</v>
      </c>
      <c r="C1187" s="4">
        <v>45438</v>
      </c>
      <c r="D1187" s="3" t="s">
        <v>73</v>
      </c>
      <c r="E1187" s="4">
        <v>45486</v>
      </c>
      <c r="F1187" s="4">
        <v>45489</v>
      </c>
      <c r="G1187" s="3" t="s">
        <v>20</v>
      </c>
      <c r="H1187" s="3" t="s">
        <v>21</v>
      </c>
      <c r="I1187" s="3" t="s">
        <v>39</v>
      </c>
      <c r="J1187" s="3" t="s">
        <v>30</v>
      </c>
      <c r="K1187" s="3">
        <v>48</v>
      </c>
      <c r="L1187" s="3">
        <v>3</v>
      </c>
      <c r="M1187" s="3">
        <v>7341</v>
      </c>
      <c r="N1187" s="3">
        <v>22023</v>
      </c>
      <c r="O1187" s="3">
        <v>22023</v>
      </c>
      <c r="P1187" s="3" t="s">
        <v>51</v>
      </c>
      <c r="Q1187" s="3">
        <v>0</v>
      </c>
      <c r="R1187" s="3" t="str">
        <f t="shared" si="18"/>
        <v>Not Cancelled</v>
      </c>
      <c r="S1187" s="3" t="s">
        <v>31</v>
      </c>
    </row>
    <row r="1188" spans="1:19" x14ac:dyDescent="0.35">
      <c r="A1188" s="3">
        <v>2187</v>
      </c>
      <c r="B1188" s="3" t="s">
        <v>904</v>
      </c>
      <c r="C1188" s="4">
        <v>45321</v>
      </c>
      <c r="D1188" s="3" t="s">
        <v>133</v>
      </c>
      <c r="E1188" s="4">
        <v>45374</v>
      </c>
      <c r="F1188" s="4">
        <v>45376</v>
      </c>
      <c r="G1188" s="3" t="s">
        <v>28</v>
      </c>
      <c r="H1188" s="3" t="s">
        <v>21</v>
      </c>
      <c r="I1188" s="3" t="s">
        <v>22</v>
      </c>
      <c r="J1188" s="3" t="s">
        <v>46</v>
      </c>
      <c r="K1188" s="3">
        <v>53</v>
      </c>
      <c r="L1188" s="3">
        <v>2</v>
      </c>
      <c r="M1188" s="3">
        <v>7270</v>
      </c>
      <c r="N1188" s="3">
        <v>14540</v>
      </c>
      <c r="O1188" s="3">
        <v>14540</v>
      </c>
      <c r="P1188" s="3" t="s">
        <v>51</v>
      </c>
      <c r="Q1188" s="3">
        <v>0</v>
      </c>
      <c r="R1188" s="3" t="str">
        <f t="shared" si="18"/>
        <v>Not Cancelled</v>
      </c>
      <c r="S1188" s="3" t="s">
        <v>31</v>
      </c>
    </row>
    <row r="1189" spans="1:19" x14ac:dyDescent="0.35">
      <c r="A1189" s="3">
        <v>2188</v>
      </c>
      <c r="B1189" s="3" t="s">
        <v>905</v>
      </c>
      <c r="C1189" s="4">
        <v>45625</v>
      </c>
      <c r="D1189" s="3" t="s">
        <v>91</v>
      </c>
      <c r="E1189" s="4">
        <v>45660</v>
      </c>
      <c r="F1189" s="4">
        <v>45662</v>
      </c>
      <c r="G1189" s="3" t="s">
        <v>28</v>
      </c>
      <c r="H1189" s="3" t="s">
        <v>29</v>
      </c>
      <c r="I1189" s="3" t="s">
        <v>39</v>
      </c>
      <c r="J1189" s="3" t="s">
        <v>46</v>
      </c>
      <c r="K1189" s="3">
        <v>35</v>
      </c>
      <c r="L1189" s="3">
        <v>2</v>
      </c>
      <c r="M1189" s="3">
        <v>4663</v>
      </c>
      <c r="N1189" s="3">
        <v>9326</v>
      </c>
      <c r="O1189" s="3">
        <v>0</v>
      </c>
      <c r="P1189" s="3" t="s">
        <v>51</v>
      </c>
      <c r="Q1189" s="3">
        <v>1</v>
      </c>
      <c r="R1189" s="3" t="str">
        <f t="shared" si="18"/>
        <v>Cancelled</v>
      </c>
      <c r="S1189" s="3" t="s">
        <v>25</v>
      </c>
    </row>
    <row r="1190" spans="1:19" x14ac:dyDescent="0.35">
      <c r="A1190" s="3">
        <v>2189</v>
      </c>
      <c r="B1190" s="3" t="s">
        <v>438</v>
      </c>
      <c r="C1190" s="4">
        <v>45375</v>
      </c>
      <c r="D1190" s="3" t="s">
        <v>19</v>
      </c>
      <c r="E1190" s="4">
        <v>45397</v>
      </c>
      <c r="F1190" s="4">
        <v>45399</v>
      </c>
      <c r="G1190" s="3" t="s">
        <v>28</v>
      </c>
      <c r="H1190" s="3" t="s">
        <v>29</v>
      </c>
      <c r="I1190" s="3" t="s">
        <v>22</v>
      </c>
      <c r="J1190" s="3" t="s">
        <v>46</v>
      </c>
      <c r="K1190" s="3">
        <v>22</v>
      </c>
      <c r="L1190" s="3">
        <v>2</v>
      </c>
      <c r="M1190" s="3">
        <v>7661</v>
      </c>
      <c r="N1190" s="3">
        <v>15322</v>
      </c>
      <c r="O1190" s="3">
        <v>0</v>
      </c>
      <c r="P1190" s="3" t="s">
        <v>51</v>
      </c>
      <c r="Q1190" s="3">
        <v>1</v>
      </c>
      <c r="R1190" s="3" t="str">
        <f t="shared" si="18"/>
        <v>Cancelled</v>
      </c>
      <c r="S1190" s="3" t="s">
        <v>31</v>
      </c>
    </row>
    <row r="1191" spans="1:19" x14ac:dyDescent="0.35">
      <c r="A1191" s="3">
        <v>2190</v>
      </c>
      <c r="B1191" s="3" t="s">
        <v>906</v>
      </c>
      <c r="C1191" s="4">
        <v>45572</v>
      </c>
      <c r="D1191" s="3" t="s">
        <v>115</v>
      </c>
      <c r="E1191" s="4">
        <v>45610</v>
      </c>
      <c r="F1191" s="4">
        <v>45615</v>
      </c>
      <c r="G1191" s="3" t="s">
        <v>45</v>
      </c>
      <c r="H1191" s="3" t="s">
        <v>60</v>
      </c>
      <c r="I1191" s="3" t="s">
        <v>22</v>
      </c>
      <c r="J1191" s="3" t="s">
        <v>46</v>
      </c>
      <c r="K1191" s="3">
        <v>38</v>
      </c>
      <c r="L1191" s="3">
        <v>5</v>
      </c>
      <c r="M1191" s="3">
        <v>6367</v>
      </c>
      <c r="N1191" s="3">
        <v>31835</v>
      </c>
      <c r="O1191" s="3">
        <v>0</v>
      </c>
      <c r="P1191" s="3" t="s">
        <v>51</v>
      </c>
      <c r="Q1191" s="3">
        <v>1</v>
      </c>
      <c r="R1191" s="3" t="str">
        <f t="shared" si="18"/>
        <v>Cancelled</v>
      </c>
      <c r="S1191" s="3" t="s">
        <v>25</v>
      </c>
    </row>
    <row r="1192" spans="1:19" x14ac:dyDescent="0.35">
      <c r="A1192" s="3">
        <v>2191</v>
      </c>
      <c r="B1192" s="3" t="s">
        <v>167</v>
      </c>
      <c r="C1192" s="4">
        <v>45635</v>
      </c>
      <c r="D1192" s="3" t="s">
        <v>48</v>
      </c>
      <c r="E1192" s="4">
        <v>45666</v>
      </c>
      <c r="F1192" s="4">
        <v>45667</v>
      </c>
      <c r="G1192" s="3" t="s">
        <v>34</v>
      </c>
      <c r="H1192" s="3" t="s">
        <v>38</v>
      </c>
      <c r="I1192" s="3" t="s">
        <v>22</v>
      </c>
      <c r="J1192" s="3" t="s">
        <v>46</v>
      </c>
      <c r="K1192" s="3">
        <v>31</v>
      </c>
      <c r="L1192" s="3">
        <v>1</v>
      </c>
      <c r="M1192" s="3">
        <v>4926</v>
      </c>
      <c r="N1192" s="3">
        <v>4926</v>
      </c>
      <c r="O1192" s="3">
        <v>0</v>
      </c>
      <c r="P1192" s="3" t="s">
        <v>51</v>
      </c>
      <c r="Q1192" s="3">
        <v>1</v>
      </c>
      <c r="R1192" s="3" t="str">
        <f t="shared" si="18"/>
        <v>Cancelled</v>
      </c>
      <c r="S1192" s="3" t="s">
        <v>31</v>
      </c>
    </row>
    <row r="1193" spans="1:19" x14ac:dyDescent="0.35">
      <c r="A1193" s="3">
        <v>2192</v>
      </c>
      <c r="B1193" s="3" t="s">
        <v>851</v>
      </c>
      <c r="C1193" s="4">
        <v>45561</v>
      </c>
      <c r="D1193" s="3" t="s">
        <v>33</v>
      </c>
      <c r="E1193" s="4">
        <v>45575</v>
      </c>
      <c r="F1193" s="4">
        <v>45580</v>
      </c>
      <c r="G1193" s="3" t="s">
        <v>45</v>
      </c>
      <c r="H1193" s="3" t="s">
        <v>29</v>
      </c>
      <c r="I1193" s="3" t="s">
        <v>39</v>
      </c>
      <c r="J1193" s="3" t="s">
        <v>30</v>
      </c>
      <c r="K1193" s="3">
        <v>14</v>
      </c>
      <c r="L1193" s="3">
        <v>5</v>
      </c>
      <c r="M1193" s="3">
        <v>6293</v>
      </c>
      <c r="N1193" s="3">
        <v>31465</v>
      </c>
      <c r="O1193" s="3">
        <v>31465</v>
      </c>
      <c r="P1193" s="3" t="s">
        <v>24</v>
      </c>
      <c r="Q1193" s="3">
        <v>0</v>
      </c>
      <c r="R1193" s="3" t="str">
        <f t="shared" si="18"/>
        <v>Not Cancelled</v>
      </c>
      <c r="S1193" s="3" t="s">
        <v>31</v>
      </c>
    </row>
    <row r="1194" spans="1:19" x14ac:dyDescent="0.35">
      <c r="A1194" s="3">
        <v>2193</v>
      </c>
      <c r="B1194" s="3" t="s">
        <v>907</v>
      </c>
      <c r="C1194" s="4">
        <v>45445</v>
      </c>
      <c r="D1194" s="3" t="s">
        <v>159</v>
      </c>
      <c r="E1194" s="4">
        <v>45469</v>
      </c>
      <c r="F1194" s="4">
        <v>45473</v>
      </c>
      <c r="G1194" s="3" t="s">
        <v>42</v>
      </c>
      <c r="H1194" s="3" t="s">
        <v>29</v>
      </c>
      <c r="I1194" s="3" t="s">
        <v>39</v>
      </c>
      <c r="J1194" s="3" t="s">
        <v>23</v>
      </c>
      <c r="K1194" s="3">
        <v>24</v>
      </c>
      <c r="L1194" s="3">
        <v>4</v>
      </c>
      <c r="M1194" s="3">
        <v>5013</v>
      </c>
      <c r="N1194" s="3">
        <v>20052</v>
      </c>
      <c r="O1194" s="3">
        <v>0</v>
      </c>
      <c r="P1194" s="3" t="s">
        <v>24</v>
      </c>
      <c r="Q1194" s="3">
        <v>1</v>
      </c>
      <c r="R1194" s="3" t="str">
        <f t="shared" si="18"/>
        <v>Cancelled</v>
      </c>
      <c r="S1194" s="3" t="s">
        <v>31</v>
      </c>
    </row>
    <row r="1195" spans="1:19" x14ac:dyDescent="0.35">
      <c r="A1195" s="3">
        <v>2194</v>
      </c>
      <c r="B1195" s="3" t="s">
        <v>908</v>
      </c>
      <c r="C1195" s="4">
        <v>45393</v>
      </c>
      <c r="D1195" s="3" t="s">
        <v>78</v>
      </c>
      <c r="E1195" s="4">
        <v>45443</v>
      </c>
      <c r="F1195" s="4">
        <v>45444</v>
      </c>
      <c r="G1195" s="3" t="s">
        <v>34</v>
      </c>
      <c r="H1195" s="3" t="s">
        <v>35</v>
      </c>
      <c r="I1195" s="3" t="s">
        <v>22</v>
      </c>
      <c r="J1195" s="3" t="s">
        <v>30</v>
      </c>
      <c r="K1195" s="3">
        <v>50</v>
      </c>
      <c r="L1195" s="3">
        <v>1</v>
      </c>
      <c r="M1195" s="3">
        <v>6303</v>
      </c>
      <c r="N1195" s="3">
        <v>6303</v>
      </c>
      <c r="O1195" s="3">
        <v>6303</v>
      </c>
      <c r="P1195" s="3" t="s">
        <v>51</v>
      </c>
      <c r="Q1195" s="3">
        <v>0</v>
      </c>
      <c r="R1195" s="3" t="str">
        <f t="shared" si="18"/>
        <v>Not Cancelled</v>
      </c>
      <c r="S1195" s="3" t="s">
        <v>25</v>
      </c>
    </row>
    <row r="1196" spans="1:19" x14ac:dyDescent="0.35">
      <c r="A1196" s="3">
        <v>2195</v>
      </c>
      <c r="B1196" s="3" t="s">
        <v>241</v>
      </c>
      <c r="C1196" s="4">
        <v>45506</v>
      </c>
      <c r="D1196" s="3" t="s">
        <v>211</v>
      </c>
      <c r="E1196" s="4">
        <v>45555</v>
      </c>
      <c r="F1196" s="4">
        <v>45559</v>
      </c>
      <c r="G1196" s="3" t="s">
        <v>42</v>
      </c>
      <c r="H1196" s="3" t="s">
        <v>29</v>
      </c>
      <c r="I1196" s="3" t="s">
        <v>22</v>
      </c>
      <c r="J1196" s="3" t="s">
        <v>46</v>
      </c>
      <c r="K1196" s="3">
        <v>49</v>
      </c>
      <c r="L1196" s="3">
        <v>4</v>
      </c>
      <c r="M1196" s="3">
        <v>4827</v>
      </c>
      <c r="N1196" s="3">
        <v>19308</v>
      </c>
      <c r="O1196" s="3">
        <v>0</v>
      </c>
      <c r="P1196" s="3" t="s">
        <v>24</v>
      </c>
      <c r="Q1196" s="3">
        <v>1</v>
      </c>
      <c r="R1196" s="3" t="str">
        <f t="shared" si="18"/>
        <v>Cancelled</v>
      </c>
      <c r="S1196" s="3" t="s">
        <v>25</v>
      </c>
    </row>
    <row r="1197" spans="1:19" x14ac:dyDescent="0.35">
      <c r="A1197" s="3">
        <v>2196</v>
      </c>
      <c r="B1197" s="3" t="s">
        <v>909</v>
      </c>
      <c r="C1197" s="4">
        <v>45441</v>
      </c>
      <c r="D1197" s="3" t="s">
        <v>144</v>
      </c>
      <c r="E1197" s="4">
        <v>45473</v>
      </c>
      <c r="F1197" s="4">
        <v>45474</v>
      </c>
      <c r="G1197" s="3" t="s">
        <v>34</v>
      </c>
      <c r="H1197" s="3" t="s">
        <v>38</v>
      </c>
      <c r="I1197" s="3" t="s">
        <v>22</v>
      </c>
      <c r="J1197" s="3" t="s">
        <v>46</v>
      </c>
      <c r="K1197" s="3">
        <v>32</v>
      </c>
      <c r="L1197" s="3">
        <v>1</v>
      </c>
      <c r="M1197" s="3">
        <v>3117</v>
      </c>
      <c r="N1197" s="3">
        <v>3117</v>
      </c>
      <c r="O1197" s="3">
        <v>3117</v>
      </c>
      <c r="P1197" s="3" t="s">
        <v>24</v>
      </c>
      <c r="Q1197" s="3">
        <v>0</v>
      </c>
      <c r="R1197" s="3" t="str">
        <f t="shared" si="18"/>
        <v>Not Cancelled</v>
      </c>
      <c r="S1197" s="3" t="s">
        <v>25</v>
      </c>
    </row>
    <row r="1198" spans="1:19" x14ac:dyDescent="0.35">
      <c r="A1198" s="3">
        <v>2197</v>
      </c>
      <c r="B1198" s="3" t="s">
        <v>759</v>
      </c>
      <c r="C1198" s="4">
        <v>45374</v>
      </c>
      <c r="D1198" s="3" t="s">
        <v>146</v>
      </c>
      <c r="E1198" s="4">
        <v>45410</v>
      </c>
      <c r="F1198" s="4">
        <v>45415</v>
      </c>
      <c r="G1198" s="3" t="s">
        <v>45</v>
      </c>
      <c r="H1198" s="3" t="s">
        <v>35</v>
      </c>
      <c r="I1198" s="3" t="s">
        <v>22</v>
      </c>
      <c r="J1198" s="3" t="s">
        <v>23</v>
      </c>
      <c r="K1198" s="3">
        <v>36</v>
      </c>
      <c r="L1198" s="3">
        <v>5</v>
      </c>
      <c r="M1198" s="3">
        <v>4665</v>
      </c>
      <c r="N1198" s="3">
        <v>23325</v>
      </c>
      <c r="O1198" s="3">
        <v>23325</v>
      </c>
      <c r="P1198" s="3" t="s">
        <v>51</v>
      </c>
      <c r="Q1198" s="3">
        <v>0</v>
      </c>
      <c r="R1198" s="3" t="str">
        <f t="shared" si="18"/>
        <v>Not Cancelled</v>
      </c>
      <c r="S1198" s="3" t="s">
        <v>31</v>
      </c>
    </row>
    <row r="1199" spans="1:19" x14ac:dyDescent="0.35">
      <c r="A1199" s="3">
        <v>2198</v>
      </c>
      <c r="B1199" s="3" t="s">
        <v>130</v>
      </c>
      <c r="C1199" s="4">
        <v>45401</v>
      </c>
      <c r="D1199" s="3" t="s">
        <v>144</v>
      </c>
      <c r="E1199" s="4">
        <v>45433</v>
      </c>
      <c r="F1199" s="4">
        <v>45435</v>
      </c>
      <c r="G1199" s="3" t="s">
        <v>28</v>
      </c>
      <c r="H1199" s="3" t="s">
        <v>21</v>
      </c>
      <c r="I1199" s="3" t="s">
        <v>22</v>
      </c>
      <c r="J1199" s="3" t="s">
        <v>30</v>
      </c>
      <c r="K1199" s="3">
        <v>32</v>
      </c>
      <c r="L1199" s="3">
        <v>2</v>
      </c>
      <c r="M1199" s="3">
        <v>5808</v>
      </c>
      <c r="N1199" s="3">
        <v>11616</v>
      </c>
      <c r="O1199" s="3">
        <v>11616</v>
      </c>
      <c r="P1199" s="3" t="s">
        <v>51</v>
      </c>
      <c r="Q1199" s="3">
        <v>0</v>
      </c>
      <c r="R1199" s="3" t="str">
        <f t="shared" si="18"/>
        <v>Not Cancelled</v>
      </c>
      <c r="S1199" s="3" t="s">
        <v>31</v>
      </c>
    </row>
    <row r="1200" spans="1:19" x14ac:dyDescent="0.35">
      <c r="A1200" s="3">
        <v>2199</v>
      </c>
      <c r="B1200" s="3" t="s">
        <v>873</v>
      </c>
      <c r="C1200" s="4">
        <v>45566</v>
      </c>
      <c r="D1200" s="3" t="s">
        <v>113</v>
      </c>
      <c r="E1200" s="4">
        <v>45621</v>
      </c>
      <c r="F1200" s="4">
        <v>45624</v>
      </c>
      <c r="G1200" s="3" t="s">
        <v>20</v>
      </c>
      <c r="H1200" s="3" t="s">
        <v>21</v>
      </c>
      <c r="I1200" s="3" t="s">
        <v>22</v>
      </c>
      <c r="J1200" s="3" t="s">
        <v>23</v>
      </c>
      <c r="K1200" s="3">
        <v>55</v>
      </c>
      <c r="L1200" s="3">
        <v>3</v>
      </c>
      <c r="M1200" s="3">
        <v>8952</v>
      </c>
      <c r="N1200" s="3">
        <v>26856</v>
      </c>
      <c r="O1200" s="3">
        <v>0</v>
      </c>
      <c r="P1200" s="3" t="s">
        <v>24</v>
      </c>
      <c r="Q1200" s="3">
        <v>1</v>
      </c>
      <c r="R1200" s="3" t="str">
        <f t="shared" si="18"/>
        <v>Cancelled</v>
      </c>
      <c r="S1200" s="3" t="s">
        <v>31</v>
      </c>
    </row>
    <row r="1201" spans="1:19" x14ac:dyDescent="0.35">
      <c r="A1201" s="3">
        <v>2200</v>
      </c>
      <c r="B1201" s="3" t="s">
        <v>614</v>
      </c>
      <c r="C1201" s="4">
        <v>45492</v>
      </c>
      <c r="D1201" s="3" t="s">
        <v>277</v>
      </c>
      <c r="E1201" s="4">
        <v>45507</v>
      </c>
      <c r="F1201" s="4">
        <v>45509</v>
      </c>
      <c r="G1201" s="3" t="s">
        <v>28</v>
      </c>
      <c r="H1201" s="3" t="s">
        <v>35</v>
      </c>
      <c r="I1201" s="3" t="s">
        <v>39</v>
      </c>
      <c r="J1201" s="3" t="s">
        <v>23</v>
      </c>
      <c r="K1201" s="3">
        <v>15</v>
      </c>
      <c r="L1201" s="3">
        <v>2</v>
      </c>
      <c r="M1201" s="3">
        <v>8743</v>
      </c>
      <c r="N1201" s="3">
        <v>17486</v>
      </c>
      <c r="O1201" s="3">
        <v>17486</v>
      </c>
      <c r="P1201" s="3" t="s">
        <v>51</v>
      </c>
      <c r="Q1201" s="3">
        <v>0</v>
      </c>
      <c r="R1201" s="3" t="str">
        <f t="shared" si="18"/>
        <v>Not Cancelled</v>
      </c>
      <c r="S1201" s="3" t="s">
        <v>31</v>
      </c>
    </row>
    <row r="1202" spans="1:19" x14ac:dyDescent="0.35">
      <c r="A1202" s="3">
        <v>2201</v>
      </c>
      <c r="B1202" s="3" t="s">
        <v>910</v>
      </c>
      <c r="C1202" s="4">
        <v>45575</v>
      </c>
      <c r="D1202" s="3" t="s">
        <v>66</v>
      </c>
      <c r="E1202" s="4">
        <v>45618</v>
      </c>
      <c r="F1202" s="4">
        <v>45623</v>
      </c>
      <c r="G1202" s="3" t="s">
        <v>45</v>
      </c>
      <c r="H1202" s="3" t="s">
        <v>35</v>
      </c>
      <c r="I1202" s="3" t="s">
        <v>39</v>
      </c>
      <c r="J1202" s="3" t="s">
        <v>30</v>
      </c>
      <c r="K1202" s="3">
        <v>43</v>
      </c>
      <c r="L1202" s="3">
        <v>5</v>
      </c>
      <c r="M1202" s="3">
        <v>8904</v>
      </c>
      <c r="N1202" s="3">
        <v>44520</v>
      </c>
      <c r="O1202" s="3">
        <v>0</v>
      </c>
      <c r="P1202" s="3" t="s">
        <v>51</v>
      </c>
      <c r="Q1202" s="3">
        <v>1</v>
      </c>
      <c r="R1202" s="3" t="str">
        <f t="shared" si="18"/>
        <v>Cancelled</v>
      </c>
      <c r="S1202" s="3" t="s">
        <v>25</v>
      </c>
    </row>
    <row r="1203" spans="1:19" x14ac:dyDescent="0.35">
      <c r="A1203" s="3">
        <v>2202</v>
      </c>
      <c r="B1203" s="3" t="s">
        <v>911</v>
      </c>
      <c r="C1203" s="4">
        <v>45464</v>
      </c>
      <c r="D1203" s="3" t="s">
        <v>237</v>
      </c>
      <c r="E1203" s="4">
        <v>45522</v>
      </c>
      <c r="F1203" s="4">
        <v>45523</v>
      </c>
      <c r="G1203" s="3" t="s">
        <v>34</v>
      </c>
      <c r="H1203" s="3" t="s">
        <v>35</v>
      </c>
      <c r="I1203" s="3" t="s">
        <v>39</v>
      </c>
      <c r="J1203" s="3" t="s">
        <v>23</v>
      </c>
      <c r="K1203" s="3">
        <v>58</v>
      </c>
      <c r="L1203" s="3">
        <v>1</v>
      </c>
      <c r="M1203" s="3">
        <v>3492</v>
      </c>
      <c r="N1203" s="3">
        <v>3492</v>
      </c>
      <c r="O1203" s="3">
        <v>0</v>
      </c>
      <c r="P1203" s="3" t="s">
        <v>51</v>
      </c>
      <c r="Q1203" s="3">
        <v>1</v>
      </c>
      <c r="R1203" s="3" t="str">
        <f t="shared" si="18"/>
        <v>Cancelled</v>
      </c>
      <c r="S1203" s="3" t="s">
        <v>25</v>
      </c>
    </row>
    <row r="1204" spans="1:19" x14ac:dyDescent="0.35">
      <c r="A1204" s="3">
        <v>2203</v>
      </c>
      <c r="B1204" s="3" t="s">
        <v>626</v>
      </c>
      <c r="C1204" s="4">
        <v>45618</v>
      </c>
      <c r="D1204" s="3" t="s">
        <v>91</v>
      </c>
      <c r="E1204" s="4">
        <v>45653</v>
      </c>
      <c r="F1204" s="4">
        <v>45655</v>
      </c>
      <c r="G1204" s="3" t="s">
        <v>28</v>
      </c>
      <c r="H1204" s="3" t="s">
        <v>60</v>
      </c>
      <c r="I1204" s="3" t="s">
        <v>39</v>
      </c>
      <c r="J1204" s="3" t="s">
        <v>30</v>
      </c>
      <c r="K1204" s="3">
        <v>35</v>
      </c>
      <c r="L1204" s="3">
        <v>2</v>
      </c>
      <c r="M1204" s="3">
        <v>7924</v>
      </c>
      <c r="N1204" s="3">
        <v>15848</v>
      </c>
      <c r="O1204" s="3">
        <v>0</v>
      </c>
      <c r="P1204" s="3" t="s">
        <v>24</v>
      </c>
      <c r="Q1204" s="3">
        <v>1</v>
      </c>
      <c r="R1204" s="3" t="str">
        <f t="shared" si="18"/>
        <v>Cancelled</v>
      </c>
      <c r="S1204" s="3" t="s">
        <v>25</v>
      </c>
    </row>
    <row r="1205" spans="1:19" x14ac:dyDescent="0.35">
      <c r="A1205" s="3">
        <v>2204</v>
      </c>
      <c r="B1205" s="3" t="s">
        <v>912</v>
      </c>
      <c r="C1205" s="4">
        <v>45497</v>
      </c>
      <c r="D1205" s="3" t="s">
        <v>20</v>
      </c>
      <c r="E1205" s="4">
        <v>45500</v>
      </c>
      <c r="F1205" s="4">
        <v>45505</v>
      </c>
      <c r="G1205" s="3" t="s">
        <v>45</v>
      </c>
      <c r="H1205" s="3" t="s">
        <v>38</v>
      </c>
      <c r="I1205" s="3" t="s">
        <v>22</v>
      </c>
      <c r="J1205" s="3" t="s">
        <v>30</v>
      </c>
      <c r="K1205" s="3">
        <v>3</v>
      </c>
      <c r="L1205" s="3">
        <v>5</v>
      </c>
      <c r="M1205" s="3">
        <v>3877</v>
      </c>
      <c r="N1205" s="3">
        <v>19385</v>
      </c>
      <c r="O1205" s="3">
        <v>19385</v>
      </c>
      <c r="P1205" s="3" t="s">
        <v>51</v>
      </c>
      <c r="Q1205" s="3">
        <v>0</v>
      </c>
      <c r="R1205" s="3" t="str">
        <f t="shared" si="18"/>
        <v>Not Cancelled</v>
      </c>
      <c r="S1205" s="3" t="s">
        <v>31</v>
      </c>
    </row>
    <row r="1206" spans="1:19" x14ac:dyDescent="0.35">
      <c r="A1206" s="3">
        <v>2205</v>
      </c>
      <c r="B1206" s="3" t="s">
        <v>913</v>
      </c>
      <c r="C1206" s="4">
        <v>45354</v>
      </c>
      <c r="D1206" s="3" t="s">
        <v>88</v>
      </c>
      <c r="E1206" s="4">
        <v>45370</v>
      </c>
      <c r="F1206" s="4">
        <v>45374</v>
      </c>
      <c r="G1206" s="3" t="s">
        <v>42</v>
      </c>
      <c r="H1206" s="3" t="s">
        <v>38</v>
      </c>
      <c r="I1206" s="3" t="s">
        <v>22</v>
      </c>
      <c r="J1206" s="3" t="s">
        <v>46</v>
      </c>
      <c r="K1206" s="3">
        <v>16</v>
      </c>
      <c r="L1206" s="3">
        <v>4</v>
      </c>
      <c r="M1206" s="3">
        <v>6881</v>
      </c>
      <c r="N1206" s="3">
        <v>27524</v>
      </c>
      <c r="O1206" s="3">
        <v>27524</v>
      </c>
      <c r="P1206" s="3" t="s">
        <v>24</v>
      </c>
      <c r="Q1206" s="3">
        <v>0</v>
      </c>
      <c r="R1206" s="3" t="str">
        <f t="shared" si="18"/>
        <v>Not Cancelled</v>
      </c>
      <c r="S1206" s="3" t="s">
        <v>31</v>
      </c>
    </row>
    <row r="1207" spans="1:19" x14ac:dyDescent="0.35">
      <c r="A1207" s="3">
        <v>2206</v>
      </c>
      <c r="B1207" s="3" t="s">
        <v>461</v>
      </c>
      <c r="C1207" s="4">
        <v>45364</v>
      </c>
      <c r="D1207" s="3" t="s">
        <v>45</v>
      </c>
      <c r="E1207" s="4">
        <v>45369</v>
      </c>
      <c r="F1207" s="4">
        <v>45372</v>
      </c>
      <c r="G1207" s="3" t="s">
        <v>20</v>
      </c>
      <c r="H1207" s="3" t="s">
        <v>21</v>
      </c>
      <c r="I1207" s="3" t="s">
        <v>22</v>
      </c>
      <c r="J1207" s="3" t="s">
        <v>23</v>
      </c>
      <c r="K1207" s="3">
        <v>5</v>
      </c>
      <c r="L1207" s="3">
        <v>3</v>
      </c>
      <c r="M1207" s="3">
        <v>8971</v>
      </c>
      <c r="N1207" s="3">
        <v>26913</v>
      </c>
      <c r="O1207" s="3">
        <v>26913</v>
      </c>
      <c r="P1207" s="3" t="s">
        <v>51</v>
      </c>
      <c r="Q1207" s="3">
        <v>0</v>
      </c>
      <c r="R1207" s="3" t="str">
        <f t="shared" si="18"/>
        <v>Not Cancelled</v>
      </c>
      <c r="S1207" s="3" t="s">
        <v>25</v>
      </c>
    </row>
    <row r="1208" spans="1:19" x14ac:dyDescent="0.35">
      <c r="A1208" s="3">
        <v>2207</v>
      </c>
      <c r="B1208" s="3" t="s">
        <v>914</v>
      </c>
      <c r="C1208" s="4">
        <v>45542</v>
      </c>
      <c r="D1208" s="3" t="s">
        <v>175</v>
      </c>
      <c r="E1208" s="4">
        <v>45563</v>
      </c>
      <c r="F1208" s="4">
        <v>45565</v>
      </c>
      <c r="G1208" s="3" t="s">
        <v>28</v>
      </c>
      <c r="H1208" s="3" t="s">
        <v>21</v>
      </c>
      <c r="I1208" s="3" t="s">
        <v>39</v>
      </c>
      <c r="J1208" s="3" t="s">
        <v>46</v>
      </c>
      <c r="K1208" s="3">
        <v>21</v>
      </c>
      <c r="L1208" s="3">
        <v>2</v>
      </c>
      <c r="M1208" s="3">
        <v>5674</v>
      </c>
      <c r="N1208" s="3">
        <v>11348</v>
      </c>
      <c r="O1208" s="3">
        <v>11348</v>
      </c>
      <c r="P1208" s="3" t="s">
        <v>51</v>
      </c>
      <c r="Q1208" s="3">
        <v>0</v>
      </c>
      <c r="R1208" s="3" t="str">
        <f t="shared" si="18"/>
        <v>Not Cancelled</v>
      </c>
      <c r="S1208" s="3" t="s">
        <v>31</v>
      </c>
    </row>
    <row r="1209" spans="1:19" x14ac:dyDescent="0.35">
      <c r="A1209" s="3">
        <v>2208</v>
      </c>
      <c r="B1209" s="3" t="s">
        <v>915</v>
      </c>
      <c r="C1209" s="4">
        <v>45415</v>
      </c>
      <c r="D1209" s="3" t="s">
        <v>37</v>
      </c>
      <c r="E1209" s="4">
        <v>45425</v>
      </c>
      <c r="F1209" s="4">
        <v>45426</v>
      </c>
      <c r="G1209" s="3" t="s">
        <v>34</v>
      </c>
      <c r="H1209" s="3" t="s">
        <v>21</v>
      </c>
      <c r="I1209" s="3" t="s">
        <v>39</v>
      </c>
      <c r="J1209" s="3" t="s">
        <v>23</v>
      </c>
      <c r="K1209" s="3">
        <v>10</v>
      </c>
      <c r="L1209" s="3">
        <v>1</v>
      </c>
      <c r="M1209" s="3">
        <v>8706</v>
      </c>
      <c r="N1209" s="3">
        <v>8706</v>
      </c>
      <c r="O1209" s="3">
        <v>0</v>
      </c>
      <c r="P1209" s="3" t="s">
        <v>24</v>
      </c>
      <c r="Q1209" s="3">
        <v>1</v>
      </c>
      <c r="R1209" s="3" t="str">
        <f t="shared" si="18"/>
        <v>Cancelled</v>
      </c>
      <c r="S1209" s="3" t="s">
        <v>25</v>
      </c>
    </row>
    <row r="1210" spans="1:19" x14ac:dyDescent="0.35">
      <c r="A1210" s="3">
        <v>2209</v>
      </c>
      <c r="B1210" s="3" t="s">
        <v>916</v>
      </c>
      <c r="C1210" s="4">
        <v>45412</v>
      </c>
      <c r="D1210" s="3" t="s">
        <v>109</v>
      </c>
      <c r="E1210" s="4">
        <v>45431</v>
      </c>
      <c r="F1210" s="4">
        <v>45435</v>
      </c>
      <c r="G1210" s="3" t="s">
        <v>42</v>
      </c>
      <c r="H1210" s="3" t="s">
        <v>29</v>
      </c>
      <c r="I1210" s="3" t="s">
        <v>22</v>
      </c>
      <c r="J1210" s="3" t="s">
        <v>23</v>
      </c>
      <c r="K1210" s="3">
        <v>19</v>
      </c>
      <c r="L1210" s="3">
        <v>4</v>
      </c>
      <c r="M1210" s="3">
        <v>7282</v>
      </c>
      <c r="N1210" s="3">
        <v>29128</v>
      </c>
      <c r="O1210" s="3">
        <v>0</v>
      </c>
      <c r="P1210" s="3" t="s">
        <v>51</v>
      </c>
      <c r="Q1210" s="3">
        <v>1</v>
      </c>
      <c r="R1210" s="3" t="str">
        <f t="shared" si="18"/>
        <v>Cancelled</v>
      </c>
      <c r="S1210" s="3" t="s">
        <v>31</v>
      </c>
    </row>
    <row r="1211" spans="1:19" x14ac:dyDescent="0.35">
      <c r="A1211" s="3">
        <v>2210</v>
      </c>
      <c r="B1211" s="3" t="s">
        <v>68</v>
      </c>
      <c r="C1211" s="4">
        <v>45566</v>
      </c>
      <c r="D1211" s="3" t="s">
        <v>107</v>
      </c>
      <c r="E1211" s="4">
        <v>45591</v>
      </c>
      <c r="F1211" s="4">
        <v>45596</v>
      </c>
      <c r="G1211" s="3" t="s">
        <v>45</v>
      </c>
      <c r="H1211" s="3" t="s">
        <v>21</v>
      </c>
      <c r="I1211" s="3" t="s">
        <v>39</v>
      </c>
      <c r="J1211" s="3" t="s">
        <v>46</v>
      </c>
      <c r="K1211" s="3">
        <v>25</v>
      </c>
      <c r="L1211" s="3">
        <v>5</v>
      </c>
      <c r="M1211" s="3">
        <v>3805</v>
      </c>
      <c r="N1211" s="3">
        <v>19025</v>
      </c>
      <c r="O1211" s="3">
        <v>19025</v>
      </c>
      <c r="P1211" s="3" t="s">
        <v>24</v>
      </c>
      <c r="Q1211" s="3">
        <v>0</v>
      </c>
      <c r="R1211" s="3" t="str">
        <f t="shared" si="18"/>
        <v>Not Cancelled</v>
      </c>
      <c r="S1211" s="3" t="s">
        <v>31</v>
      </c>
    </row>
    <row r="1212" spans="1:19" x14ac:dyDescent="0.35">
      <c r="A1212" s="3">
        <v>2211</v>
      </c>
      <c r="B1212" s="3" t="s">
        <v>811</v>
      </c>
      <c r="C1212" s="4">
        <v>45411</v>
      </c>
      <c r="D1212" s="3" t="s">
        <v>42</v>
      </c>
      <c r="E1212" s="4">
        <v>45415</v>
      </c>
      <c r="F1212" s="4">
        <v>45418</v>
      </c>
      <c r="G1212" s="3" t="s">
        <v>20</v>
      </c>
      <c r="H1212" s="3" t="s">
        <v>35</v>
      </c>
      <c r="I1212" s="3" t="s">
        <v>39</v>
      </c>
      <c r="J1212" s="3" t="s">
        <v>46</v>
      </c>
      <c r="K1212" s="3">
        <v>4</v>
      </c>
      <c r="L1212" s="3">
        <v>3</v>
      </c>
      <c r="M1212" s="3">
        <v>8060</v>
      </c>
      <c r="N1212" s="3">
        <v>24180</v>
      </c>
      <c r="O1212" s="3">
        <v>24180</v>
      </c>
      <c r="P1212" s="3" t="s">
        <v>24</v>
      </c>
      <c r="Q1212" s="3">
        <v>0</v>
      </c>
      <c r="R1212" s="3" t="str">
        <f t="shared" si="18"/>
        <v>Not Cancelled</v>
      </c>
      <c r="S1212" s="3" t="s">
        <v>25</v>
      </c>
    </row>
    <row r="1213" spans="1:19" x14ac:dyDescent="0.35">
      <c r="A1213" s="3">
        <v>2212</v>
      </c>
      <c r="B1213" s="3" t="s">
        <v>161</v>
      </c>
      <c r="C1213" s="4">
        <v>45608</v>
      </c>
      <c r="D1213" s="3" t="s">
        <v>57</v>
      </c>
      <c r="E1213" s="4">
        <v>45637</v>
      </c>
      <c r="F1213" s="4">
        <v>45638</v>
      </c>
      <c r="G1213" s="3" t="s">
        <v>34</v>
      </c>
      <c r="H1213" s="3" t="s">
        <v>21</v>
      </c>
      <c r="I1213" s="3" t="s">
        <v>22</v>
      </c>
      <c r="J1213" s="3" t="s">
        <v>46</v>
      </c>
      <c r="K1213" s="3">
        <v>29</v>
      </c>
      <c r="L1213" s="3">
        <v>1</v>
      </c>
      <c r="M1213" s="3">
        <v>7333</v>
      </c>
      <c r="N1213" s="3">
        <v>7333</v>
      </c>
      <c r="O1213" s="3">
        <v>7333</v>
      </c>
      <c r="P1213" s="3" t="s">
        <v>51</v>
      </c>
      <c r="Q1213" s="3">
        <v>0</v>
      </c>
      <c r="R1213" s="3" t="str">
        <f t="shared" si="18"/>
        <v>Not Cancelled</v>
      </c>
      <c r="S1213" s="3" t="s">
        <v>25</v>
      </c>
    </row>
    <row r="1214" spans="1:19" x14ac:dyDescent="0.35">
      <c r="A1214" s="3">
        <v>2213</v>
      </c>
      <c r="B1214" s="3" t="s">
        <v>26</v>
      </c>
      <c r="C1214" s="4">
        <v>45455</v>
      </c>
      <c r="D1214" s="3" t="s">
        <v>109</v>
      </c>
      <c r="E1214" s="4">
        <v>45474</v>
      </c>
      <c r="F1214" s="4">
        <v>45479</v>
      </c>
      <c r="G1214" s="3" t="s">
        <v>45</v>
      </c>
      <c r="H1214" s="3" t="s">
        <v>35</v>
      </c>
      <c r="I1214" s="3" t="s">
        <v>22</v>
      </c>
      <c r="J1214" s="3" t="s">
        <v>30</v>
      </c>
      <c r="K1214" s="3">
        <v>19</v>
      </c>
      <c r="L1214" s="3">
        <v>5</v>
      </c>
      <c r="M1214" s="3">
        <v>5578</v>
      </c>
      <c r="N1214" s="3">
        <v>27890</v>
      </c>
      <c r="O1214" s="3">
        <v>27890</v>
      </c>
      <c r="P1214" s="3" t="s">
        <v>51</v>
      </c>
      <c r="Q1214" s="3">
        <v>0</v>
      </c>
      <c r="R1214" s="3" t="str">
        <f t="shared" si="18"/>
        <v>Not Cancelled</v>
      </c>
      <c r="S1214" s="3" t="s">
        <v>31</v>
      </c>
    </row>
    <row r="1215" spans="1:19" x14ac:dyDescent="0.35">
      <c r="A1215" s="3">
        <v>2214</v>
      </c>
      <c r="B1215" s="3" t="s">
        <v>917</v>
      </c>
      <c r="C1215" s="4">
        <v>45577</v>
      </c>
      <c r="D1215" s="3" t="s">
        <v>66</v>
      </c>
      <c r="E1215" s="4">
        <v>45620</v>
      </c>
      <c r="F1215" s="4">
        <v>45625</v>
      </c>
      <c r="G1215" s="3" t="s">
        <v>45</v>
      </c>
      <c r="H1215" s="3" t="s">
        <v>60</v>
      </c>
      <c r="I1215" s="3" t="s">
        <v>22</v>
      </c>
      <c r="J1215" s="3" t="s">
        <v>23</v>
      </c>
      <c r="K1215" s="3">
        <v>43</v>
      </c>
      <c r="L1215" s="3">
        <v>5</v>
      </c>
      <c r="M1215" s="3">
        <v>5186</v>
      </c>
      <c r="N1215" s="3">
        <v>25930</v>
      </c>
      <c r="O1215" s="3">
        <v>0</v>
      </c>
      <c r="P1215" s="3" t="s">
        <v>24</v>
      </c>
      <c r="Q1215" s="3">
        <v>1</v>
      </c>
      <c r="R1215" s="3" t="str">
        <f t="shared" si="18"/>
        <v>Cancelled</v>
      </c>
      <c r="S1215" s="3" t="s">
        <v>25</v>
      </c>
    </row>
    <row r="1216" spans="1:19" x14ac:dyDescent="0.35">
      <c r="A1216" s="3">
        <v>2215</v>
      </c>
      <c r="B1216" s="3" t="s">
        <v>472</v>
      </c>
      <c r="C1216" s="4">
        <v>45556</v>
      </c>
      <c r="D1216" s="3" t="s">
        <v>28</v>
      </c>
      <c r="E1216" s="4">
        <v>45558</v>
      </c>
      <c r="F1216" s="4">
        <v>45560</v>
      </c>
      <c r="G1216" s="3" t="s">
        <v>28</v>
      </c>
      <c r="H1216" s="3" t="s">
        <v>29</v>
      </c>
      <c r="I1216" s="3" t="s">
        <v>39</v>
      </c>
      <c r="J1216" s="3" t="s">
        <v>30</v>
      </c>
      <c r="K1216" s="3">
        <v>2</v>
      </c>
      <c r="L1216" s="3">
        <v>2</v>
      </c>
      <c r="M1216" s="3">
        <v>5483</v>
      </c>
      <c r="N1216" s="3">
        <v>10966</v>
      </c>
      <c r="O1216" s="3">
        <v>10966</v>
      </c>
      <c r="P1216" s="3" t="s">
        <v>24</v>
      </c>
      <c r="Q1216" s="3">
        <v>0</v>
      </c>
      <c r="R1216" s="3" t="str">
        <f t="shared" si="18"/>
        <v>Not Cancelled</v>
      </c>
      <c r="S1216" s="3" t="s">
        <v>25</v>
      </c>
    </row>
    <row r="1217" spans="1:19" x14ac:dyDescent="0.35">
      <c r="A1217" s="3">
        <v>2216</v>
      </c>
      <c r="B1217" s="3" t="s">
        <v>918</v>
      </c>
      <c r="C1217" s="4">
        <v>45611</v>
      </c>
      <c r="D1217" s="3" t="s">
        <v>37</v>
      </c>
      <c r="E1217" s="4">
        <v>45621</v>
      </c>
      <c r="F1217" s="4">
        <v>45623</v>
      </c>
      <c r="G1217" s="3" t="s">
        <v>28</v>
      </c>
      <c r="H1217" s="3" t="s">
        <v>29</v>
      </c>
      <c r="I1217" s="3" t="s">
        <v>22</v>
      </c>
      <c r="J1217" s="3" t="s">
        <v>23</v>
      </c>
      <c r="K1217" s="3">
        <v>10</v>
      </c>
      <c r="L1217" s="3">
        <v>2</v>
      </c>
      <c r="M1217" s="3">
        <v>8554</v>
      </c>
      <c r="N1217" s="3">
        <v>17108</v>
      </c>
      <c r="O1217" s="3">
        <v>0</v>
      </c>
      <c r="P1217" s="3" t="s">
        <v>51</v>
      </c>
      <c r="Q1217" s="3">
        <v>1</v>
      </c>
      <c r="R1217" s="3" t="str">
        <f t="shared" si="18"/>
        <v>Cancelled</v>
      </c>
      <c r="S1217" s="3" t="s">
        <v>31</v>
      </c>
    </row>
    <row r="1218" spans="1:19" x14ac:dyDescent="0.35">
      <c r="A1218" s="3">
        <v>2217</v>
      </c>
      <c r="B1218" s="3" t="s">
        <v>439</v>
      </c>
      <c r="C1218" s="4">
        <v>45452</v>
      </c>
      <c r="D1218" s="3" t="s">
        <v>66</v>
      </c>
      <c r="E1218" s="4">
        <v>45495</v>
      </c>
      <c r="F1218" s="4">
        <v>45496</v>
      </c>
      <c r="G1218" s="3" t="s">
        <v>34</v>
      </c>
      <c r="H1218" s="3" t="s">
        <v>38</v>
      </c>
      <c r="I1218" s="3" t="s">
        <v>22</v>
      </c>
      <c r="J1218" s="3" t="s">
        <v>23</v>
      </c>
      <c r="K1218" s="3">
        <v>43</v>
      </c>
      <c r="L1218" s="3">
        <v>1</v>
      </c>
      <c r="M1218" s="3">
        <v>8490</v>
      </c>
      <c r="N1218" s="3">
        <v>8490</v>
      </c>
      <c r="O1218" s="3">
        <v>0</v>
      </c>
      <c r="P1218" s="3" t="s">
        <v>51</v>
      </c>
      <c r="Q1218" s="3">
        <v>1</v>
      </c>
      <c r="R1218" s="3" t="str">
        <f t="shared" si="18"/>
        <v>Cancelled</v>
      </c>
      <c r="S1218" s="3" t="s">
        <v>31</v>
      </c>
    </row>
    <row r="1219" spans="1:19" x14ac:dyDescent="0.35">
      <c r="A1219" s="3">
        <v>2218</v>
      </c>
      <c r="B1219" s="3" t="s">
        <v>919</v>
      </c>
      <c r="C1219" s="4">
        <v>45599</v>
      </c>
      <c r="D1219" s="3" t="s">
        <v>107</v>
      </c>
      <c r="E1219" s="4">
        <v>45624</v>
      </c>
      <c r="F1219" s="4">
        <v>45629</v>
      </c>
      <c r="G1219" s="3" t="s">
        <v>45</v>
      </c>
      <c r="H1219" s="3" t="s">
        <v>60</v>
      </c>
      <c r="I1219" s="3" t="s">
        <v>22</v>
      </c>
      <c r="J1219" s="3" t="s">
        <v>30</v>
      </c>
      <c r="K1219" s="3">
        <v>25</v>
      </c>
      <c r="L1219" s="3">
        <v>5</v>
      </c>
      <c r="M1219" s="3">
        <v>5023</v>
      </c>
      <c r="N1219" s="3">
        <v>25115</v>
      </c>
      <c r="O1219" s="3">
        <v>25115</v>
      </c>
      <c r="P1219" s="3" t="s">
        <v>51</v>
      </c>
      <c r="Q1219" s="3">
        <v>0</v>
      </c>
      <c r="R1219" s="3" t="str">
        <f t="shared" ref="R1219:R1282" si="19">IF(Q1219=0,"Not Cancelled","Cancelled")</f>
        <v>Not Cancelled</v>
      </c>
      <c r="S1219" s="3" t="s">
        <v>31</v>
      </c>
    </row>
    <row r="1220" spans="1:19" x14ac:dyDescent="0.35">
      <c r="A1220" s="3">
        <v>2219</v>
      </c>
      <c r="B1220" s="3" t="s">
        <v>794</v>
      </c>
      <c r="C1220" s="4">
        <v>45380</v>
      </c>
      <c r="D1220" s="3" t="s">
        <v>157</v>
      </c>
      <c r="E1220" s="4">
        <v>45400</v>
      </c>
      <c r="F1220" s="4">
        <v>45402</v>
      </c>
      <c r="G1220" s="3" t="s">
        <v>28</v>
      </c>
      <c r="H1220" s="3" t="s">
        <v>35</v>
      </c>
      <c r="I1220" s="3" t="s">
        <v>39</v>
      </c>
      <c r="J1220" s="3" t="s">
        <v>30</v>
      </c>
      <c r="K1220" s="3">
        <v>20</v>
      </c>
      <c r="L1220" s="3">
        <v>2</v>
      </c>
      <c r="M1220" s="3">
        <v>6082</v>
      </c>
      <c r="N1220" s="3">
        <v>12164</v>
      </c>
      <c r="O1220" s="3">
        <v>0</v>
      </c>
      <c r="P1220" s="3" t="s">
        <v>51</v>
      </c>
      <c r="Q1220" s="3">
        <v>1</v>
      </c>
      <c r="R1220" s="3" t="str">
        <f t="shared" si="19"/>
        <v>Cancelled</v>
      </c>
      <c r="S1220" s="3" t="s">
        <v>25</v>
      </c>
    </row>
    <row r="1221" spans="1:19" x14ac:dyDescent="0.35">
      <c r="A1221" s="3">
        <v>2220</v>
      </c>
      <c r="B1221" s="3" t="s">
        <v>720</v>
      </c>
      <c r="C1221" s="4">
        <v>45433</v>
      </c>
      <c r="D1221" s="3" t="s">
        <v>73</v>
      </c>
      <c r="E1221" s="4">
        <v>45481</v>
      </c>
      <c r="F1221" s="4">
        <v>45484</v>
      </c>
      <c r="G1221" s="3" t="s">
        <v>20</v>
      </c>
      <c r="H1221" s="3" t="s">
        <v>60</v>
      </c>
      <c r="I1221" s="3" t="s">
        <v>39</v>
      </c>
      <c r="J1221" s="3" t="s">
        <v>23</v>
      </c>
      <c r="K1221" s="3">
        <v>48</v>
      </c>
      <c r="L1221" s="3">
        <v>3</v>
      </c>
      <c r="M1221" s="3">
        <v>3985</v>
      </c>
      <c r="N1221" s="3">
        <v>11955</v>
      </c>
      <c r="O1221" s="3">
        <v>0</v>
      </c>
      <c r="P1221" s="3" t="s">
        <v>51</v>
      </c>
      <c r="Q1221" s="3">
        <v>1</v>
      </c>
      <c r="R1221" s="3" t="str">
        <f t="shared" si="19"/>
        <v>Cancelled</v>
      </c>
      <c r="S1221" s="3" t="s">
        <v>31</v>
      </c>
    </row>
    <row r="1222" spans="1:19" x14ac:dyDescent="0.35">
      <c r="A1222" s="3">
        <v>2221</v>
      </c>
      <c r="B1222" s="3" t="s">
        <v>77</v>
      </c>
      <c r="C1222" s="4">
        <v>45494</v>
      </c>
      <c r="D1222" s="3" t="s">
        <v>109</v>
      </c>
      <c r="E1222" s="4">
        <v>45513</v>
      </c>
      <c r="F1222" s="4">
        <v>45516</v>
      </c>
      <c r="G1222" s="3" t="s">
        <v>20</v>
      </c>
      <c r="H1222" s="3" t="s">
        <v>29</v>
      </c>
      <c r="I1222" s="3" t="s">
        <v>22</v>
      </c>
      <c r="J1222" s="3" t="s">
        <v>46</v>
      </c>
      <c r="K1222" s="3">
        <v>19</v>
      </c>
      <c r="L1222" s="3">
        <v>3</v>
      </c>
      <c r="M1222" s="3">
        <v>4600</v>
      </c>
      <c r="N1222" s="3">
        <v>13800</v>
      </c>
      <c r="O1222" s="3">
        <v>13800</v>
      </c>
      <c r="P1222" s="3" t="s">
        <v>24</v>
      </c>
      <c r="Q1222" s="3">
        <v>0</v>
      </c>
      <c r="R1222" s="3" t="str">
        <f t="shared" si="19"/>
        <v>Not Cancelled</v>
      </c>
      <c r="S1222" s="3" t="s">
        <v>31</v>
      </c>
    </row>
    <row r="1223" spans="1:19" x14ac:dyDescent="0.35">
      <c r="A1223" s="3">
        <v>2222</v>
      </c>
      <c r="B1223" s="3" t="s">
        <v>895</v>
      </c>
      <c r="C1223" s="4">
        <v>45600</v>
      </c>
      <c r="D1223" s="3" t="s">
        <v>111</v>
      </c>
      <c r="E1223" s="4">
        <v>45623</v>
      </c>
      <c r="F1223" s="4">
        <v>45628</v>
      </c>
      <c r="G1223" s="3" t="s">
        <v>45</v>
      </c>
      <c r="H1223" s="3" t="s">
        <v>35</v>
      </c>
      <c r="I1223" s="3" t="s">
        <v>22</v>
      </c>
      <c r="J1223" s="3" t="s">
        <v>46</v>
      </c>
      <c r="K1223" s="3">
        <v>23</v>
      </c>
      <c r="L1223" s="3">
        <v>5</v>
      </c>
      <c r="M1223" s="3">
        <v>7081</v>
      </c>
      <c r="N1223" s="3">
        <v>35405</v>
      </c>
      <c r="O1223" s="3">
        <v>0</v>
      </c>
      <c r="P1223" s="3" t="s">
        <v>24</v>
      </c>
      <c r="Q1223" s="3">
        <v>1</v>
      </c>
      <c r="R1223" s="3" t="str">
        <f t="shared" si="19"/>
        <v>Cancelled</v>
      </c>
      <c r="S1223" s="3" t="s">
        <v>31</v>
      </c>
    </row>
    <row r="1224" spans="1:19" x14ac:dyDescent="0.35">
      <c r="A1224" s="3">
        <v>2223</v>
      </c>
      <c r="B1224" s="3" t="s">
        <v>93</v>
      </c>
      <c r="C1224" s="4">
        <v>45518</v>
      </c>
      <c r="D1224" s="3" t="s">
        <v>159</v>
      </c>
      <c r="E1224" s="4">
        <v>45542</v>
      </c>
      <c r="F1224" s="4">
        <v>45544</v>
      </c>
      <c r="G1224" s="3" t="s">
        <v>28</v>
      </c>
      <c r="H1224" s="3" t="s">
        <v>60</v>
      </c>
      <c r="I1224" s="3" t="s">
        <v>39</v>
      </c>
      <c r="J1224" s="3" t="s">
        <v>46</v>
      </c>
      <c r="K1224" s="3">
        <v>24</v>
      </c>
      <c r="L1224" s="3">
        <v>2</v>
      </c>
      <c r="M1224" s="3">
        <v>6215</v>
      </c>
      <c r="N1224" s="3">
        <v>12430</v>
      </c>
      <c r="O1224" s="3">
        <v>0</v>
      </c>
      <c r="P1224" s="3" t="s">
        <v>24</v>
      </c>
      <c r="Q1224" s="3">
        <v>1</v>
      </c>
      <c r="R1224" s="3" t="str">
        <f t="shared" si="19"/>
        <v>Cancelled</v>
      </c>
      <c r="S1224" s="3" t="s">
        <v>31</v>
      </c>
    </row>
    <row r="1225" spans="1:19" x14ac:dyDescent="0.35">
      <c r="A1225" s="3">
        <v>2224</v>
      </c>
      <c r="B1225" s="3" t="s">
        <v>542</v>
      </c>
      <c r="C1225" s="4">
        <v>45625</v>
      </c>
      <c r="D1225" s="3" t="s">
        <v>75</v>
      </c>
      <c r="E1225" s="4">
        <v>45636</v>
      </c>
      <c r="F1225" s="4">
        <v>45637</v>
      </c>
      <c r="G1225" s="3" t="s">
        <v>34</v>
      </c>
      <c r="H1225" s="3" t="s">
        <v>29</v>
      </c>
      <c r="I1225" s="3" t="s">
        <v>39</v>
      </c>
      <c r="J1225" s="3" t="s">
        <v>46</v>
      </c>
      <c r="K1225" s="3">
        <v>11</v>
      </c>
      <c r="L1225" s="3">
        <v>1</v>
      </c>
      <c r="M1225" s="3">
        <v>8109</v>
      </c>
      <c r="N1225" s="3">
        <v>8109</v>
      </c>
      <c r="O1225" s="3">
        <v>8109</v>
      </c>
      <c r="P1225" s="3" t="s">
        <v>24</v>
      </c>
      <c r="Q1225" s="3">
        <v>0</v>
      </c>
      <c r="R1225" s="3" t="str">
        <f t="shared" si="19"/>
        <v>Not Cancelled</v>
      </c>
      <c r="S1225" s="3" t="s">
        <v>31</v>
      </c>
    </row>
    <row r="1226" spans="1:19" x14ac:dyDescent="0.35">
      <c r="A1226" s="3">
        <v>2225</v>
      </c>
      <c r="B1226" s="3" t="s">
        <v>920</v>
      </c>
      <c r="C1226" s="4">
        <v>45513</v>
      </c>
      <c r="D1226" s="3" t="s">
        <v>41</v>
      </c>
      <c r="E1226" s="4">
        <v>45559</v>
      </c>
      <c r="F1226" s="4">
        <v>45560</v>
      </c>
      <c r="G1226" s="3" t="s">
        <v>34</v>
      </c>
      <c r="H1226" s="3" t="s">
        <v>35</v>
      </c>
      <c r="I1226" s="3" t="s">
        <v>22</v>
      </c>
      <c r="J1226" s="3" t="s">
        <v>23</v>
      </c>
      <c r="K1226" s="3">
        <v>46</v>
      </c>
      <c r="L1226" s="3">
        <v>1</v>
      </c>
      <c r="M1226" s="3">
        <v>4501</v>
      </c>
      <c r="N1226" s="3">
        <v>4501</v>
      </c>
      <c r="O1226" s="3">
        <v>0</v>
      </c>
      <c r="P1226" s="3" t="s">
        <v>51</v>
      </c>
      <c r="Q1226" s="3">
        <v>1</v>
      </c>
      <c r="R1226" s="3" t="str">
        <f t="shared" si="19"/>
        <v>Cancelled</v>
      </c>
      <c r="S1226" s="3" t="s">
        <v>25</v>
      </c>
    </row>
    <row r="1227" spans="1:19" x14ac:dyDescent="0.35">
      <c r="A1227" s="3">
        <v>2226</v>
      </c>
      <c r="B1227" s="3" t="s">
        <v>365</v>
      </c>
      <c r="C1227" s="4">
        <v>45332</v>
      </c>
      <c r="D1227" s="3" t="s">
        <v>128</v>
      </c>
      <c r="E1227" s="4">
        <v>45366</v>
      </c>
      <c r="F1227" s="4">
        <v>45367</v>
      </c>
      <c r="G1227" s="3" t="s">
        <v>34</v>
      </c>
      <c r="H1227" s="3" t="s">
        <v>35</v>
      </c>
      <c r="I1227" s="3" t="s">
        <v>39</v>
      </c>
      <c r="J1227" s="3" t="s">
        <v>46</v>
      </c>
      <c r="K1227" s="3">
        <v>34</v>
      </c>
      <c r="L1227" s="3">
        <v>1</v>
      </c>
      <c r="M1227" s="3">
        <v>3887</v>
      </c>
      <c r="N1227" s="3">
        <v>3887</v>
      </c>
      <c r="O1227" s="3">
        <v>0</v>
      </c>
      <c r="P1227" s="3" t="s">
        <v>24</v>
      </c>
      <c r="Q1227" s="3">
        <v>1</v>
      </c>
      <c r="R1227" s="3" t="str">
        <f t="shared" si="19"/>
        <v>Cancelled</v>
      </c>
      <c r="S1227" s="3" t="s">
        <v>31</v>
      </c>
    </row>
    <row r="1228" spans="1:19" x14ac:dyDescent="0.35">
      <c r="A1228" s="3">
        <v>2227</v>
      </c>
      <c r="B1228" s="3" t="s">
        <v>921</v>
      </c>
      <c r="C1228" s="4">
        <v>45487</v>
      </c>
      <c r="D1228" s="3" t="s">
        <v>113</v>
      </c>
      <c r="E1228" s="4">
        <v>45542</v>
      </c>
      <c r="F1228" s="4">
        <v>45545</v>
      </c>
      <c r="G1228" s="3" t="s">
        <v>20</v>
      </c>
      <c r="H1228" s="3" t="s">
        <v>29</v>
      </c>
      <c r="I1228" s="3" t="s">
        <v>22</v>
      </c>
      <c r="J1228" s="3" t="s">
        <v>46</v>
      </c>
      <c r="K1228" s="3">
        <v>55</v>
      </c>
      <c r="L1228" s="3">
        <v>3</v>
      </c>
      <c r="M1228" s="3">
        <v>5683</v>
      </c>
      <c r="N1228" s="3">
        <v>17049</v>
      </c>
      <c r="O1228" s="3">
        <v>0</v>
      </c>
      <c r="P1228" s="3" t="s">
        <v>51</v>
      </c>
      <c r="Q1228" s="3">
        <v>1</v>
      </c>
      <c r="R1228" s="3" t="str">
        <f t="shared" si="19"/>
        <v>Cancelled</v>
      </c>
      <c r="S1228" s="3" t="s">
        <v>31</v>
      </c>
    </row>
    <row r="1229" spans="1:19" x14ac:dyDescent="0.35">
      <c r="A1229" s="3">
        <v>2228</v>
      </c>
      <c r="B1229" s="3" t="s">
        <v>317</v>
      </c>
      <c r="C1229" s="4">
        <v>45359</v>
      </c>
      <c r="D1229" s="3" t="s">
        <v>82</v>
      </c>
      <c r="E1229" s="4">
        <v>45387</v>
      </c>
      <c r="F1229" s="4">
        <v>45389</v>
      </c>
      <c r="G1229" s="3" t="s">
        <v>28</v>
      </c>
      <c r="H1229" s="3" t="s">
        <v>35</v>
      </c>
      <c r="I1229" s="3" t="s">
        <v>22</v>
      </c>
      <c r="J1229" s="3" t="s">
        <v>46</v>
      </c>
      <c r="K1229" s="3">
        <v>28</v>
      </c>
      <c r="L1229" s="3">
        <v>2</v>
      </c>
      <c r="M1229" s="3">
        <v>3530</v>
      </c>
      <c r="N1229" s="3">
        <v>7060</v>
      </c>
      <c r="O1229" s="3">
        <v>7060</v>
      </c>
      <c r="P1229" s="3" t="s">
        <v>51</v>
      </c>
      <c r="Q1229" s="3">
        <v>0</v>
      </c>
      <c r="R1229" s="3" t="str">
        <f t="shared" si="19"/>
        <v>Not Cancelled</v>
      </c>
      <c r="S1229" s="3" t="s">
        <v>25</v>
      </c>
    </row>
    <row r="1230" spans="1:19" x14ac:dyDescent="0.35">
      <c r="A1230" s="3">
        <v>2229</v>
      </c>
      <c r="B1230" s="3" t="s">
        <v>613</v>
      </c>
      <c r="C1230" s="4">
        <v>45555</v>
      </c>
      <c r="D1230" s="3" t="s">
        <v>45</v>
      </c>
      <c r="E1230" s="4">
        <v>45560</v>
      </c>
      <c r="F1230" s="4">
        <v>45562</v>
      </c>
      <c r="G1230" s="3" t="s">
        <v>28</v>
      </c>
      <c r="H1230" s="3" t="s">
        <v>29</v>
      </c>
      <c r="I1230" s="3" t="s">
        <v>39</v>
      </c>
      <c r="J1230" s="3" t="s">
        <v>23</v>
      </c>
      <c r="K1230" s="3">
        <v>5</v>
      </c>
      <c r="L1230" s="3">
        <v>2</v>
      </c>
      <c r="M1230" s="3">
        <v>4265</v>
      </c>
      <c r="N1230" s="3">
        <v>8530</v>
      </c>
      <c r="O1230" s="3">
        <v>8530</v>
      </c>
      <c r="P1230" s="3" t="s">
        <v>51</v>
      </c>
      <c r="Q1230" s="3">
        <v>0</v>
      </c>
      <c r="R1230" s="3" t="str">
        <f t="shared" si="19"/>
        <v>Not Cancelled</v>
      </c>
      <c r="S1230" s="3" t="s">
        <v>31</v>
      </c>
    </row>
    <row r="1231" spans="1:19" x14ac:dyDescent="0.35">
      <c r="A1231" s="3">
        <v>2230</v>
      </c>
      <c r="B1231" s="3" t="s">
        <v>716</v>
      </c>
      <c r="C1231" s="4">
        <v>45293</v>
      </c>
      <c r="D1231" s="3" t="s">
        <v>96</v>
      </c>
      <c r="E1231" s="4">
        <v>45352</v>
      </c>
      <c r="F1231" s="4">
        <v>45355</v>
      </c>
      <c r="G1231" s="3" t="s">
        <v>20</v>
      </c>
      <c r="H1231" s="3" t="s">
        <v>21</v>
      </c>
      <c r="I1231" s="3" t="s">
        <v>22</v>
      </c>
      <c r="J1231" s="3" t="s">
        <v>30</v>
      </c>
      <c r="K1231" s="3">
        <v>59</v>
      </c>
      <c r="L1231" s="3">
        <v>3</v>
      </c>
      <c r="M1231" s="3">
        <v>7263</v>
      </c>
      <c r="N1231" s="3">
        <v>21789</v>
      </c>
      <c r="O1231" s="3">
        <v>0</v>
      </c>
      <c r="P1231" s="3" t="s">
        <v>51</v>
      </c>
      <c r="Q1231" s="3">
        <v>1</v>
      </c>
      <c r="R1231" s="3" t="str">
        <f t="shared" si="19"/>
        <v>Cancelled</v>
      </c>
      <c r="S1231" s="3" t="s">
        <v>31</v>
      </c>
    </row>
    <row r="1232" spans="1:19" x14ac:dyDescent="0.35">
      <c r="A1232" s="3">
        <v>2231</v>
      </c>
      <c r="B1232" s="3" t="s">
        <v>868</v>
      </c>
      <c r="C1232" s="4">
        <v>45652</v>
      </c>
      <c r="D1232" s="3" t="s">
        <v>45</v>
      </c>
      <c r="E1232" s="4">
        <v>45657</v>
      </c>
      <c r="F1232" s="4">
        <v>45658</v>
      </c>
      <c r="G1232" s="3" t="s">
        <v>34</v>
      </c>
      <c r="H1232" s="3" t="s">
        <v>21</v>
      </c>
      <c r="I1232" s="3" t="s">
        <v>22</v>
      </c>
      <c r="J1232" s="3" t="s">
        <v>46</v>
      </c>
      <c r="K1232" s="3">
        <v>5</v>
      </c>
      <c r="L1232" s="3">
        <v>1</v>
      </c>
      <c r="M1232" s="3">
        <v>3720</v>
      </c>
      <c r="N1232" s="3">
        <v>3720</v>
      </c>
      <c r="O1232" s="3">
        <v>0</v>
      </c>
      <c r="P1232" s="3" t="s">
        <v>51</v>
      </c>
      <c r="Q1232" s="3">
        <v>1</v>
      </c>
      <c r="R1232" s="3" t="str">
        <f t="shared" si="19"/>
        <v>Cancelled</v>
      </c>
      <c r="S1232" s="3" t="s">
        <v>25</v>
      </c>
    </row>
    <row r="1233" spans="1:19" x14ac:dyDescent="0.35">
      <c r="A1233" s="3">
        <v>2232</v>
      </c>
      <c r="B1233" s="3" t="s">
        <v>614</v>
      </c>
      <c r="C1233" s="4">
        <v>45416</v>
      </c>
      <c r="D1233" s="3" t="s">
        <v>124</v>
      </c>
      <c r="E1233" s="4">
        <v>45467</v>
      </c>
      <c r="F1233" s="4">
        <v>45468</v>
      </c>
      <c r="G1233" s="3" t="s">
        <v>34</v>
      </c>
      <c r="H1233" s="3" t="s">
        <v>35</v>
      </c>
      <c r="I1233" s="3" t="s">
        <v>39</v>
      </c>
      <c r="J1233" s="3" t="s">
        <v>23</v>
      </c>
      <c r="K1233" s="3">
        <v>51</v>
      </c>
      <c r="L1233" s="3">
        <v>1</v>
      </c>
      <c r="M1233" s="3">
        <v>7430</v>
      </c>
      <c r="N1233" s="3">
        <v>7430</v>
      </c>
      <c r="O1233" s="3">
        <v>7430</v>
      </c>
      <c r="P1233" s="3" t="s">
        <v>24</v>
      </c>
      <c r="Q1233" s="3">
        <v>0</v>
      </c>
      <c r="R1233" s="3" t="str">
        <f t="shared" si="19"/>
        <v>Not Cancelled</v>
      </c>
      <c r="S1233" s="3" t="s">
        <v>31</v>
      </c>
    </row>
    <row r="1234" spans="1:19" x14ac:dyDescent="0.35">
      <c r="A1234" s="3">
        <v>2233</v>
      </c>
      <c r="B1234" s="3" t="s">
        <v>275</v>
      </c>
      <c r="C1234" s="4">
        <v>45401</v>
      </c>
      <c r="D1234" s="3" t="s">
        <v>175</v>
      </c>
      <c r="E1234" s="4">
        <v>45422</v>
      </c>
      <c r="F1234" s="4">
        <v>45427</v>
      </c>
      <c r="G1234" s="3" t="s">
        <v>45</v>
      </c>
      <c r="H1234" s="3" t="s">
        <v>35</v>
      </c>
      <c r="I1234" s="3" t="s">
        <v>22</v>
      </c>
      <c r="J1234" s="3" t="s">
        <v>23</v>
      </c>
      <c r="K1234" s="3">
        <v>21</v>
      </c>
      <c r="L1234" s="3">
        <v>5</v>
      </c>
      <c r="M1234" s="3">
        <v>7471</v>
      </c>
      <c r="N1234" s="3">
        <v>37355</v>
      </c>
      <c r="O1234" s="3">
        <v>0</v>
      </c>
      <c r="P1234" s="3" t="s">
        <v>51</v>
      </c>
      <c r="Q1234" s="3">
        <v>1</v>
      </c>
      <c r="R1234" s="3" t="str">
        <f t="shared" si="19"/>
        <v>Cancelled</v>
      </c>
      <c r="S1234" s="3" t="s">
        <v>25</v>
      </c>
    </row>
    <row r="1235" spans="1:19" x14ac:dyDescent="0.35">
      <c r="A1235" s="3">
        <v>2234</v>
      </c>
      <c r="B1235" s="3" t="s">
        <v>797</v>
      </c>
      <c r="C1235" s="4">
        <v>45377</v>
      </c>
      <c r="D1235" s="3" t="s">
        <v>102</v>
      </c>
      <c r="E1235" s="4">
        <v>45389</v>
      </c>
      <c r="F1235" s="4">
        <v>45393</v>
      </c>
      <c r="G1235" s="3" t="s">
        <v>42</v>
      </c>
      <c r="H1235" s="3" t="s">
        <v>29</v>
      </c>
      <c r="I1235" s="3" t="s">
        <v>39</v>
      </c>
      <c r="J1235" s="3" t="s">
        <v>46</v>
      </c>
      <c r="K1235" s="3">
        <v>12</v>
      </c>
      <c r="L1235" s="3">
        <v>4</v>
      </c>
      <c r="M1235" s="3">
        <v>6306</v>
      </c>
      <c r="N1235" s="3">
        <v>25224</v>
      </c>
      <c r="O1235" s="3">
        <v>0</v>
      </c>
      <c r="P1235" s="3" t="s">
        <v>51</v>
      </c>
      <c r="Q1235" s="3">
        <v>1</v>
      </c>
      <c r="R1235" s="3" t="str">
        <f t="shared" si="19"/>
        <v>Cancelled</v>
      </c>
      <c r="S1235" s="3" t="s">
        <v>31</v>
      </c>
    </row>
    <row r="1236" spans="1:19" x14ac:dyDescent="0.35">
      <c r="A1236" s="3">
        <v>2235</v>
      </c>
      <c r="B1236" s="3" t="s">
        <v>511</v>
      </c>
      <c r="C1236" s="4">
        <v>45411</v>
      </c>
      <c r="D1236" s="3" t="s">
        <v>78</v>
      </c>
      <c r="E1236" s="4">
        <v>45461</v>
      </c>
      <c r="F1236" s="4">
        <v>45463</v>
      </c>
      <c r="G1236" s="3" t="s">
        <v>28</v>
      </c>
      <c r="H1236" s="3" t="s">
        <v>35</v>
      </c>
      <c r="I1236" s="3" t="s">
        <v>22</v>
      </c>
      <c r="J1236" s="3" t="s">
        <v>30</v>
      </c>
      <c r="K1236" s="3">
        <v>50</v>
      </c>
      <c r="L1236" s="3">
        <v>2</v>
      </c>
      <c r="M1236" s="3">
        <v>4914</v>
      </c>
      <c r="N1236" s="3">
        <v>9828</v>
      </c>
      <c r="O1236" s="3">
        <v>0</v>
      </c>
      <c r="P1236" s="3" t="s">
        <v>51</v>
      </c>
      <c r="Q1236" s="3">
        <v>1</v>
      </c>
      <c r="R1236" s="3" t="str">
        <f t="shared" si="19"/>
        <v>Cancelled</v>
      </c>
      <c r="S1236" s="3" t="s">
        <v>25</v>
      </c>
    </row>
    <row r="1237" spans="1:19" x14ac:dyDescent="0.35">
      <c r="A1237" s="3">
        <v>2236</v>
      </c>
      <c r="B1237" s="3" t="s">
        <v>269</v>
      </c>
      <c r="C1237" s="4">
        <v>45418</v>
      </c>
      <c r="D1237" s="3" t="s">
        <v>42</v>
      </c>
      <c r="E1237" s="4">
        <v>45422</v>
      </c>
      <c r="F1237" s="4">
        <v>45424</v>
      </c>
      <c r="G1237" s="3" t="s">
        <v>28</v>
      </c>
      <c r="H1237" s="3" t="s">
        <v>38</v>
      </c>
      <c r="I1237" s="3" t="s">
        <v>22</v>
      </c>
      <c r="J1237" s="3" t="s">
        <v>30</v>
      </c>
      <c r="K1237" s="3">
        <v>4</v>
      </c>
      <c r="L1237" s="3">
        <v>2</v>
      </c>
      <c r="M1237" s="3">
        <v>7597</v>
      </c>
      <c r="N1237" s="3">
        <v>15194</v>
      </c>
      <c r="O1237" s="3">
        <v>15194</v>
      </c>
      <c r="P1237" s="3" t="s">
        <v>24</v>
      </c>
      <c r="Q1237" s="3">
        <v>0</v>
      </c>
      <c r="R1237" s="3" t="str">
        <f t="shared" si="19"/>
        <v>Not Cancelled</v>
      </c>
      <c r="S1237" s="3" t="s">
        <v>25</v>
      </c>
    </row>
    <row r="1238" spans="1:19" x14ac:dyDescent="0.35">
      <c r="A1238" s="3">
        <v>2237</v>
      </c>
      <c r="B1238" s="3" t="s">
        <v>83</v>
      </c>
      <c r="C1238" s="4">
        <v>45546</v>
      </c>
      <c r="D1238" s="3" t="s">
        <v>117</v>
      </c>
      <c r="E1238" s="4">
        <v>45600</v>
      </c>
      <c r="F1238" s="4">
        <v>45602</v>
      </c>
      <c r="G1238" s="3" t="s">
        <v>28</v>
      </c>
      <c r="H1238" s="3" t="s">
        <v>21</v>
      </c>
      <c r="I1238" s="3" t="s">
        <v>39</v>
      </c>
      <c r="J1238" s="3" t="s">
        <v>30</v>
      </c>
      <c r="K1238" s="3">
        <v>54</v>
      </c>
      <c r="L1238" s="3">
        <v>2</v>
      </c>
      <c r="M1238" s="3">
        <v>6845</v>
      </c>
      <c r="N1238" s="3">
        <v>13690</v>
      </c>
      <c r="O1238" s="3">
        <v>13690</v>
      </c>
      <c r="P1238" s="3" t="s">
        <v>51</v>
      </c>
      <c r="Q1238" s="3">
        <v>0</v>
      </c>
      <c r="R1238" s="3" t="str">
        <f t="shared" si="19"/>
        <v>Not Cancelled</v>
      </c>
      <c r="S1238" s="3" t="s">
        <v>31</v>
      </c>
    </row>
    <row r="1239" spans="1:19" x14ac:dyDescent="0.35">
      <c r="A1239" s="3">
        <v>2238</v>
      </c>
      <c r="B1239" s="3" t="s">
        <v>567</v>
      </c>
      <c r="C1239" s="4">
        <v>45474</v>
      </c>
      <c r="D1239" s="3" t="s">
        <v>211</v>
      </c>
      <c r="E1239" s="4">
        <v>45523</v>
      </c>
      <c r="F1239" s="4">
        <v>45527</v>
      </c>
      <c r="G1239" s="3" t="s">
        <v>42</v>
      </c>
      <c r="H1239" s="3" t="s">
        <v>35</v>
      </c>
      <c r="I1239" s="3" t="s">
        <v>39</v>
      </c>
      <c r="J1239" s="3" t="s">
        <v>23</v>
      </c>
      <c r="K1239" s="3">
        <v>49</v>
      </c>
      <c r="L1239" s="3">
        <v>4</v>
      </c>
      <c r="M1239" s="3">
        <v>8535</v>
      </c>
      <c r="N1239" s="3">
        <v>34140</v>
      </c>
      <c r="O1239" s="3">
        <v>34140</v>
      </c>
      <c r="P1239" s="3" t="s">
        <v>51</v>
      </c>
      <c r="Q1239" s="3">
        <v>0</v>
      </c>
      <c r="R1239" s="3" t="str">
        <f t="shared" si="19"/>
        <v>Not Cancelled</v>
      </c>
      <c r="S1239" s="3" t="s">
        <v>25</v>
      </c>
    </row>
    <row r="1240" spans="1:19" x14ac:dyDescent="0.35">
      <c r="A1240" s="3">
        <v>2239</v>
      </c>
      <c r="B1240" s="3" t="s">
        <v>531</v>
      </c>
      <c r="C1240" s="4">
        <v>45307</v>
      </c>
      <c r="D1240" s="3" t="s">
        <v>140</v>
      </c>
      <c r="E1240" s="4">
        <v>45349</v>
      </c>
      <c r="F1240" s="4">
        <v>45354</v>
      </c>
      <c r="G1240" s="3" t="s">
        <v>45</v>
      </c>
      <c r="H1240" s="3" t="s">
        <v>35</v>
      </c>
      <c r="I1240" s="3" t="s">
        <v>39</v>
      </c>
      <c r="J1240" s="3" t="s">
        <v>46</v>
      </c>
      <c r="K1240" s="3">
        <v>42</v>
      </c>
      <c r="L1240" s="3">
        <v>5</v>
      </c>
      <c r="M1240" s="3">
        <v>4118</v>
      </c>
      <c r="N1240" s="3">
        <v>20590</v>
      </c>
      <c r="O1240" s="3">
        <v>0</v>
      </c>
      <c r="P1240" s="3" t="s">
        <v>51</v>
      </c>
      <c r="Q1240" s="3">
        <v>1</v>
      </c>
      <c r="R1240" s="3" t="str">
        <f t="shared" si="19"/>
        <v>Cancelled</v>
      </c>
      <c r="S1240" s="3" t="s">
        <v>25</v>
      </c>
    </row>
    <row r="1241" spans="1:19" x14ac:dyDescent="0.35">
      <c r="A1241" s="3">
        <v>2240</v>
      </c>
      <c r="B1241" s="3" t="s">
        <v>688</v>
      </c>
      <c r="C1241" s="4">
        <v>45353</v>
      </c>
      <c r="D1241" s="3" t="s">
        <v>157</v>
      </c>
      <c r="E1241" s="4">
        <v>45373</v>
      </c>
      <c r="F1241" s="4">
        <v>45377</v>
      </c>
      <c r="G1241" s="3" t="s">
        <v>42</v>
      </c>
      <c r="H1241" s="3" t="s">
        <v>60</v>
      </c>
      <c r="I1241" s="3" t="s">
        <v>39</v>
      </c>
      <c r="J1241" s="3" t="s">
        <v>46</v>
      </c>
      <c r="K1241" s="3">
        <v>20</v>
      </c>
      <c r="L1241" s="3">
        <v>4</v>
      </c>
      <c r="M1241" s="3">
        <v>3763</v>
      </c>
      <c r="N1241" s="3">
        <v>15052</v>
      </c>
      <c r="O1241" s="3">
        <v>15052</v>
      </c>
      <c r="P1241" s="3" t="s">
        <v>24</v>
      </c>
      <c r="Q1241" s="3">
        <v>0</v>
      </c>
      <c r="R1241" s="3" t="str">
        <f t="shared" si="19"/>
        <v>Not Cancelled</v>
      </c>
      <c r="S1241" s="3" t="s">
        <v>31</v>
      </c>
    </row>
    <row r="1242" spans="1:19" x14ac:dyDescent="0.35">
      <c r="A1242" s="3">
        <v>2241</v>
      </c>
      <c r="B1242" s="3" t="s">
        <v>448</v>
      </c>
      <c r="C1242" s="4">
        <v>45449</v>
      </c>
      <c r="D1242" s="3" t="s">
        <v>115</v>
      </c>
      <c r="E1242" s="4">
        <v>45487</v>
      </c>
      <c r="F1242" s="4">
        <v>45488</v>
      </c>
      <c r="G1242" s="3" t="s">
        <v>34</v>
      </c>
      <c r="H1242" s="3" t="s">
        <v>35</v>
      </c>
      <c r="I1242" s="3" t="s">
        <v>39</v>
      </c>
      <c r="J1242" s="3" t="s">
        <v>23</v>
      </c>
      <c r="K1242" s="3">
        <v>38</v>
      </c>
      <c r="L1242" s="3">
        <v>1</v>
      </c>
      <c r="M1242" s="3">
        <v>3371</v>
      </c>
      <c r="N1242" s="3">
        <v>3371</v>
      </c>
      <c r="O1242" s="3">
        <v>3371</v>
      </c>
      <c r="P1242" s="3" t="s">
        <v>51</v>
      </c>
      <c r="Q1242" s="3">
        <v>0</v>
      </c>
      <c r="R1242" s="3" t="str">
        <f t="shared" si="19"/>
        <v>Not Cancelled</v>
      </c>
      <c r="S1242" s="3" t="s">
        <v>31</v>
      </c>
    </row>
    <row r="1243" spans="1:19" x14ac:dyDescent="0.35">
      <c r="A1243" s="3">
        <v>2242</v>
      </c>
      <c r="B1243" s="3" t="s">
        <v>809</v>
      </c>
      <c r="C1243" s="4">
        <v>45559</v>
      </c>
      <c r="D1243" s="3" t="s">
        <v>107</v>
      </c>
      <c r="E1243" s="4">
        <v>45584</v>
      </c>
      <c r="F1243" s="4">
        <v>45585</v>
      </c>
      <c r="G1243" s="3" t="s">
        <v>34</v>
      </c>
      <c r="H1243" s="3" t="s">
        <v>38</v>
      </c>
      <c r="I1243" s="3" t="s">
        <v>39</v>
      </c>
      <c r="J1243" s="3" t="s">
        <v>46</v>
      </c>
      <c r="K1243" s="3">
        <v>25</v>
      </c>
      <c r="L1243" s="3">
        <v>1</v>
      </c>
      <c r="M1243" s="3">
        <v>3334</v>
      </c>
      <c r="N1243" s="3">
        <v>3334</v>
      </c>
      <c r="O1243" s="3">
        <v>3334</v>
      </c>
      <c r="P1243" s="3" t="s">
        <v>24</v>
      </c>
      <c r="Q1243" s="3">
        <v>0</v>
      </c>
      <c r="R1243" s="3" t="str">
        <f t="shared" si="19"/>
        <v>Not Cancelled</v>
      </c>
      <c r="S1243" s="3" t="s">
        <v>25</v>
      </c>
    </row>
    <row r="1244" spans="1:19" x14ac:dyDescent="0.35">
      <c r="A1244" s="3">
        <v>2243</v>
      </c>
      <c r="B1244" s="3" t="s">
        <v>787</v>
      </c>
      <c r="C1244" s="4">
        <v>45326</v>
      </c>
      <c r="D1244" s="3" t="s">
        <v>33</v>
      </c>
      <c r="E1244" s="4">
        <v>45340</v>
      </c>
      <c r="F1244" s="4">
        <v>45342</v>
      </c>
      <c r="G1244" s="3" t="s">
        <v>28</v>
      </c>
      <c r="H1244" s="3" t="s">
        <v>21</v>
      </c>
      <c r="I1244" s="3" t="s">
        <v>22</v>
      </c>
      <c r="J1244" s="3" t="s">
        <v>46</v>
      </c>
      <c r="K1244" s="3">
        <v>14</v>
      </c>
      <c r="L1244" s="3">
        <v>2</v>
      </c>
      <c r="M1244" s="3">
        <v>5322</v>
      </c>
      <c r="N1244" s="3">
        <v>10644</v>
      </c>
      <c r="O1244" s="3">
        <v>0</v>
      </c>
      <c r="P1244" s="3" t="s">
        <v>24</v>
      </c>
      <c r="Q1244" s="3">
        <v>1</v>
      </c>
      <c r="R1244" s="3" t="str">
        <f t="shared" si="19"/>
        <v>Cancelled</v>
      </c>
      <c r="S1244" s="3" t="s">
        <v>31</v>
      </c>
    </row>
    <row r="1245" spans="1:19" x14ac:dyDescent="0.35">
      <c r="A1245" s="3">
        <v>2244</v>
      </c>
      <c r="B1245" s="3" t="s">
        <v>922</v>
      </c>
      <c r="C1245" s="4">
        <v>45558</v>
      </c>
      <c r="D1245" s="3" t="s">
        <v>75</v>
      </c>
      <c r="E1245" s="4">
        <v>45569</v>
      </c>
      <c r="F1245" s="4">
        <v>45572</v>
      </c>
      <c r="G1245" s="3" t="s">
        <v>20</v>
      </c>
      <c r="H1245" s="3" t="s">
        <v>60</v>
      </c>
      <c r="I1245" s="3" t="s">
        <v>39</v>
      </c>
      <c r="J1245" s="3" t="s">
        <v>30</v>
      </c>
      <c r="K1245" s="3">
        <v>11</v>
      </c>
      <c r="L1245" s="3">
        <v>3</v>
      </c>
      <c r="M1245" s="3">
        <v>3418</v>
      </c>
      <c r="N1245" s="3">
        <v>10254</v>
      </c>
      <c r="O1245" s="3">
        <v>10254</v>
      </c>
      <c r="P1245" s="3" t="s">
        <v>51</v>
      </c>
      <c r="Q1245" s="3">
        <v>0</v>
      </c>
      <c r="R1245" s="3" t="str">
        <f t="shared" si="19"/>
        <v>Not Cancelled</v>
      </c>
      <c r="S1245" s="3" t="s">
        <v>25</v>
      </c>
    </row>
    <row r="1246" spans="1:19" x14ac:dyDescent="0.35">
      <c r="A1246" s="3">
        <v>2245</v>
      </c>
      <c r="B1246" s="3" t="s">
        <v>581</v>
      </c>
      <c r="C1246" s="4">
        <v>45355</v>
      </c>
      <c r="D1246" s="3" t="s">
        <v>144</v>
      </c>
      <c r="E1246" s="4">
        <v>45387</v>
      </c>
      <c r="F1246" s="4">
        <v>45389</v>
      </c>
      <c r="G1246" s="3" t="s">
        <v>28</v>
      </c>
      <c r="H1246" s="3" t="s">
        <v>29</v>
      </c>
      <c r="I1246" s="3" t="s">
        <v>22</v>
      </c>
      <c r="J1246" s="3" t="s">
        <v>46</v>
      </c>
      <c r="K1246" s="3">
        <v>32</v>
      </c>
      <c r="L1246" s="3">
        <v>2</v>
      </c>
      <c r="M1246" s="3">
        <v>4224</v>
      </c>
      <c r="N1246" s="3">
        <v>8448</v>
      </c>
      <c r="O1246" s="3">
        <v>0</v>
      </c>
      <c r="P1246" s="3" t="s">
        <v>24</v>
      </c>
      <c r="Q1246" s="3">
        <v>1</v>
      </c>
      <c r="R1246" s="3" t="str">
        <f t="shared" si="19"/>
        <v>Cancelled</v>
      </c>
      <c r="S1246" s="3" t="s">
        <v>25</v>
      </c>
    </row>
    <row r="1247" spans="1:19" x14ac:dyDescent="0.35">
      <c r="A1247" s="3">
        <v>2246</v>
      </c>
      <c r="B1247" s="3" t="s">
        <v>383</v>
      </c>
      <c r="C1247" s="4">
        <v>45341</v>
      </c>
      <c r="D1247" s="3" t="s">
        <v>75</v>
      </c>
      <c r="E1247" s="4">
        <v>45352</v>
      </c>
      <c r="F1247" s="4">
        <v>45355</v>
      </c>
      <c r="G1247" s="3" t="s">
        <v>20</v>
      </c>
      <c r="H1247" s="3" t="s">
        <v>29</v>
      </c>
      <c r="I1247" s="3" t="s">
        <v>39</v>
      </c>
      <c r="J1247" s="3" t="s">
        <v>46</v>
      </c>
      <c r="K1247" s="3">
        <v>11</v>
      </c>
      <c r="L1247" s="3">
        <v>3</v>
      </c>
      <c r="M1247" s="3">
        <v>4913</v>
      </c>
      <c r="N1247" s="3">
        <v>14739</v>
      </c>
      <c r="O1247" s="3">
        <v>14739</v>
      </c>
      <c r="P1247" s="3" t="s">
        <v>24</v>
      </c>
      <c r="Q1247" s="3">
        <v>0</v>
      </c>
      <c r="R1247" s="3" t="str">
        <f t="shared" si="19"/>
        <v>Not Cancelled</v>
      </c>
      <c r="S1247" s="3" t="s">
        <v>31</v>
      </c>
    </row>
    <row r="1248" spans="1:19" x14ac:dyDescent="0.35">
      <c r="A1248" s="3">
        <v>2247</v>
      </c>
      <c r="B1248" s="3" t="s">
        <v>923</v>
      </c>
      <c r="C1248" s="4">
        <v>45546</v>
      </c>
      <c r="D1248" s="3" t="s">
        <v>27</v>
      </c>
      <c r="E1248" s="4">
        <v>45564</v>
      </c>
      <c r="F1248" s="4">
        <v>45568</v>
      </c>
      <c r="G1248" s="3" t="s">
        <v>42</v>
      </c>
      <c r="H1248" s="3" t="s">
        <v>21</v>
      </c>
      <c r="I1248" s="3" t="s">
        <v>22</v>
      </c>
      <c r="J1248" s="3" t="s">
        <v>23</v>
      </c>
      <c r="K1248" s="3">
        <v>18</v>
      </c>
      <c r="L1248" s="3">
        <v>4</v>
      </c>
      <c r="M1248" s="3">
        <v>3813</v>
      </c>
      <c r="N1248" s="3">
        <v>15252</v>
      </c>
      <c r="O1248" s="3">
        <v>0</v>
      </c>
      <c r="P1248" s="3" t="s">
        <v>51</v>
      </c>
      <c r="Q1248" s="3">
        <v>1</v>
      </c>
      <c r="R1248" s="3" t="str">
        <f t="shared" si="19"/>
        <v>Cancelled</v>
      </c>
      <c r="S1248" s="3" t="s">
        <v>31</v>
      </c>
    </row>
    <row r="1249" spans="1:19" x14ac:dyDescent="0.35">
      <c r="A1249" s="3">
        <v>2248</v>
      </c>
      <c r="B1249" s="3" t="s">
        <v>538</v>
      </c>
      <c r="C1249" s="4">
        <v>45440</v>
      </c>
      <c r="D1249" s="3" t="s">
        <v>185</v>
      </c>
      <c r="E1249" s="4">
        <v>45467</v>
      </c>
      <c r="F1249" s="4">
        <v>45468</v>
      </c>
      <c r="G1249" s="3" t="s">
        <v>34</v>
      </c>
      <c r="H1249" s="3" t="s">
        <v>29</v>
      </c>
      <c r="I1249" s="3" t="s">
        <v>22</v>
      </c>
      <c r="J1249" s="3" t="s">
        <v>23</v>
      </c>
      <c r="K1249" s="3">
        <v>27</v>
      </c>
      <c r="L1249" s="3">
        <v>1</v>
      </c>
      <c r="M1249" s="3">
        <v>8493</v>
      </c>
      <c r="N1249" s="3">
        <v>8493</v>
      </c>
      <c r="O1249" s="3">
        <v>8493</v>
      </c>
      <c r="P1249" s="3" t="s">
        <v>51</v>
      </c>
      <c r="Q1249" s="3">
        <v>0</v>
      </c>
      <c r="R1249" s="3" t="str">
        <f t="shared" si="19"/>
        <v>Not Cancelled</v>
      </c>
      <c r="S1249" s="3" t="s">
        <v>25</v>
      </c>
    </row>
    <row r="1250" spans="1:19" x14ac:dyDescent="0.35">
      <c r="A1250" s="3">
        <v>2249</v>
      </c>
      <c r="B1250" s="3" t="s">
        <v>924</v>
      </c>
      <c r="C1250" s="4">
        <v>45616</v>
      </c>
      <c r="D1250" s="3" t="s">
        <v>113</v>
      </c>
      <c r="E1250" s="4">
        <v>45671</v>
      </c>
      <c r="F1250" s="4">
        <v>45674</v>
      </c>
      <c r="G1250" s="3" t="s">
        <v>20</v>
      </c>
      <c r="H1250" s="3" t="s">
        <v>38</v>
      </c>
      <c r="I1250" s="3" t="s">
        <v>39</v>
      </c>
      <c r="J1250" s="3" t="s">
        <v>30</v>
      </c>
      <c r="K1250" s="3">
        <v>55</v>
      </c>
      <c r="L1250" s="3">
        <v>3</v>
      </c>
      <c r="M1250" s="3">
        <v>6998</v>
      </c>
      <c r="N1250" s="3">
        <v>20994</v>
      </c>
      <c r="O1250" s="3">
        <v>0</v>
      </c>
      <c r="P1250" s="3" t="s">
        <v>51</v>
      </c>
      <c r="Q1250" s="3">
        <v>1</v>
      </c>
      <c r="R1250" s="3" t="str">
        <f t="shared" si="19"/>
        <v>Cancelled</v>
      </c>
      <c r="S1250" s="3" t="s">
        <v>31</v>
      </c>
    </row>
    <row r="1251" spans="1:19" x14ac:dyDescent="0.35">
      <c r="A1251" s="3">
        <v>2250</v>
      </c>
      <c r="B1251" s="3" t="s">
        <v>625</v>
      </c>
      <c r="C1251" s="4">
        <v>45595</v>
      </c>
      <c r="D1251" s="3" t="s">
        <v>117</v>
      </c>
      <c r="E1251" s="4">
        <v>45649</v>
      </c>
      <c r="F1251" s="4">
        <v>45653</v>
      </c>
      <c r="G1251" s="3" t="s">
        <v>42</v>
      </c>
      <c r="H1251" s="3" t="s">
        <v>35</v>
      </c>
      <c r="I1251" s="3" t="s">
        <v>22</v>
      </c>
      <c r="J1251" s="3" t="s">
        <v>23</v>
      </c>
      <c r="K1251" s="3">
        <v>54</v>
      </c>
      <c r="L1251" s="3">
        <v>4</v>
      </c>
      <c r="M1251" s="3">
        <v>4605</v>
      </c>
      <c r="N1251" s="3">
        <v>18420</v>
      </c>
      <c r="O1251" s="3">
        <v>0</v>
      </c>
      <c r="P1251" s="3" t="s">
        <v>51</v>
      </c>
      <c r="Q1251" s="3">
        <v>1</v>
      </c>
      <c r="R1251" s="3" t="str">
        <f t="shared" si="19"/>
        <v>Cancelled</v>
      </c>
      <c r="S1251" s="3" t="s">
        <v>31</v>
      </c>
    </row>
    <row r="1252" spans="1:19" x14ac:dyDescent="0.35">
      <c r="A1252" s="3">
        <v>2251</v>
      </c>
      <c r="B1252" s="3" t="s">
        <v>691</v>
      </c>
      <c r="C1252" s="4">
        <v>45567</v>
      </c>
      <c r="D1252" s="3" t="s">
        <v>27</v>
      </c>
      <c r="E1252" s="4">
        <v>45585</v>
      </c>
      <c r="F1252" s="4">
        <v>45586</v>
      </c>
      <c r="G1252" s="3" t="s">
        <v>34</v>
      </c>
      <c r="H1252" s="3" t="s">
        <v>21</v>
      </c>
      <c r="I1252" s="3" t="s">
        <v>22</v>
      </c>
      <c r="J1252" s="3" t="s">
        <v>30</v>
      </c>
      <c r="K1252" s="3">
        <v>18</v>
      </c>
      <c r="L1252" s="3">
        <v>1</v>
      </c>
      <c r="M1252" s="3">
        <v>5068</v>
      </c>
      <c r="N1252" s="3">
        <v>5068</v>
      </c>
      <c r="O1252" s="3">
        <v>5068</v>
      </c>
      <c r="P1252" s="3" t="s">
        <v>24</v>
      </c>
      <c r="Q1252" s="3">
        <v>0</v>
      </c>
      <c r="R1252" s="3" t="str">
        <f t="shared" si="19"/>
        <v>Not Cancelled</v>
      </c>
      <c r="S1252" s="3" t="s">
        <v>25</v>
      </c>
    </row>
    <row r="1253" spans="1:19" x14ac:dyDescent="0.35">
      <c r="A1253" s="3">
        <v>2252</v>
      </c>
      <c r="B1253" s="3" t="s">
        <v>925</v>
      </c>
      <c r="C1253" s="4">
        <v>45648</v>
      </c>
      <c r="D1253" s="3" t="s">
        <v>94</v>
      </c>
      <c r="E1253" s="4">
        <v>45704</v>
      </c>
      <c r="F1253" s="4">
        <v>45707</v>
      </c>
      <c r="G1253" s="3" t="s">
        <v>20</v>
      </c>
      <c r="H1253" s="3" t="s">
        <v>60</v>
      </c>
      <c r="I1253" s="3" t="s">
        <v>22</v>
      </c>
      <c r="J1253" s="3" t="s">
        <v>30</v>
      </c>
      <c r="K1253" s="3">
        <v>56</v>
      </c>
      <c r="L1253" s="3">
        <v>3</v>
      </c>
      <c r="M1253" s="3">
        <v>7923</v>
      </c>
      <c r="N1253" s="3">
        <v>23769</v>
      </c>
      <c r="O1253" s="3">
        <v>23769</v>
      </c>
      <c r="P1253" s="3" t="s">
        <v>24</v>
      </c>
      <c r="Q1253" s="3">
        <v>0</v>
      </c>
      <c r="R1253" s="3" t="str">
        <f t="shared" si="19"/>
        <v>Not Cancelled</v>
      </c>
      <c r="S1253" s="3" t="s">
        <v>25</v>
      </c>
    </row>
    <row r="1254" spans="1:19" x14ac:dyDescent="0.35">
      <c r="A1254" s="3">
        <v>2253</v>
      </c>
      <c r="B1254" s="3" t="s">
        <v>926</v>
      </c>
      <c r="C1254" s="4">
        <v>45463</v>
      </c>
      <c r="D1254" s="3" t="s">
        <v>111</v>
      </c>
      <c r="E1254" s="4">
        <v>45486</v>
      </c>
      <c r="F1254" s="4">
        <v>45488</v>
      </c>
      <c r="G1254" s="3" t="s">
        <v>28</v>
      </c>
      <c r="H1254" s="3" t="s">
        <v>35</v>
      </c>
      <c r="I1254" s="3" t="s">
        <v>39</v>
      </c>
      <c r="J1254" s="3" t="s">
        <v>46</v>
      </c>
      <c r="K1254" s="3">
        <v>23</v>
      </c>
      <c r="L1254" s="3">
        <v>2</v>
      </c>
      <c r="M1254" s="3">
        <v>3638</v>
      </c>
      <c r="N1254" s="3">
        <v>7276</v>
      </c>
      <c r="O1254" s="3">
        <v>7276</v>
      </c>
      <c r="P1254" s="3" t="s">
        <v>51</v>
      </c>
      <c r="Q1254" s="3">
        <v>0</v>
      </c>
      <c r="R1254" s="3" t="str">
        <f t="shared" si="19"/>
        <v>Not Cancelled</v>
      </c>
      <c r="S1254" s="3" t="s">
        <v>25</v>
      </c>
    </row>
    <row r="1255" spans="1:19" x14ac:dyDescent="0.35">
      <c r="A1255" s="3">
        <v>2254</v>
      </c>
      <c r="B1255" s="3" t="s">
        <v>622</v>
      </c>
      <c r="C1255" s="4">
        <v>45492</v>
      </c>
      <c r="D1255" s="3" t="s">
        <v>75</v>
      </c>
      <c r="E1255" s="4">
        <v>45503</v>
      </c>
      <c r="F1255" s="4">
        <v>45505</v>
      </c>
      <c r="G1255" s="3" t="s">
        <v>28</v>
      </c>
      <c r="H1255" s="3" t="s">
        <v>29</v>
      </c>
      <c r="I1255" s="3" t="s">
        <v>39</v>
      </c>
      <c r="J1255" s="3" t="s">
        <v>30</v>
      </c>
      <c r="K1255" s="3">
        <v>11</v>
      </c>
      <c r="L1255" s="3">
        <v>2</v>
      </c>
      <c r="M1255" s="3">
        <v>2709</v>
      </c>
      <c r="N1255" s="3">
        <v>5418</v>
      </c>
      <c r="O1255" s="3">
        <v>5418</v>
      </c>
      <c r="P1255" s="3" t="s">
        <v>51</v>
      </c>
      <c r="Q1255" s="3">
        <v>0</v>
      </c>
      <c r="R1255" s="3" t="str">
        <f t="shared" si="19"/>
        <v>Not Cancelled</v>
      </c>
      <c r="S1255" s="3" t="s">
        <v>25</v>
      </c>
    </row>
    <row r="1256" spans="1:19" x14ac:dyDescent="0.35">
      <c r="A1256" s="3">
        <v>2255</v>
      </c>
      <c r="B1256" s="3" t="s">
        <v>193</v>
      </c>
      <c r="C1256" s="4">
        <v>45615</v>
      </c>
      <c r="D1256" s="3" t="s">
        <v>175</v>
      </c>
      <c r="E1256" s="4">
        <v>45636</v>
      </c>
      <c r="F1256" s="4">
        <v>45638</v>
      </c>
      <c r="G1256" s="3" t="s">
        <v>28</v>
      </c>
      <c r="H1256" s="3" t="s">
        <v>29</v>
      </c>
      <c r="I1256" s="3" t="s">
        <v>22</v>
      </c>
      <c r="J1256" s="3" t="s">
        <v>46</v>
      </c>
      <c r="K1256" s="3">
        <v>21</v>
      </c>
      <c r="L1256" s="3">
        <v>2</v>
      </c>
      <c r="M1256" s="3">
        <v>3564</v>
      </c>
      <c r="N1256" s="3">
        <v>7128</v>
      </c>
      <c r="O1256" s="3">
        <v>0</v>
      </c>
      <c r="P1256" s="3" t="s">
        <v>51</v>
      </c>
      <c r="Q1256" s="3">
        <v>1</v>
      </c>
      <c r="R1256" s="3" t="str">
        <f t="shared" si="19"/>
        <v>Cancelled</v>
      </c>
      <c r="S1256" s="3" t="s">
        <v>25</v>
      </c>
    </row>
    <row r="1257" spans="1:19" x14ac:dyDescent="0.35">
      <c r="A1257" s="3">
        <v>2256</v>
      </c>
      <c r="B1257" s="3" t="s">
        <v>927</v>
      </c>
      <c r="C1257" s="4">
        <v>45326</v>
      </c>
      <c r="D1257" s="3" t="s">
        <v>62</v>
      </c>
      <c r="E1257" s="4">
        <v>45370</v>
      </c>
      <c r="F1257" s="4">
        <v>45374</v>
      </c>
      <c r="G1257" s="3" t="s">
        <v>42</v>
      </c>
      <c r="H1257" s="3" t="s">
        <v>60</v>
      </c>
      <c r="I1257" s="3" t="s">
        <v>39</v>
      </c>
      <c r="J1257" s="3" t="s">
        <v>30</v>
      </c>
      <c r="K1257" s="3">
        <v>44</v>
      </c>
      <c r="L1257" s="3">
        <v>4</v>
      </c>
      <c r="M1257" s="3">
        <v>7411</v>
      </c>
      <c r="N1257" s="3">
        <v>29644</v>
      </c>
      <c r="O1257" s="3">
        <v>0</v>
      </c>
      <c r="P1257" s="3" t="s">
        <v>24</v>
      </c>
      <c r="Q1257" s="3">
        <v>1</v>
      </c>
      <c r="R1257" s="3" t="str">
        <f t="shared" si="19"/>
        <v>Cancelled</v>
      </c>
      <c r="S1257" s="3" t="s">
        <v>25</v>
      </c>
    </row>
    <row r="1258" spans="1:19" x14ac:dyDescent="0.35">
      <c r="A1258" s="3">
        <v>2257</v>
      </c>
      <c r="B1258" s="3" t="s">
        <v>928</v>
      </c>
      <c r="C1258" s="4">
        <v>45507</v>
      </c>
      <c r="D1258" s="3" t="s">
        <v>45</v>
      </c>
      <c r="E1258" s="4">
        <v>45512</v>
      </c>
      <c r="F1258" s="4">
        <v>45514</v>
      </c>
      <c r="G1258" s="3" t="s">
        <v>28</v>
      </c>
      <c r="H1258" s="3" t="s">
        <v>38</v>
      </c>
      <c r="I1258" s="3" t="s">
        <v>39</v>
      </c>
      <c r="J1258" s="3" t="s">
        <v>23</v>
      </c>
      <c r="K1258" s="3">
        <v>5</v>
      </c>
      <c r="L1258" s="3">
        <v>2</v>
      </c>
      <c r="M1258" s="3">
        <v>4720</v>
      </c>
      <c r="N1258" s="3">
        <v>9440</v>
      </c>
      <c r="O1258" s="3">
        <v>9440</v>
      </c>
      <c r="P1258" s="3" t="s">
        <v>51</v>
      </c>
      <c r="Q1258" s="3">
        <v>0</v>
      </c>
      <c r="R1258" s="3" t="str">
        <f t="shared" si="19"/>
        <v>Not Cancelled</v>
      </c>
      <c r="S1258" s="3" t="s">
        <v>31</v>
      </c>
    </row>
    <row r="1259" spans="1:19" x14ac:dyDescent="0.35">
      <c r="A1259" s="3">
        <v>2258</v>
      </c>
      <c r="B1259" s="3" t="s">
        <v>929</v>
      </c>
      <c r="C1259" s="4">
        <v>45356</v>
      </c>
      <c r="D1259" s="3" t="s">
        <v>111</v>
      </c>
      <c r="E1259" s="4">
        <v>45379</v>
      </c>
      <c r="F1259" s="4">
        <v>45384</v>
      </c>
      <c r="G1259" s="3" t="s">
        <v>45</v>
      </c>
      <c r="H1259" s="3" t="s">
        <v>60</v>
      </c>
      <c r="I1259" s="3" t="s">
        <v>22</v>
      </c>
      <c r="J1259" s="3" t="s">
        <v>23</v>
      </c>
      <c r="K1259" s="3">
        <v>23</v>
      </c>
      <c r="L1259" s="3">
        <v>5</v>
      </c>
      <c r="M1259" s="3">
        <v>2733</v>
      </c>
      <c r="N1259" s="3">
        <v>13665</v>
      </c>
      <c r="O1259" s="3">
        <v>0</v>
      </c>
      <c r="P1259" s="3" t="s">
        <v>24</v>
      </c>
      <c r="Q1259" s="3">
        <v>1</v>
      </c>
      <c r="R1259" s="3" t="str">
        <f t="shared" si="19"/>
        <v>Cancelled</v>
      </c>
      <c r="S1259" s="3" t="s">
        <v>25</v>
      </c>
    </row>
    <row r="1260" spans="1:19" x14ac:dyDescent="0.35">
      <c r="A1260" s="3">
        <v>2259</v>
      </c>
      <c r="B1260" s="3" t="s">
        <v>930</v>
      </c>
      <c r="C1260" s="4">
        <v>45299</v>
      </c>
      <c r="D1260" s="3" t="s">
        <v>86</v>
      </c>
      <c r="E1260" s="4">
        <v>45340</v>
      </c>
      <c r="F1260" s="4">
        <v>45341</v>
      </c>
      <c r="G1260" s="3" t="s">
        <v>34</v>
      </c>
      <c r="H1260" s="3" t="s">
        <v>21</v>
      </c>
      <c r="I1260" s="3" t="s">
        <v>22</v>
      </c>
      <c r="J1260" s="3" t="s">
        <v>23</v>
      </c>
      <c r="K1260" s="3">
        <v>41</v>
      </c>
      <c r="L1260" s="3">
        <v>1</v>
      </c>
      <c r="M1260" s="3">
        <v>3292</v>
      </c>
      <c r="N1260" s="3">
        <v>3292</v>
      </c>
      <c r="O1260" s="3">
        <v>0</v>
      </c>
      <c r="P1260" s="3" t="s">
        <v>24</v>
      </c>
      <c r="Q1260" s="3">
        <v>1</v>
      </c>
      <c r="R1260" s="3" t="str">
        <f t="shared" si="19"/>
        <v>Cancelled</v>
      </c>
      <c r="S1260" s="3" t="s">
        <v>31</v>
      </c>
    </row>
    <row r="1261" spans="1:19" x14ac:dyDescent="0.35">
      <c r="A1261" s="3">
        <v>2260</v>
      </c>
      <c r="B1261" s="3" t="s">
        <v>715</v>
      </c>
      <c r="C1261" s="4">
        <v>45592</v>
      </c>
      <c r="D1261" s="3" t="s">
        <v>96</v>
      </c>
      <c r="E1261" s="4">
        <v>45651</v>
      </c>
      <c r="F1261" s="4">
        <v>45655</v>
      </c>
      <c r="G1261" s="3" t="s">
        <v>42</v>
      </c>
      <c r="H1261" s="3" t="s">
        <v>60</v>
      </c>
      <c r="I1261" s="3" t="s">
        <v>39</v>
      </c>
      <c r="J1261" s="3" t="s">
        <v>30</v>
      </c>
      <c r="K1261" s="3">
        <v>59</v>
      </c>
      <c r="L1261" s="3">
        <v>4</v>
      </c>
      <c r="M1261" s="3">
        <v>8503</v>
      </c>
      <c r="N1261" s="3">
        <v>34012</v>
      </c>
      <c r="O1261" s="3">
        <v>0</v>
      </c>
      <c r="P1261" s="3" t="s">
        <v>24</v>
      </c>
      <c r="Q1261" s="3">
        <v>1</v>
      </c>
      <c r="R1261" s="3" t="str">
        <f t="shared" si="19"/>
        <v>Cancelled</v>
      </c>
      <c r="S1261" s="3" t="s">
        <v>31</v>
      </c>
    </row>
    <row r="1262" spans="1:19" x14ac:dyDescent="0.35">
      <c r="A1262" s="3">
        <v>2261</v>
      </c>
      <c r="B1262" s="3" t="s">
        <v>931</v>
      </c>
      <c r="C1262" s="4">
        <v>45634</v>
      </c>
      <c r="D1262" s="3" t="s">
        <v>107</v>
      </c>
      <c r="E1262" s="4">
        <v>45659</v>
      </c>
      <c r="F1262" s="4">
        <v>45661</v>
      </c>
      <c r="G1262" s="3" t="s">
        <v>28</v>
      </c>
      <c r="H1262" s="3" t="s">
        <v>29</v>
      </c>
      <c r="I1262" s="3" t="s">
        <v>39</v>
      </c>
      <c r="J1262" s="3" t="s">
        <v>30</v>
      </c>
      <c r="K1262" s="3">
        <v>25</v>
      </c>
      <c r="L1262" s="3">
        <v>2</v>
      </c>
      <c r="M1262" s="3">
        <v>8209</v>
      </c>
      <c r="N1262" s="3">
        <v>16418</v>
      </c>
      <c r="O1262" s="3">
        <v>16418</v>
      </c>
      <c r="P1262" s="3" t="s">
        <v>24</v>
      </c>
      <c r="Q1262" s="3">
        <v>0</v>
      </c>
      <c r="R1262" s="3" t="str">
        <f t="shared" si="19"/>
        <v>Not Cancelled</v>
      </c>
      <c r="S1262" s="3" t="s">
        <v>25</v>
      </c>
    </row>
    <row r="1263" spans="1:19" x14ac:dyDescent="0.35">
      <c r="A1263" s="3">
        <v>2262</v>
      </c>
      <c r="B1263" s="3" t="s">
        <v>721</v>
      </c>
      <c r="C1263" s="4">
        <v>45623</v>
      </c>
      <c r="D1263" s="3" t="s">
        <v>86</v>
      </c>
      <c r="E1263" s="4">
        <v>45664</v>
      </c>
      <c r="F1263" s="4">
        <v>45665</v>
      </c>
      <c r="G1263" s="3" t="s">
        <v>34</v>
      </c>
      <c r="H1263" s="3" t="s">
        <v>38</v>
      </c>
      <c r="I1263" s="3" t="s">
        <v>39</v>
      </c>
      <c r="J1263" s="3" t="s">
        <v>46</v>
      </c>
      <c r="K1263" s="3">
        <v>41</v>
      </c>
      <c r="L1263" s="3">
        <v>1</v>
      </c>
      <c r="M1263" s="3">
        <v>5610</v>
      </c>
      <c r="N1263" s="3">
        <v>5610</v>
      </c>
      <c r="O1263" s="3">
        <v>5610</v>
      </c>
      <c r="P1263" s="3" t="s">
        <v>51</v>
      </c>
      <c r="Q1263" s="3">
        <v>0</v>
      </c>
      <c r="R1263" s="3" t="str">
        <f t="shared" si="19"/>
        <v>Not Cancelled</v>
      </c>
      <c r="S1263" s="3" t="s">
        <v>31</v>
      </c>
    </row>
    <row r="1264" spans="1:19" x14ac:dyDescent="0.35">
      <c r="A1264" s="3">
        <v>2263</v>
      </c>
      <c r="B1264" s="3" t="s">
        <v>284</v>
      </c>
      <c r="C1264" s="4">
        <v>45367</v>
      </c>
      <c r="D1264" s="3" t="s">
        <v>117</v>
      </c>
      <c r="E1264" s="4">
        <v>45421</v>
      </c>
      <c r="F1264" s="4">
        <v>45424</v>
      </c>
      <c r="G1264" s="3" t="s">
        <v>20</v>
      </c>
      <c r="H1264" s="3" t="s">
        <v>38</v>
      </c>
      <c r="I1264" s="3" t="s">
        <v>22</v>
      </c>
      <c r="J1264" s="3" t="s">
        <v>46</v>
      </c>
      <c r="K1264" s="3">
        <v>54</v>
      </c>
      <c r="L1264" s="3">
        <v>3</v>
      </c>
      <c r="M1264" s="3">
        <v>4666</v>
      </c>
      <c r="N1264" s="3">
        <v>13998</v>
      </c>
      <c r="O1264" s="3">
        <v>0</v>
      </c>
      <c r="P1264" s="3" t="s">
        <v>51</v>
      </c>
      <c r="Q1264" s="3">
        <v>1</v>
      </c>
      <c r="R1264" s="3" t="str">
        <f t="shared" si="19"/>
        <v>Cancelled</v>
      </c>
      <c r="S1264" s="3" t="s">
        <v>25</v>
      </c>
    </row>
    <row r="1265" spans="1:19" x14ac:dyDescent="0.35">
      <c r="A1265" s="3">
        <v>2264</v>
      </c>
      <c r="B1265" s="3" t="s">
        <v>932</v>
      </c>
      <c r="C1265" s="4">
        <v>45465</v>
      </c>
      <c r="D1265" s="3" t="s">
        <v>37</v>
      </c>
      <c r="E1265" s="4">
        <v>45475</v>
      </c>
      <c r="F1265" s="4">
        <v>45477</v>
      </c>
      <c r="G1265" s="3" t="s">
        <v>28</v>
      </c>
      <c r="H1265" s="3" t="s">
        <v>60</v>
      </c>
      <c r="I1265" s="3" t="s">
        <v>39</v>
      </c>
      <c r="J1265" s="3" t="s">
        <v>46</v>
      </c>
      <c r="K1265" s="3">
        <v>10</v>
      </c>
      <c r="L1265" s="3">
        <v>2</v>
      </c>
      <c r="M1265" s="3">
        <v>2834</v>
      </c>
      <c r="N1265" s="3">
        <v>5668</v>
      </c>
      <c r="O1265" s="3">
        <v>0</v>
      </c>
      <c r="P1265" s="3" t="s">
        <v>51</v>
      </c>
      <c r="Q1265" s="3">
        <v>1</v>
      </c>
      <c r="R1265" s="3" t="str">
        <f t="shared" si="19"/>
        <v>Cancelled</v>
      </c>
      <c r="S1265" s="3" t="s">
        <v>31</v>
      </c>
    </row>
    <row r="1266" spans="1:19" x14ac:dyDescent="0.35">
      <c r="A1266" s="3">
        <v>2265</v>
      </c>
      <c r="B1266" s="3" t="s">
        <v>933</v>
      </c>
      <c r="C1266" s="4">
        <v>45338</v>
      </c>
      <c r="D1266" s="3" t="s">
        <v>19</v>
      </c>
      <c r="E1266" s="4">
        <v>45360</v>
      </c>
      <c r="F1266" s="4">
        <v>45361</v>
      </c>
      <c r="G1266" s="3" t="s">
        <v>34</v>
      </c>
      <c r="H1266" s="3" t="s">
        <v>21</v>
      </c>
      <c r="I1266" s="3" t="s">
        <v>39</v>
      </c>
      <c r="J1266" s="3" t="s">
        <v>46</v>
      </c>
      <c r="K1266" s="3">
        <v>22</v>
      </c>
      <c r="L1266" s="3">
        <v>1</v>
      </c>
      <c r="M1266" s="3">
        <v>3859</v>
      </c>
      <c r="N1266" s="3">
        <v>3859</v>
      </c>
      <c r="O1266" s="3">
        <v>0</v>
      </c>
      <c r="P1266" s="3" t="s">
        <v>24</v>
      </c>
      <c r="Q1266" s="3">
        <v>1</v>
      </c>
      <c r="R1266" s="3" t="str">
        <f t="shared" si="19"/>
        <v>Cancelled</v>
      </c>
      <c r="S1266" s="3" t="s">
        <v>25</v>
      </c>
    </row>
    <row r="1267" spans="1:19" x14ac:dyDescent="0.35">
      <c r="A1267" s="3">
        <v>2266</v>
      </c>
      <c r="B1267" s="3" t="s">
        <v>934</v>
      </c>
      <c r="C1267" s="4">
        <v>45306</v>
      </c>
      <c r="D1267" s="3" t="s">
        <v>109</v>
      </c>
      <c r="E1267" s="4">
        <v>45325</v>
      </c>
      <c r="F1267" s="4">
        <v>45330</v>
      </c>
      <c r="G1267" s="3" t="s">
        <v>45</v>
      </c>
      <c r="H1267" s="3" t="s">
        <v>29</v>
      </c>
      <c r="I1267" s="3" t="s">
        <v>39</v>
      </c>
      <c r="J1267" s="3" t="s">
        <v>30</v>
      </c>
      <c r="K1267" s="3">
        <v>19</v>
      </c>
      <c r="L1267" s="3">
        <v>5</v>
      </c>
      <c r="M1267" s="3">
        <v>8235</v>
      </c>
      <c r="N1267" s="3">
        <v>41175</v>
      </c>
      <c r="O1267" s="3">
        <v>41175</v>
      </c>
      <c r="P1267" s="3" t="s">
        <v>24</v>
      </c>
      <c r="Q1267" s="3">
        <v>0</v>
      </c>
      <c r="R1267" s="3" t="str">
        <f t="shared" si="19"/>
        <v>Not Cancelled</v>
      </c>
      <c r="S1267" s="3" t="s">
        <v>25</v>
      </c>
    </row>
    <row r="1268" spans="1:19" x14ac:dyDescent="0.35">
      <c r="A1268" s="3">
        <v>2267</v>
      </c>
      <c r="B1268" s="3" t="s">
        <v>935</v>
      </c>
      <c r="C1268" s="4">
        <v>45652</v>
      </c>
      <c r="D1268" s="3" t="s">
        <v>34</v>
      </c>
      <c r="E1268" s="4">
        <v>45653</v>
      </c>
      <c r="F1268" s="4">
        <v>45656</v>
      </c>
      <c r="G1268" s="3" t="s">
        <v>20</v>
      </c>
      <c r="H1268" s="3" t="s">
        <v>35</v>
      </c>
      <c r="I1268" s="3" t="s">
        <v>22</v>
      </c>
      <c r="J1268" s="3" t="s">
        <v>30</v>
      </c>
      <c r="K1268" s="3">
        <v>1</v>
      </c>
      <c r="L1268" s="3">
        <v>3</v>
      </c>
      <c r="M1268" s="3">
        <v>7693</v>
      </c>
      <c r="N1268" s="3">
        <v>23079</v>
      </c>
      <c r="O1268" s="3">
        <v>23079</v>
      </c>
      <c r="P1268" s="3" t="s">
        <v>51</v>
      </c>
      <c r="Q1268" s="3">
        <v>0</v>
      </c>
      <c r="R1268" s="3" t="str">
        <f t="shared" si="19"/>
        <v>Not Cancelled</v>
      </c>
      <c r="S1268" s="3" t="s">
        <v>25</v>
      </c>
    </row>
    <row r="1269" spans="1:19" x14ac:dyDescent="0.35">
      <c r="A1269" s="3">
        <v>2268</v>
      </c>
      <c r="B1269" s="3" t="s">
        <v>531</v>
      </c>
      <c r="C1269" s="4">
        <v>45438</v>
      </c>
      <c r="D1269" s="3" t="s">
        <v>209</v>
      </c>
      <c r="E1269" s="4">
        <v>45445</v>
      </c>
      <c r="F1269" s="4">
        <v>45450</v>
      </c>
      <c r="G1269" s="3" t="s">
        <v>45</v>
      </c>
      <c r="H1269" s="3" t="s">
        <v>38</v>
      </c>
      <c r="I1269" s="3" t="s">
        <v>22</v>
      </c>
      <c r="J1269" s="3" t="s">
        <v>46</v>
      </c>
      <c r="K1269" s="3">
        <v>7</v>
      </c>
      <c r="L1269" s="3">
        <v>5</v>
      </c>
      <c r="M1269" s="3">
        <v>3714</v>
      </c>
      <c r="N1269" s="3">
        <v>18570</v>
      </c>
      <c r="O1269" s="3">
        <v>0</v>
      </c>
      <c r="P1269" s="3" t="s">
        <v>24</v>
      </c>
      <c r="Q1269" s="3">
        <v>1</v>
      </c>
      <c r="R1269" s="3" t="str">
        <f t="shared" si="19"/>
        <v>Cancelled</v>
      </c>
      <c r="S1269" s="3" t="s">
        <v>25</v>
      </c>
    </row>
    <row r="1270" spans="1:19" x14ac:dyDescent="0.35">
      <c r="A1270" s="3">
        <v>2269</v>
      </c>
      <c r="B1270" s="3" t="s">
        <v>646</v>
      </c>
      <c r="C1270" s="4">
        <v>45317</v>
      </c>
      <c r="D1270" s="3" t="s">
        <v>42</v>
      </c>
      <c r="E1270" s="4">
        <v>45321</v>
      </c>
      <c r="F1270" s="4">
        <v>45322</v>
      </c>
      <c r="G1270" s="3" t="s">
        <v>34</v>
      </c>
      <c r="H1270" s="3" t="s">
        <v>60</v>
      </c>
      <c r="I1270" s="3" t="s">
        <v>22</v>
      </c>
      <c r="J1270" s="3" t="s">
        <v>30</v>
      </c>
      <c r="K1270" s="3">
        <v>4</v>
      </c>
      <c r="L1270" s="3">
        <v>1</v>
      </c>
      <c r="M1270" s="3">
        <v>6919</v>
      </c>
      <c r="N1270" s="3">
        <v>6919</v>
      </c>
      <c r="O1270" s="3">
        <v>6919</v>
      </c>
      <c r="P1270" s="3" t="s">
        <v>24</v>
      </c>
      <c r="Q1270" s="3">
        <v>0</v>
      </c>
      <c r="R1270" s="3" t="str">
        <f t="shared" si="19"/>
        <v>Not Cancelled</v>
      </c>
      <c r="S1270" s="3" t="s">
        <v>31</v>
      </c>
    </row>
    <row r="1271" spans="1:19" x14ac:dyDescent="0.35">
      <c r="A1271" s="3">
        <v>2270</v>
      </c>
      <c r="B1271" s="3" t="s">
        <v>936</v>
      </c>
      <c r="C1271" s="4">
        <v>45599</v>
      </c>
      <c r="D1271" s="3" t="s">
        <v>34</v>
      </c>
      <c r="E1271" s="4">
        <v>45600</v>
      </c>
      <c r="F1271" s="4">
        <v>45605</v>
      </c>
      <c r="G1271" s="3" t="s">
        <v>45</v>
      </c>
      <c r="H1271" s="3" t="s">
        <v>21</v>
      </c>
      <c r="I1271" s="3" t="s">
        <v>39</v>
      </c>
      <c r="J1271" s="3" t="s">
        <v>30</v>
      </c>
      <c r="K1271" s="3">
        <v>1</v>
      </c>
      <c r="L1271" s="3">
        <v>5</v>
      </c>
      <c r="M1271" s="3">
        <v>8386</v>
      </c>
      <c r="N1271" s="3">
        <v>41930</v>
      </c>
      <c r="O1271" s="3">
        <v>41930</v>
      </c>
      <c r="P1271" s="3" t="s">
        <v>24</v>
      </c>
      <c r="Q1271" s="3">
        <v>0</v>
      </c>
      <c r="R1271" s="3" t="str">
        <f t="shared" si="19"/>
        <v>Not Cancelled</v>
      </c>
      <c r="S1271" s="3" t="s">
        <v>31</v>
      </c>
    </row>
    <row r="1272" spans="1:19" x14ac:dyDescent="0.35">
      <c r="A1272" s="3">
        <v>2271</v>
      </c>
      <c r="B1272" s="3" t="s">
        <v>937</v>
      </c>
      <c r="C1272" s="4">
        <v>45384</v>
      </c>
      <c r="D1272" s="3" t="s">
        <v>277</v>
      </c>
      <c r="E1272" s="4">
        <v>45399</v>
      </c>
      <c r="F1272" s="4">
        <v>45400</v>
      </c>
      <c r="G1272" s="3" t="s">
        <v>34</v>
      </c>
      <c r="H1272" s="3" t="s">
        <v>21</v>
      </c>
      <c r="I1272" s="3" t="s">
        <v>39</v>
      </c>
      <c r="J1272" s="3" t="s">
        <v>30</v>
      </c>
      <c r="K1272" s="3">
        <v>15</v>
      </c>
      <c r="L1272" s="3">
        <v>1</v>
      </c>
      <c r="M1272" s="3">
        <v>2783</v>
      </c>
      <c r="N1272" s="3">
        <v>2783</v>
      </c>
      <c r="O1272" s="3">
        <v>0</v>
      </c>
      <c r="P1272" s="3" t="s">
        <v>51</v>
      </c>
      <c r="Q1272" s="3">
        <v>1</v>
      </c>
      <c r="R1272" s="3" t="str">
        <f t="shared" si="19"/>
        <v>Cancelled</v>
      </c>
      <c r="S1272" s="3" t="s">
        <v>31</v>
      </c>
    </row>
    <row r="1273" spans="1:19" x14ac:dyDescent="0.35">
      <c r="A1273" s="3">
        <v>2272</v>
      </c>
      <c r="B1273" s="3" t="s">
        <v>583</v>
      </c>
      <c r="C1273" s="4">
        <v>45523</v>
      </c>
      <c r="D1273" s="3" t="s">
        <v>179</v>
      </c>
      <c r="E1273" s="4">
        <v>45563</v>
      </c>
      <c r="F1273" s="4">
        <v>45564</v>
      </c>
      <c r="G1273" s="3" t="s">
        <v>34</v>
      </c>
      <c r="H1273" s="3" t="s">
        <v>29</v>
      </c>
      <c r="I1273" s="3" t="s">
        <v>22</v>
      </c>
      <c r="J1273" s="3" t="s">
        <v>30</v>
      </c>
      <c r="K1273" s="3">
        <v>40</v>
      </c>
      <c r="L1273" s="3">
        <v>1</v>
      </c>
      <c r="M1273" s="3">
        <v>2712</v>
      </c>
      <c r="N1273" s="3">
        <v>2712</v>
      </c>
      <c r="O1273" s="3">
        <v>2712</v>
      </c>
      <c r="P1273" s="3" t="s">
        <v>51</v>
      </c>
      <c r="Q1273" s="3">
        <v>0</v>
      </c>
      <c r="R1273" s="3" t="str">
        <f t="shared" si="19"/>
        <v>Not Cancelled</v>
      </c>
      <c r="S1273" s="3" t="s">
        <v>31</v>
      </c>
    </row>
    <row r="1274" spans="1:19" x14ac:dyDescent="0.35">
      <c r="A1274" s="3">
        <v>2273</v>
      </c>
      <c r="B1274" s="3" t="s">
        <v>938</v>
      </c>
      <c r="C1274" s="4">
        <v>45312</v>
      </c>
      <c r="D1274" s="3" t="s">
        <v>102</v>
      </c>
      <c r="E1274" s="4">
        <v>45324</v>
      </c>
      <c r="F1274" s="4">
        <v>45329</v>
      </c>
      <c r="G1274" s="3" t="s">
        <v>45</v>
      </c>
      <c r="H1274" s="3" t="s">
        <v>38</v>
      </c>
      <c r="I1274" s="3" t="s">
        <v>39</v>
      </c>
      <c r="J1274" s="3" t="s">
        <v>46</v>
      </c>
      <c r="K1274" s="3">
        <v>12</v>
      </c>
      <c r="L1274" s="3">
        <v>5</v>
      </c>
      <c r="M1274" s="3">
        <v>4158</v>
      </c>
      <c r="N1274" s="3">
        <v>20790</v>
      </c>
      <c r="O1274" s="3">
        <v>20790</v>
      </c>
      <c r="P1274" s="3" t="s">
        <v>51</v>
      </c>
      <c r="Q1274" s="3">
        <v>0</v>
      </c>
      <c r="R1274" s="3" t="str">
        <f t="shared" si="19"/>
        <v>Not Cancelled</v>
      </c>
      <c r="S1274" s="3" t="s">
        <v>31</v>
      </c>
    </row>
    <row r="1275" spans="1:19" x14ac:dyDescent="0.35">
      <c r="A1275" s="3">
        <v>2274</v>
      </c>
      <c r="B1275" s="3" t="s">
        <v>566</v>
      </c>
      <c r="C1275" s="4">
        <v>45598</v>
      </c>
      <c r="D1275" s="3" t="s">
        <v>19</v>
      </c>
      <c r="E1275" s="4">
        <v>45620</v>
      </c>
      <c r="F1275" s="4">
        <v>45621</v>
      </c>
      <c r="G1275" s="3" t="s">
        <v>34</v>
      </c>
      <c r="H1275" s="3" t="s">
        <v>29</v>
      </c>
      <c r="I1275" s="3" t="s">
        <v>39</v>
      </c>
      <c r="J1275" s="3" t="s">
        <v>46</v>
      </c>
      <c r="K1275" s="3">
        <v>22</v>
      </c>
      <c r="L1275" s="3">
        <v>1</v>
      </c>
      <c r="M1275" s="3">
        <v>6578</v>
      </c>
      <c r="N1275" s="3">
        <v>6578</v>
      </c>
      <c r="O1275" s="3">
        <v>0</v>
      </c>
      <c r="P1275" s="3" t="s">
        <v>24</v>
      </c>
      <c r="Q1275" s="3">
        <v>1</v>
      </c>
      <c r="R1275" s="3" t="str">
        <f t="shared" si="19"/>
        <v>Cancelled</v>
      </c>
      <c r="S1275" s="3" t="s">
        <v>25</v>
      </c>
    </row>
    <row r="1276" spans="1:19" x14ac:dyDescent="0.35">
      <c r="A1276" s="3">
        <v>2275</v>
      </c>
      <c r="B1276" s="3" t="s">
        <v>403</v>
      </c>
      <c r="C1276" s="4">
        <v>45329</v>
      </c>
      <c r="D1276" s="3" t="s">
        <v>19</v>
      </c>
      <c r="E1276" s="4">
        <v>45351</v>
      </c>
      <c r="F1276" s="4">
        <v>45353</v>
      </c>
      <c r="G1276" s="3" t="s">
        <v>28</v>
      </c>
      <c r="H1276" s="3" t="s">
        <v>35</v>
      </c>
      <c r="I1276" s="3" t="s">
        <v>39</v>
      </c>
      <c r="J1276" s="3" t="s">
        <v>30</v>
      </c>
      <c r="K1276" s="3">
        <v>22</v>
      </c>
      <c r="L1276" s="3">
        <v>2</v>
      </c>
      <c r="M1276" s="3">
        <v>8337</v>
      </c>
      <c r="N1276" s="3">
        <v>16674</v>
      </c>
      <c r="O1276" s="3">
        <v>16674</v>
      </c>
      <c r="P1276" s="3" t="s">
        <v>51</v>
      </c>
      <c r="Q1276" s="3">
        <v>0</v>
      </c>
      <c r="R1276" s="3" t="str">
        <f t="shared" si="19"/>
        <v>Not Cancelled</v>
      </c>
      <c r="S1276" s="3" t="s">
        <v>25</v>
      </c>
    </row>
    <row r="1277" spans="1:19" x14ac:dyDescent="0.35">
      <c r="A1277" s="3">
        <v>2276</v>
      </c>
      <c r="B1277" s="3" t="s">
        <v>514</v>
      </c>
      <c r="C1277" s="4">
        <v>45567</v>
      </c>
      <c r="D1277" s="3" t="s">
        <v>78</v>
      </c>
      <c r="E1277" s="4">
        <v>45617</v>
      </c>
      <c r="F1277" s="4">
        <v>45618</v>
      </c>
      <c r="G1277" s="3" t="s">
        <v>34</v>
      </c>
      <c r="H1277" s="3" t="s">
        <v>35</v>
      </c>
      <c r="I1277" s="3" t="s">
        <v>22</v>
      </c>
      <c r="J1277" s="3" t="s">
        <v>23</v>
      </c>
      <c r="K1277" s="3">
        <v>50</v>
      </c>
      <c r="L1277" s="3">
        <v>1</v>
      </c>
      <c r="M1277" s="3">
        <v>7524</v>
      </c>
      <c r="N1277" s="3">
        <v>7524</v>
      </c>
      <c r="O1277" s="3">
        <v>0</v>
      </c>
      <c r="P1277" s="3" t="s">
        <v>51</v>
      </c>
      <c r="Q1277" s="3">
        <v>1</v>
      </c>
      <c r="R1277" s="3" t="str">
        <f t="shared" si="19"/>
        <v>Cancelled</v>
      </c>
      <c r="S1277" s="3" t="s">
        <v>25</v>
      </c>
    </row>
    <row r="1278" spans="1:19" x14ac:dyDescent="0.35">
      <c r="A1278" s="3">
        <v>2277</v>
      </c>
      <c r="B1278" s="3" t="s">
        <v>939</v>
      </c>
      <c r="C1278" s="4">
        <v>45448</v>
      </c>
      <c r="D1278" s="3" t="s">
        <v>148</v>
      </c>
      <c r="E1278" s="4">
        <v>45495</v>
      </c>
      <c r="F1278" s="4">
        <v>45499</v>
      </c>
      <c r="G1278" s="3" t="s">
        <v>42</v>
      </c>
      <c r="H1278" s="3" t="s">
        <v>35</v>
      </c>
      <c r="I1278" s="3" t="s">
        <v>39</v>
      </c>
      <c r="J1278" s="3" t="s">
        <v>46</v>
      </c>
      <c r="K1278" s="3">
        <v>47</v>
      </c>
      <c r="L1278" s="3">
        <v>4</v>
      </c>
      <c r="M1278" s="3">
        <v>7347</v>
      </c>
      <c r="N1278" s="3">
        <v>29388</v>
      </c>
      <c r="O1278" s="3">
        <v>0</v>
      </c>
      <c r="P1278" s="3" t="s">
        <v>51</v>
      </c>
      <c r="Q1278" s="3">
        <v>1</v>
      </c>
      <c r="R1278" s="3" t="str">
        <f t="shared" si="19"/>
        <v>Cancelled</v>
      </c>
      <c r="S1278" s="3" t="s">
        <v>25</v>
      </c>
    </row>
    <row r="1279" spans="1:19" x14ac:dyDescent="0.35">
      <c r="A1279" s="3">
        <v>2278</v>
      </c>
      <c r="B1279" s="3" t="s">
        <v>940</v>
      </c>
      <c r="C1279" s="4">
        <v>45470</v>
      </c>
      <c r="D1279" s="3" t="s">
        <v>71</v>
      </c>
      <c r="E1279" s="4">
        <v>45487</v>
      </c>
      <c r="F1279" s="4">
        <v>45488</v>
      </c>
      <c r="G1279" s="3" t="s">
        <v>34</v>
      </c>
      <c r="H1279" s="3" t="s">
        <v>21</v>
      </c>
      <c r="I1279" s="3" t="s">
        <v>39</v>
      </c>
      <c r="J1279" s="3" t="s">
        <v>46</v>
      </c>
      <c r="K1279" s="3">
        <v>17</v>
      </c>
      <c r="L1279" s="3">
        <v>1</v>
      </c>
      <c r="M1279" s="3">
        <v>3917</v>
      </c>
      <c r="N1279" s="3">
        <v>3917</v>
      </c>
      <c r="O1279" s="3">
        <v>3917</v>
      </c>
      <c r="P1279" s="3" t="s">
        <v>24</v>
      </c>
      <c r="Q1279" s="3">
        <v>0</v>
      </c>
      <c r="R1279" s="3" t="str">
        <f t="shared" si="19"/>
        <v>Not Cancelled</v>
      </c>
      <c r="S1279" s="3" t="s">
        <v>25</v>
      </c>
    </row>
    <row r="1280" spans="1:19" x14ac:dyDescent="0.35">
      <c r="A1280" s="3">
        <v>2279</v>
      </c>
      <c r="B1280" s="3" t="s">
        <v>941</v>
      </c>
      <c r="C1280" s="4">
        <v>45423</v>
      </c>
      <c r="D1280" s="3" t="s">
        <v>57</v>
      </c>
      <c r="E1280" s="4">
        <v>45452</v>
      </c>
      <c r="F1280" s="4">
        <v>45456</v>
      </c>
      <c r="G1280" s="3" t="s">
        <v>42</v>
      </c>
      <c r="H1280" s="3" t="s">
        <v>38</v>
      </c>
      <c r="I1280" s="3" t="s">
        <v>22</v>
      </c>
      <c r="J1280" s="3" t="s">
        <v>23</v>
      </c>
      <c r="K1280" s="3">
        <v>29</v>
      </c>
      <c r="L1280" s="3">
        <v>4</v>
      </c>
      <c r="M1280" s="3">
        <v>4886</v>
      </c>
      <c r="N1280" s="3">
        <v>19544</v>
      </c>
      <c r="O1280" s="3">
        <v>0</v>
      </c>
      <c r="P1280" s="3" t="s">
        <v>24</v>
      </c>
      <c r="Q1280" s="3">
        <v>1</v>
      </c>
      <c r="R1280" s="3" t="str">
        <f t="shared" si="19"/>
        <v>Cancelled</v>
      </c>
      <c r="S1280" s="3" t="s">
        <v>31</v>
      </c>
    </row>
    <row r="1281" spans="1:19" x14ac:dyDescent="0.35">
      <c r="A1281" s="3">
        <v>2280</v>
      </c>
      <c r="B1281" s="3" t="s">
        <v>942</v>
      </c>
      <c r="C1281" s="4">
        <v>45602</v>
      </c>
      <c r="D1281" s="3" t="s">
        <v>41</v>
      </c>
      <c r="E1281" s="4">
        <v>45648</v>
      </c>
      <c r="F1281" s="4">
        <v>45649</v>
      </c>
      <c r="G1281" s="3" t="s">
        <v>34</v>
      </c>
      <c r="H1281" s="3" t="s">
        <v>29</v>
      </c>
      <c r="I1281" s="3" t="s">
        <v>39</v>
      </c>
      <c r="J1281" s="3" t="s">
        <v>46</v>
      </c>
      <c r="K1281" s="3">
        <v>46</v>
      </c>
      <c r="L1281" s="3">
        <v>1</v>
      </c>
      <c r="M1281" s="3">
        <v>8417</v>
      </c>
      <c r="N1281" s="3">
        <v>8417</v>
      </c>
      <c r="O1281" s="3">
        <v>0</v>
      </c>
      <c r="P1281" s="3" t="s">
        <v>24</v>
      </c>
      <c r="Q1281" s="3">
        <v>1</v>
      </c>
      <c r="R1281" s="3" t="str">
        <f t="shared" si="19"/>
        <v>Cancelled</v>
      </c>
      <c r="S1281" s="3" t="s">
        <v>25</v>
      </c>
    </row>
    <row r="1282" spans="1:19" x14ac:dyDescent="0.35">
      <c r="A1282" s="3">
        <v>2281</v>
      </c>
      <c r="B1282" s="3" t="s">
        <v>825</v>
      </c>
      <c r="C1282" s="4">
        <v>45639</v>
      </c>
      <c r="D1282" s="3" t="s">
        <v>33</v>
      </c>
      <c r="E1282" s="4">
        <v>45653</v>
      </c>
      <c r="F1282" s="4">
        <v>45654</v>
      </c>
      <c r="G1282" s="3" t="s">
        <v>34</v>
      </c>
      <c r="H1282" s="3" t="s">
        <v>29</v>
      </c>
      <c r="I1282" s="3" t="s">
        <v>22</v>
      </c>
      <c r="J1282" s="3" t="s">
        <v>23</v>
      </c>
      <c r="K1282" s="3">
        <v>14</v>
      </c>
      <c r="L1282" s="3">
        <v>1</v>
      </c>
      <c r="M1282" s="3">
        <v>7641</v>
      </c>
      <c r="N1282" s="3">
        <v>7641</v>
      </c>
      <c r="O1282" s="3">
        <v>0</v>
      </c>
      <c r="P1282" s="3" t="s">
        <v>24</v>
      </c>
      <c r="Q1282" s="3">
        <v>1</v>
      </c>
      <c r="R1282" s="3" t="str">
        <f t="shared" si="19"/>
        <v>Cancelled</v>
      </c>
      <c r="S1282" s="3" t="s">
        <v>25</v>
      </c>
    </row>
    <row r="1283" spans="1:19" x14ac:dyDescent="0.35">
      <c r="A1283" s="3">
        <v>2282</v>
      </c>
      <c r="B1283" s="3" t="s">
        <v>666</v>
      </c>
      <c r="C1283" s="4">
        <v>45319</v>
      </c>
      <c r="D1283" s="3" t="s">
        <v>78</v>
      </c>
      <c r="E1283" s="4">
        <v>45369</v>
      </c>
      <c r="F1283" s="4">
        <v>45374</v>
      </c>
      <c r="G1283" s="3" t="s">
        <v>45</v>
      </c>
      <c r="H1283" s="3" t="s">
        <v>35</v>
      </c>
      <c r="I1283" s="3" t="s">
        <v>39</v>
      </c>
      <c r="J1283" s="3" t="s">
        <v>23</v>
      </c>
      <c r="K1283" s="3">
        <v>50</v>
      </c>
      <c r="L1283" s="3">
        <v>5</v>
      </c>
      <c r="M1283" s="3">
        <v>4294</v>
      </c>
      <c r="N1283" s="3">
        <v>21470</v>
      </c>
      <c r="O1283" s="3">
        <v>21470</v>
      </c>
      <c r="P1283" s="3" t="s">
        <v>24</v>
      </c>
      <c r="Q1283" s="3">
        <v>0</v>
      </c>
      <c r="R1283" s="3" t="str">
        <f t="shared" ref="R1283:R1346" si="20">IF(Q1283=0,"Not Cancelled","Cancelled")</f>
        <v>Not Cancelled</v>
      </c>
      <c r="S1283" s="3" t="s">
        <v>31</v>
      </c>
    </row>
    <row r="1284" spans="1:19" x14ac:dyDescent="0.35">
      <c r="A1284" s="3">
        <v>2283</v>
      </c>
      <c r="B1284" s="3" t="s">
        <v>943</v>
      </c>
      <c r="C1284" s="4">
        <v>45551</v>
      </c>
      <c r="D1284" s="3" t="s">
        <v>157</v>
      </c>
      <c r="E1284" s="4">
        <v>45571</v>
      </c>
      <c r="F1284" s="4">
        <v>45573</v>
      </c>
      <c r="G1284" s="3" t="s">
        <v>28</v>
      </c>
      <c r="H1284" s="3" t="s">
        <v>38</v>
      </c>
      <c r="I1284" s="3" t="s">
        <v>22</v>
      </c>
      <c r="J1284" s="3" t="s">
        <v>30</v>
      </c>
      <c r="K1284" s="3">
        <v>20</v>
      </c>
      <c r="L1284" s="3">
        <v>2</v>
      </c>
      <c r="M1284" s="3">
        <v>8488</v>
      </c>
      <c r="N1284" s="3">
        <v>16976</v>
      </c>
      <c r="O1284" s="3">
        <v>16976</v>
      </c>
      <c r="P1284" s="3" t="s">
        <v>51</v>
      </c>
      <c r="Q1284" s="3">
        <v>0</v>
      </c>
      <c r="R1284" s="3" t="str">
        <f t="shared" si="20"/>
        <v>Not Cancelled</v>
      </c>
      <c r="S1284" s="3" t="s">
        <v>31</v>
      </c>
    </row>
    <row r="1285" spans="1:19" x14ac:dyDescent="0.35">
      <c r="A1285" s="3">
        <v>2284</v>
      </c>
      <c r="B1285" s="3" t="s">
        <v>279</v>
      </c>
      <c r="C1285" s="4">
        <v>45367</v>
      </c>
      <c r="D1285" s="3" t="s">
        <v>78</v>
      </c>
      <c r="E1285" s="4">
        <v>45417</v>
      </c>
      <c r="F1285" s="4">
        <v>45419</v>
      </c>
      <c r="G1285" s="3" t="s">
        <v>28</v>
      </c>
      <c r="H1285" s="3" t="s">
        <v>38</v>
      </c>
      <c r="I1285" s="3" t="s">
        <v>22</v>
      </c>
      <c r="J1285" s="3" t="s">
        <v>46</v>
      </c>
      <c r="K1285" s="3">
        <v>50</v>
      </c>
      <c r="L1285" s="3">
        <v>2</v>
      </c>
      <c r="M1285" s="3">
        <v>2604</v>
      </c>
      <c r="N1285" s="3">
        <v>5208</v>
      </c>
      <c r="O1285" s="3">
        <v>0</v>
      </c>
      <c r="P1285" s="3" t="s">
        <v>51</v>
      </c>
      <c r="Q1285" s="3">
        <v>1</v>
      </c>
      <c r="R1285" s="3" t="str">
        <f t="shared" si="20"/>
        <v>Cancelled</v>
      </c>
      <c r="S1285" s="3" t="s">
        <v>25</v>
      </c>
    </row>
    <row r="1286" spans="1:19" x14ac:dyDescent="0.35">
      <c r="A1286" s="3">
        <v>2285</v>
      </c>
      <c r="B1286" s="3" t="s">
        <v>944</v>
      </c>
      <c r="C1286" s="4">
        <v>45358</v>
      </c>
      <c r="D1286" s="3" t="s">
        <v>73</v>
      </c>
      <c r="E1286" s="4">
        <v>45406</v>
      </c>
      <c r="F1286" s="4">
        <v>45409</v>
      </c>
      <c r="G1286" s="3" t="s">
        <v>20</v>
      </c>
      <c r="H1286" s="3" t="s">
        <v>60</v>
      </c>
      <c r="I1286" s="3" t="s">
        <v>39</v>
      </c>
      <c r="J1286" s="3" t="s">
        <v>23</v>
      </c>
      <c r="K1286" s="3">
        <v>48</v>
      </c>
      <c r="L1286" s="3">
        <v>3</v>
      </c>
      <c r="M1286" s="3">
        <v>8085</v>
      </c>
      <c r="N1286" s="3">
        <v>24255</v>
      </c>
      <c r="O1286" s="3">
        <v>0</v>
      </c>
      <c r="P1286" s="3" t="s">
        <v>24</v>
      </c>
      <c r="Q1286" s="3">
        <v>1</v>
      </c>
      <c r="R1286" s="3" t="str">
        <f t="shared" si="20"/>
        <v>Cancelled</v>
      </c>
      <c r="S1286" s="3" t="s">
        <v>25</v>
      </c>
    </row>
    <row r="1287" spans="1:19" x14ac:dyDescent="0.35">
      <c r="A1287" s="3">
        <v>2286</v>
      </c>
      <c r="B1287" s="3" t="s">
        <v>945</v>
      </c>
      <c r="C1287" s="4">
        <v>45633</v>
      </c>
      <c r="D1287" s="3" t="s">
        <v>69</v>
      </c>
      <c r="E1287" s="4">
        <v>45666</v>
      </c>
      <c r="F1287" s="4">
        <v>45671</v>
      </c>
      <c r="G1287" s="3" t="s">
        <v>45</v>
      </c>
      <c r="H1287" s="3" t="s">
        <v>38</v>
      </c>
      <c r="I1287" s="3" t="s">
        <v>39</v>
      </c>
      <c r="J1287" s="3" t="s">
        <v>30</v>
      </c>
      <c r="K1287" s="3">
        <v>33</v>
      </c>
      <c r="L1287" s="3">
        <v>5</v>
      </c>
      <c r="M1287" s="3">
        <v>8078</v>
      </c>
      <c r="N1287" s="3">
        <v>40390</v>
      </c>
      <c r="O1287" s="3">
        <v>0</v>
      </c>
      <c r="P1287" s="3" t="s">
        <v>24</v>
      </c>
      <c r="Q1287" s="3">
        <v>1</v>
      </c>
      <c r="R1287" s="3" t="str">
        <f t="shared" si="20"/>
        <v>Cancelled</v>
      </c>
      <c r="S1287" s="3" t="s">
        <v>31</v>
      </c>
    </row>
    <row r="1288" spans="1:19" x14ac:dyDescent="0.35">
      <c r="A1288" s="3">
        <v>2287</v>
      </c>
      <c r="B1288" s="3" t="s">
        <v>823</v>
      </c>
      <c r="C1288" s="4">
        <v>45485</v>
      </c>
      <c r="D1288" s="3" t="s">
        <v>113</v>
      </c>
      <c r="E1288" s="4">
        <v>45540</v>
      </c>
      <c r="F1288" s="4">
        <v>45545</v>
      </c>
      <c r="G1288" s="3" t="s">
        <v>45</v>
      </c>
      <c r="H1288" s="3" t="s">
        <v>38</v>
      </c>
      <c r="I1288" s="3" t="s">
        <v>22</v>
      </c>
      <c r="J1288" s="3" t="s">
        <v>46</v>
      </c>
      <c r="K1288" s="3">
        <v>55</v>
      </c>
      <c r="L1288" s="3">
        <v>5</v>
      </c>
      <c r="M1288" s="3">
        <v>8051</v>
      </c>
      <c r="N1288" s="3">
        <v>40255</v>
      </c>
      <c r="O1288" s="3">
        <v>0</v>
      </c>
      <c r="P1288" s="3" t="s">
        <v>51</v>
      </c>
      <c r="Q1288" s="3">
        <v>1</v>
      </c>
      <c r="R1288" s="3" t="str">
        <f t="shared" si="20"/>
        <v>Cancelled</v>
      </c>
      <c r="S1288" s="3" t="s">
        <v>25</v>
      </c>
    </row>
    <row r="1289" spans="1:19" x14ac:dyDescent="0.35">
      <c r="A1289" s="3">
        <v>2288</v>
      </c>
      <c r="B1289" s="3" t="s">
        <v>468</v>
      </c>
      <c r="C1289" s="4">
        <v>45453</v>
      </c>
      <c r="D1289" s="3" t="s">
        <v>96</v>
      </c>
      <c r="E1289" s="4">
        <v>45512</v>
      </c>
      <c r="F1289" s="4">
        <v>45514</v>
      </c>
      <c r="G1289" s="3" t="s">
        <v>28</v>
      </c>
      <c r="H1289" s="3" t="s">
        <v>29</v>
      </c>
      <c r="I1289" s="3" t="s">
        <v>39</v>
      </c>
      <c r="J1289" s="3" t="s">
        <v>30</v>
      </c>
      <c r="K1289" s="3">
        <v>59</v>
      </c>
      <c r="L1289" s="3">
        <v>2</v>
      </c>
      <c r="M1289" s="3">
        <v>7365</v>
      </c>
      <c r="N1289" s="3">
        <v>14730</v>
      </c>
      <c r="O1289" s="3">
        <v>0</v>
      </c>
      <c r="P1289" s="3" t="s">
        <v>24</v>
      </c>
      <c r="Q1289" s="3">
        <v>1</v>
      </c>
      <c r="R1289" s="3" t="str">
        <f t="shared" si="20"/>
        <v>Cancelled</v>
      </c>
      <c r="S1289" s="3" t="s">
        <v>25</v>
      </c>
    </row>
    <row r="1290" spans="1:19" x14ac:dyDescent="0.35">
      <c r="A1290" s="3">
        <v>2289</v>
      </c>
      <c r="B1290" s="3" t="s">
        <v>946</v>
      </c>
      <c r="C1290" s="4">
        <v>45638</v>
      </c>
      <c r="D1290" s="3" t="s">
        <v>66</v>
      </c>
      <c r="E1290" s="4">
        <v>45681</v>
      </c>
      <c r="F1290" s="4">
        <v>45686</v>
      </c>
      <c r="G1290" s="3" t="s">
        <v>45</v>
      </c>
      <c r="H1290" s="3" t="s">
        <v>38</v>
      </c>
      <c r="I1290" s="3" t="s">
        <v>22</v>
      </c>
      <c r="J1290" s="3" t="s">
        <v>30</v>
      </c>
      <c r="K1290" s="3">
        <v>43</v>
      </c>
      <c r="L1290" s="3">
        <v>5</v>
      </c>
      <c r="M1290" s="3">
        <v>6393</v>
      </c>
      <c r="N1290" s="3">
        <v>31965</v>
      </c>
      <c r="O1290" s="3">
        <v>0</v>
      </c>
      <c r="P1290" s="3" t="s">
        <v>24</v>
      </c>
      <c r="Q1290" s="3">
        <v>1</v>
      </c>
      <c r="R1290" s="3" t="str">
        <f t="shared" si="20"/>
        <v>Cancelled</v>
      </c>
      <c r="S1290" s="3" t="s">
        <v>25</v>
      </c>
    </row>
    <row r="1291" spans="1:19" x14ac:dyDescent="0.35">
      <c r="A1291" s="3">
        <v>2290</v>
      </c>
      <c r="B1291" s="3" t="s">
        <v>670</v>
      </c>
      <c r="C1291" s="4">
        <v>45652</v>
      </c>
      <c r="D1291" s="3" t="s">
        <v>277</v>
      </c>
      <c r="E1291" s="4">
        <v>45667</v>
      </c>
      <c r="F1291" s="4">
        <v>45669</v>
      </c>
      <c r="G1291" s="3" t="s">
        <v>28</v>
      </c>
      <c r="H1291" s="3" t="s">
        <v>38</v>
      </c>
      <c r="I1291" s="3" t="s">
        <v>39</v>
      </c>
      <c r="J1291" s="3" t="s">
        <v>23</v>
      </c>
      <c r="K1291" s="3">
        <v>15</v>
      </c>
      <c r="L1291" s="3">
        <v>2</v>
      </c>
      <c r="M1291" s="3">
        <v>6345</v>
      </c>
      <c r="N1291" s="3">
        <v>12690</v>
      </c>
      <c r="O1291" s="3">
        <v>12690</v>
      </c>
      <c r="P1291" s="3" t="s">
        <v>24</v>
      </c>
      <c r="Q1291" s="3">
        <v>0</v>
      </c>
      <c r="R1291" s="3" t="str">
        <f t="shared" si="20"/>
        <v>Not Cancelled</v>
      </c>
      <c r="S1291" s="3" t="s">
        <v>31</v>
      </c>
    </row>
    <row r="1292" spans="1:19" x14ac:dyDescent="0.35">
      <c r="A1292" s="3">
        <v>2291</v>
      </c>
      <c r="B1292" s="3" t="s">
        <v>947</v>
      </c>
      <c r="C1292" s="4">
        <v>45548</v>
      </c>
      <c r="D1292" s="3" t="s">
        <v>102</v>
      </c>
      <c r="E1292" s="4">
        <v>45560</v>
      </c>
      <c r="F1292" s="4">
        <v>45565</v>
      </c>
      <c r="G1292" s="3" t="s">
        <v>45</v>
      </c>
      <c r="H1292" s="3" t="s">
        <v>29</v>
      </c>
      <c r="I1292" s="3" t="s">
        <v>39</v>
      </c>
      <c r="J1292" s="3" t="s">
        <v>46</v>
      </c>
      <c r="K1292" s="3">
        <v>12</v>
      </c>
      <c r="L1292" s="3">
        <v>5</v>
      </c>
      <c r="M1292" s="3">
        <v>6190</v>
      </c>
      <c r="N1292" s="3">
        <v>30950</v>
      </c>
      <c r="O1292" s="3">
        <v>0</v>
      </c>
      <c r="P1292" s="3" t="s">
        <v>24</v>
      </c>
      <c r="Q1292" s="3">
        <v>1</v>
      </c>
      <c r="R1292" s="3" t="str">
        <f t="shared" si="20"/>
        <v>Cancelled</v>
      </c>
      <c r="S1292" s="3" t="s">
        <v>25</v>
      </c>
    </row>
    <row r="1293" spans="1:19" x14ac:dyDescent="0.35">
      <c r="A1293" s="3">
        <v>2292</v>
      </c>
      <c r="B1293" s="3" t="s">
        <v>860</v>
      </c>
      <c r="C1293" s="4">
        <v>45363</v>
      </c>
      <c r="D1293" s="3" t="s">
        <v>179</v>
      </c>
      <c r="E1293" s="4">
        <v>45403</v>
      </c>
      <c r="F1293" s="4">
        <v>45404</v>
      </c>
      <c r="G1293" s="3" t="s">
        <v>34</v>
      </c>
      <c r="H1293" s="3" t="s">
        <v>38</v>
      </c>
      <c r="I1293" s="3" t="s">
        <v>39</v>
      </c>
      <c r="J1293" s="3" t="s">
        <v>30</v>
      </c>
      <c r="K1293" s="3">
        <v>40</v>
      </c>
      <c r="L1293" s="3">
        <v>1</v>
      </c>
      <c r="M1293" s="3">
        <v>8555</v>
      </c>
      <c r="N1293" s="3">
        <v>8555</v>
      </c>
      <c r="O1293" s="3">
        <v>8555</v>
      </c>
      <c r="P1293" s="3" t="s">
        <v>24</v>
      </c>
      <c r="Q1293" s="3">
        <v>0</v>
      </c>
      <c r="R1293" s="3" t="str">
        <f t="shared" si="20"/>
        <v>Not Cancelled</v>
      </c>
      <c r="S1293" s="3" t="s">
        <v>25</v>
      </c>
    </row>
    <row r="1294" spans="1:19" x14ac:dyDescent="0.35">
      <c r="A1294" s="3">
        <v>2293</v>
      </c>
      <c r="B1294" s="3" t="s">
        <v>948</v>
      </c>
      <c r="C1294" s="4">
        <v>45378</v>
      </c>
      <c r="D1294" s="3" t="s">
        <v>117</v>
      </c>
      <c r="E1294" s="4">
        <v>45432</v>
      </c>
      <c r="F1294" s="4">
        <v>45434</v>
      </c>
      <c r="G1294" s="3" t="s">
        <v>28</v>
      </c>
      <c r="H1294" s="3" t="s">
        <v>29</v>
      </c>
      <c r="I1294" s="3" t="s">
        <v>39</v>
      </c>
      <c r="J1294" s="3" t="s">
        <v>23</v>
      </c>
      <c r="K1294" s="3">
        <v>54</v>
      </c>
      <c r="L1294" s="3">
        <v>2</v>
      </c>
      <c r="M1294" s="3">
        <v>8623</v>
      </c>
      <c r="N1294" s="3">
        <v>17246</v>
      </c>
      <c r="O1294" s="3">
        <v>0</v>
      </c>
      <c r="P1294" s="3" t="s">
        <v>51</v>
      </c>
      <c r="Q1294" s="3">
        <v>1</v>
      </c>
      <c r="R1294" s="3" t="str">
        <f t="shared" si="20"/>
        <v>Cancelled</v>
      </c>
      <c r="S1294" s="3" t="s">
        <v>31</v>
      </c>
    </row>
    <row r="1295" spans="1:19" x14ac:dyDescent="0.35">
      <c r="A1295" s="3">
        <v>2294</v>
      </c>
      <c r="B1295" s="3" t="s">
        <v>698</v>
      </c>
      <c r="C1295" s="4">
        <v>45553</v>
      </c>
      <c r="D1295" s="3" t="s">
        <v>157</v>
      </c>
      <c r="E1295" s="4">
        <v>45573</v>
      </c>
      <c r="F1295" s="4">
        <v>45575</v>
      </c>
      <c r="G1295" s="3" t="s">
        <v>28</v>
      </c>
      <c r="H1295" s="3" t="s">
        <v>60</v>
      </c>
      <c r="I1295" s="3" t="s">
        <v>22</v>
      </c>
      <c r="J1295" s="3" t="s">
        <v>23</v>
      </c>
      <c r="K1295" s="3">
        <v>20</v>
      </c>
      <c r="L1295" s="3">
        <v>2</v>
      </c>
      <c r="M1295" s="3">
        <v>5792</v>
      </c>
      <c r="N1295" s="3">
        <v>11584</v>
      </c>
      <c r="O1295" s="3">
        <v>11584</v>
      </c>
      <c r="P1295" s="3" t="s">
        <v>51</v>
      </c>
      <c r="Q1295" s="3">
        <v>0</v>
      </c>
      <c r="R1295" s="3" t="str">
        <f t="shared" si="20"/>
        <v>Not Cancelled</v>
      </c>
      <c r="S1295" s="3" t="s">
        <v>31</v>
      </c>
    </row>
    <row r="1296" spans="1:19" x14ac:dyDescent="0.35">
      <c r="A1296" s="3">
        <v>2295</v>
      </c>
      <c r="B1296" s="3" t="s">
        <v>160</v>
      </c>
      <c r="C1296" s="4">
        <v>45505</v>
      </c>
      <c r="D1296" s="3" t="s">
        <v>50</v>
      </c>
      <c r="E1296" s="4">
        <v>45535</v>
      </c>
      <c r="F1296" s="4">
        <v>45539</v>
      </c>
      <c r="G1296" s="3" t="s">
        <v>42</v>
      </c>
      <c r="H1296" s="3" t="s">
        <v>21</v>
      </c>
      <c r="I1296" s="3" t="s">
        <v>22</v>
      </c>
      <c r="J1296" s="3" t="s">
        <v>30</v>
      </c>
      <c r="K1296" s="3">
        <v>30</v>
      </c>
      <c r="L1296" s="3">
        <v>4</v>
      </c>
      <c r="M1296" s="3">
        <v>2878</v>
      </c>
      <c r="N1296" s="3">
        <v>11512</v>
      </c>
      <c r="O1296" s="3">
        <v>11512</v>
      </c>
      <c r="P1296" s="3" t="s">
        <v>24</v>
      </c>
      <c r="Q1296" s="3">
        <v>0</v>
      </c>
      <c r="R1296" s="3" t="str">
        <f t="shared" si="20"/>
        <v>Not Cancelled</v>
      </c>
      <c r="S1296" s="3" t="s">
        <v>31</v>
      </c>
    </row>
    <row r="1297" spans="1:19" x14ac:dyDescent="0.35">
      <c r="A1297" s="3">
        <v>2296</v>
      </c>
      <c r="B1297" s="3" t="s">
        <v>949</v>
      </c>
      <c r="C1297" s="4">
        <v>45444</v>
      </c>
      <c r="D1297" s="3" t="s">
        <v>115</v>
      </c>
      <c r="E1297" s="4">
        <v>45482</v>
      </c>
      <c r="F1297" s="4">
        <v>45487</v>
      </c>
      <c r="G1297" s="3" t="s">
        <v>45</v>
      </c>
      <c r="H1297" s="3" t="s">
        <v>29</v>
      </c>
      <c r="I1297" s="3" t="s">
        <v>39</v>
      </c>
      <c r="J1297" s="3" t="s">
        <v>30</v>
      </c>
      <c r="K1297" s="3">
        <v>38</v>
      </c>
      <c r="L1297" s="3">
        <v>5</v>
      </c>
      <c r="M1297" s="3">
        <v>5793</v>
      </c>
      <c r="N1297" s="3">
        <v>28965</v>
      </c>
      <c r="O1297" s="3">
        <v>0</v>
      </c>
      <c r="P1297" s="3" t="s">
        <v>24</v>
      </c>
      <c r="Q1297" s="3">
        <v>1</v>
      </c>
      <c r="R1297" s="3" t="str">
        <f t="shared" si="20"/>
        <v>Cancelled</v>
      </c>
      <c r="S1297" s="3" t="s">
        <v>25</v>
      </c>
    </row>
    <row r="1298" spans="1:19" x14ac:dyDescent="0.35">
      <c r="A1298" s="3">
        <v>2297</v>
      </c>
      <c r="B1298" s="3" t="s">
        <v>950</v>
      </c>
      <c r="C1298" s="4">
        <v>45501</v>
      </c>
      <c r="D1298" s="3" t="s">
        <v>20</v>
      </c>
      <c r="E1298" s="4">
        <v>45504</v>
      </c>
      <c r="F1298" s="4">
        <v>45509</v>
      </c>
      <c r="G1298" s="3" t="s">
        <v>45</v>
      </c>
      <c r="H1298" s="3" t="s">
        <v>29</v>
      </c>
      <c r="I1298" s="3" t="s">
        <v>39</v>
      </c>
      <c r="J1298" s="3" t="s">
        <v>23</v>
      </c>
      <c r="K1298" s="3">
        <v>3</v>
      </c>
      <c r="L1298" s="3">
        <v>5</v>
      </c>
      <c r="M1298" s="3">
        <v>5829</v>
      </c>
      <c r="N1298" s="3">
        <v>29145</v>
      </c>
      <c r="O1298" s="3">
        <v>29145</v>
      </c>
      <c r="P1298" s="3" t="s">
        <v>51</v>
      </c>
      <c r="Q1298" s="3">
        <v>0</v>
      </c>
      <c r="R1298" s="3" t="str">
        <f t="shared" si="20"/>
        <v>Not Cancelled</v>
      </c>
      <c r="S1298" s="3" t="s">
        <v>31</v>
      </c>
    </row>
    <row r="1299" spans="1:19" x14ac:dyDescent="0.35">
      <c r="A1299" s="3">
        <v>2298</v>
      </c>
      <c r="B1299" s="3" t="s">
        <v>947</v>
      </c>
      <c r="C1299" s="4">
        <v>45352</v>
      </c>
      <c r="D1299" s="3" t="s">
        <v>82</v>
      </c>
      <c r="E1299" s="4">
        <v>45380</v>
      </c>
      <c r="F1299" s="4">
        <v>45382</v>
      </c>
      <c r="G1299" s="3" t="s">
        <v>28</v>
      </c>
      <c r="H1299" s="3" t="s">
        <v>38</v>
      </c>
      <c r="I1299" s="3" t="s">
        <v>39</v>
      </c>
      <c r="J1299" s="3" t="s">
        <v>30</v>
      </c>
      <c r="K1299" s="3">
        <v>28</v>
      </c>
      <c r="L1299" s="3">
        <v>2</v>
      </c>
      <c r="M1299" s="3">
        <v>7308</v>
      </c>
      <c r="N1299" s="3">
        <v>14616</v>
      </c>
      <c r="O1299" s="3">
        <v>0</v>
      </c>
      <c r="P1299" s="3" t="s">
        <v>24</v>
      </c>
      <c r="Q1299" s="3">
        <v>1</v>
      </c>
      <c r="R1299" s="3" t="str">
        <f t="shared" si="20"/>
        <v>Cancelled</v>
      </c>
      <c r="S1299" s="3" t="s">
        <v>25</v>
      </c>
    </row>
    <row r="1300" spans="1:19" x14ac:dyDescent="0.35">
      <c r="A1300" s="3">
        <v>2299</v>
      </c>
      <c r="B1300" s="3" t="s">
        <v>661</v>
      </c>
      <c r="C1300" s="4">
        <v>45559</v>
      </c>
      <c r="D1300" s="3" t="s">
        <v>94</v>
      </c>
      <c r="E1300" s="4">
        <v>45615</v>
      </c>
      <c r="F1300" s="4">
        <v>45616</v>
      </c>
      <c r="G1300" s="3" t="s">
        <v>34</v>
      </c>
      <c r="H1300" s="3" t="s">
        <v>29</v>
      </c>
      <c r="I1300" s="3" t="s">
        <v>39</v>
      </c>
      <c r="J1300" s="3" t="s">
        <v>30</v>
      </c>
      <c r="K1300" s="3">
        <v>56</v>
      </c>
      <c r="L1300" s="3">
        <v>1</v>
      </c>
      <c r="M1300" s="3">
        <v>5938</v>
      </c>
      <c r="N1300" s="3">
        <v>5938</v>
      </c>
      <c r="O1300" s="3">
        <v>0</v>
      </c>
      <c r="P1300" s="3" t="s">
        <v>51</v>
      </c>
      <c r="Q1300" s="3">
        <v>1</v>
      </c>
      <c r="R1300" s="3" t="str">
        <f t="shared" si="20"/>
        <v>Cancelled</v>
      </c>
      <c r="S1300" s="3" t="s">
        <v>31</v>
      </c>
    </row>
    <row r="1301" spans="1:19" x14ac:dyDescent="0.35">
      <c r="A1301" s="3">
        <v>2300</v>
      </c>
      <c r="B1301" s="3" t="s">
        <v>951</v>
      </c>
      <c r="C1301" s="4">
        <v>45553</v>
      </c>
      <c r="D1301" s="3" t="s">
        <v>98</v>
      </c>
      <c r="E1301" s="4">
        <v>45579</v>
      </c>
      <c r="F1301" s="4">
        <v>45580</v>
      </c>
      <c r="G1301" s="3" t="s">
        <v>34</v>
      </c>
      <c r="H1301" s="3" t="s">
        <v>35</v>
      </c>
      <c r="I1301" s="3" t="s">
        <v>39</v>
      </c>
      <c r="J1301" s="3" t="s">
        <v>46</v>
      </c>
      <c r="K1301" s="3">
        <v>26</v>
      </c>
      <c r="L1301" s="3">
        <v>1</v>
      </c>
      <c r="M1301" s="3">
        <v>7968</v>
      </c>
      <c r="N1301" s="3">
        <v>7968</v>
      </c>
      <c r="O1301" s="3">
        <v>0</v>
      </c>
      <c r="P1301" s="3" t="s">
        <v>24</v>
      </c>
      <c r="Q1301" s="3">
        <v>1</v>
      </c>
      <c r="R1301" s="3" t="str">
        <f t="shared" si="20"/>
        <v>Cancelled</v>
      </c>
      <c r="S1301" s="3" t="s">
        <v>25</v>
      </c>
    </row>
    <row r="1302" spans="1:19" x14ac:dyDescent="0.35">
      <c r="A1302" s="3">
        <v>2301</v>
      </c>
      <c r="B1302" s="3" t="s">
        <v>315</v>
      </c>
      <c r="C1302" s="4">
        <v>45509</v>
      </c>
      <c r="D1302" s="3" t="s">
        <v>50</v>
      </c>
      <c r="E1302" s="4">
        <v>45539</v>
      </c>
      <c r="F1302" s="4">
        <v>45540</v>
      </c>
      <c r="G1302" s="3" t="s">
        <v>34</v>
      </c>
      <c r="H1302" s="3" t="s">
        <v>35</v>
      </c>
      <c r="I1302" s="3" t="s">
        <v>22</v>
      </c>
      <c r="J1302" s="3" t="s">
        <v>23</v>
      </c>
      <c r="K1302" s="3">
        <v>30</v>
      </c>
      <c r="L1302" s="3">
        <v>1</v>
      </c>
      <c r="M1302" s="3">
        <v>2724</v>
      </c>
      <c r="N1302" s="3">
        <v>2724</v>
      </c>
      <c r="O1302" s="3">
        <v>0</v>
      </c>
      <c r="P1302" s="3" t="s">
        <v>51</v>
      </c>
      <c r="Q1302" s="3">
        <v>1</v>
      </c>
      <c r="R1302" s="3" t="str">
        <f t="shared" si="20"/>
        <v>Cancelled</v>
      </c>
      <c r="S1302" s="3" t="s">
        <v>31</v>
      </c>
    </row>
    <row r="1303" spans="1:19" x14ac:dyDescent="0.35">
      <c r="A1303" s="3">
        <v>2302</v>
      </c>
      <c r="B1303" s="3" t="s">
        <v>657</v>
      </c>
      <c r="C1303" s="4">
        <v>45574</v>
      </c>
      <c r="D1303" s="3" t="s">
        <v>44</v>
      </c>
      <c r="E1303" s="4">
        <v>45587</v>
      </c>
      <c r="F1303" s="4">
        <v>45592</v>
      </c>
      <c r="G1303" s="3" t="s">
        <v>45</v>
      </c>
      <c r="H1303" s="3" t="s">
        <v>60</v>
      </c>
      <c r="I1303" s="3" t="s">
        <v>22</v>
      </c>
      <c r="J1303" s="3" t="s">
        <v>30</v>
      </c>
      <c r="K1303" s="3">
        <v>13</v>
      </c>
      <c r="L1303" s="3">
        <v>5</v>
      </c>
      <c r="M1303" s="3">
        <v>8333</v>
      </c>
      <c r="N1303" s="3">
        <v>41665</v>
      </c>
      <c r="O1303" s="3">
        <v>41665</v>
      </c>
      <c r="P1303" s="3" t="s">
        <v>51</v>
      </c>
      <c r="Q1303" s="3">
        <v>0</v>
      </c>
      <c r="R1303" s="3" t="str">
        <f t="shared" si="20"/>
        <v>Not Cancelled</v>
      </c>
      <c r="S1303" s="3" t="s">
        <v>25</v>
      </c>
    </row>
    <row r="1304" spans="1:19" x14ac:dyDescent="0.35">
      <c r="A1304" s="3">
        <v>2303</v>
      </c>
      <c r="B1304" s="3" t="s">
        <v>952</v>
      </c>
      <c r="C1304" s="4">
        <v>45427</v>
      </c>
      <c r="D1304" s="3" t="s">
        <v>44</v>
      </c>
      <c r="E1304" s="4">
        <v>45440</v>
      </c>
      <c r="F1304" s="4">
        <v>45444</v>
      </c>
      <c r="G1304" s="3" t="s">
        <v>42</v>
      </c>
      <c r="H1304" s="3" t="s">
        <v>29</v>
      </c>
      <c r="I1304" s="3" t="s">
        <v>39</v>
      </c>
      <c r="J1304" s="3" t="s">
        <v>23</v>
      </c>
      <c r="K1304" s="3">
        <v>13</v>
      </c>
      <c r="L1304" s="3">
        <v>4</v>
      </c>
      <c r="M1304" s="3">
        <v>3237</v>
      </c>
      <c r="N1304" s="3">
        <v>12948</v>
      </c>
      <c r="O1304" s="3">
        <v>12948</v>
      </c>
      <c r="P1304" s="3" t="s">
        <v>24</v>
      </c>
      <c r="Q1304" s="3">
        <v>0</v>
      </c>
      <c r="R1304" s="3" t="str">
        <f t="shared" si="20"/>
        <v>Not Cancelled</v>
      </c>
      <c r="S1304" s="3" t="s">
        <v>25</v>
      </c>
    </row>
    <row r="1305" spans="1:19" x14ac:dyDescent="0.35">
      <c r="A1305" s="3">
        <v>2304</v>
      </c>
      <c r="B1305" s="3" t="s">
        <v>917</v>
      </c>
      <c r="C1305" s="4">
        <v>45653</v>
      </c>
      <c r="D1305" s="3" t="s">
        <v>28</v>
      </c>
      <c r="E1305" s="4">
        <v>45655</v>
      </c>
      <c r="F1305" s="4">
        <v>45657</v>
      </c>
      <c r="G1305" s="3" t="s">
        <v>28</v>
      </c>
      <c r="H1305" s="3" t="s">
        <v>38</v>
      </c>
      <c r="I1305" s="3" t="s">
        <v>22</v>
      </c>
      <c r="J1305" s="3" t="s">
        <v>46</v>
      </c>
      <c r="K1305" s="3">
        <v>2</v>
      </c>
      <c r="L1305" s="3">
        <v>2</v>
      </c>
      <c r="M1305" s="3">
        <v>2735</v>
      </c>
      <c r="N1305" s="3">
        <v>5470</v>
      </c>
      <c r="O1305" s="3">
        <v>5470</v>
      </c>
      <c r="P1305" s="3" t="s">
        <v>24</v>
      </c>
      <c r="Q1305" s="3">
        <v>0</v>
      </c>
      <c r="R1305" s="3" t="str">
        <f t="shared" si="20"/>
        <v>Not Cancelled</v>
      </c>
      <c r="S1305" s="3" t="s">
        <v>31</v>
      </c>
    </row>
    <row r="1306" spans="1:19" x14ac:dyDescent="0.35">
      <c r="A1306" s="3">
        <v>2305</v>
      </c>
      <c r="B1306" s="3" t="s">
        <v>418</v>
      </c>
      <c r="C1306" s="4">
        <v>45384</v>
      </c>
      <c r="D1306" s="3" t="s">
        <v>105</v>
      </c>
      <c r="E1306" s="4">
        <v>45421</v>
      </c>
      <c r="F1306" s="4">
        <v>45424</v>
      </c>
      <c r="G1306" s="3" t="s">
        <v>20</v>
      </c>
      <c r="H1306" s="3" t="s">
        <v>38</v>
      </c>
      <c r="I1306" s="3" t="s">
        <v>22</v>
      </c>
      <c r="J1306" s="3" t="s">
        <v>23</v>
      </c>
      <c r="K1306" s="3">
        <v>37</v>
      </c>
      <c r="L1306" s="3">
        <v>3</v>
      </c>
      <c r="M1306" s="3">
        <v>6778</v>
      </c>
      <c r="N1306" s="3">
        <v>20334</v>
      </c>
      <c r="O1306" s="3">
        <v>0</v>
      </c>
      <c r="P1306" s="3" t="s">
        <v>51</v>
      </c>
      <c r="Q1306" s="3">
        <v>1</v>
      </c>
      <c r="R1306" s="3" t="str">
        <f t="shared" si="20"/>
        <v>Cancelled</v>
      </c>
      <c r="S1306" s="3" t="s">
        <v>31</v>
      </c>
    </row>
    <row r="1307" spans="1:19" x14ac:dyDescent="0.35">
      <c r="A1307" s="3">
        <v>2306</v>
      </c>
      <c r="B1307" s="3" t="s">
        <v>953</v>
      </c>
      <c r="C1307" s="4">
        <v>45400</v>
      </c>
      <c r="D1307" s="3" t="s">
        <v>211</v>
      </c>
      <c r="E1307" s="4">
        <v>45449</v>
      </c>
      <c r="F1307" s="4">
        <v>45453</v>
      </c>
      <c r="G1307" s="3" t="s">
        <v>42</v>
      </c>
      <c r="H1307" s="3" t="s">
        <v>21</v>
      </c>
      <c r="I1307" s="3" t="s">
        <v>39</v>
      </c>
      <c r="J1307" s="3" t="s">
        <v>23</v>
      </c>
      <c r="K1307" s="3">
        <v>49</v>
      </c>
      <c r="L1307" s="3">
        <v>4</v>
      </c>
      <c r="M1307" s="3">
        <v>3211</v>
      </c>
      <c r="N1307" s="3">
        <v>12844</v>
      </c>
      <c r="O1307" s="3">
        <v>0</v>
      </c>
      <c r="P1307" s="3" t="s">
        <v>24</v>
      </c>
      <c r="Q1307" s="3">
        <v>1</v>
      </c>
      <c r="R1307" s="3" t="str">
        <f t="shared" si="20"/>
        <v>Cancelled</v>
      </c>
      <c r="S1307" s="3" t="s">
        <v>25</v>
      </c>
    </row>
    <row r="1308" spans="1:19" x14ac:dyDescent="0.35">
      <c r="A1308" s="3">
        <v>2307</v>
      </c>
      <c r="B1308" s="3" t="s">
        <v>954</v>
      </c>
      <c r="C1308" s="4">
        <v>45532</v>
      </c>
      <c r="D1308" s="3" t="s">
        <v>115</v>
      </c>
      <c r="E1308" s="4">
        <v>45570</v>
      </c>
      <c r="F1308" s="4">
        <v>45573</v>
      </c>
      <c r="G1308" s="3" t="s">
        <v>20</v>
      </c>
      <c r="H1308" s="3" t="s">
        <v>60</v>
      </c>
      <c r="I1308" s="3" t="s">
        <v>22</v>
      </c>
      <c r="J1308" s="3" t="s">
        <v>23</v>
      </c>
      <c r="K1308" s="3">
        <v>38</v>
      </c>
      <c r="L1308" s="3">
        <v>3</v>
      </c>
      <c r="M1308" s="3">
        <v>8488</v>
      </c>
      <c r="N1308" s="3">
        <v>25464</v>
      </c>
      <c r="O1308" s="3">
        <v>0</v>
      </c>
      <c r="P1308" s="3" t="s">
        <v>51</v>
      </c>
      <c r="Q1308" s="3">
        <v>1</v>
      </c>
      <c r="R1308" s="3" t="str">
        <f t="shared" si="20"/>
        <v>Cancelled</v>
      </c>
      <c r="S1308" s="3" t="s">
        <v>31</v>
      </c>
    </row>
    <row r="1309" spans="1:19" x14ac:dyDescent="0.35">
      <c r="A1309" s="3">
        <v>2308</v>
      </c>
      <c r="B1309" s="3" t="s">
        <v>447</v>
      </c>
      <c r="C1309" s="4">
        <v>45646</v>
      </c>
      <c r="D1309" s="3" t="s">
        <v>28</v>
      </c>
      <c r="E1309" s="4">
        <v>45648</v>
      </c>
      <c r="F1309" s="4">
        <v>45652</v>
      </c>
      <c r="G1309" s="3" t="s">
        <v>42</v>
      </c>
      <c r="H1309" s="3" t="s">
        <v>38</v>
      </c>
      <c r="I1309" s="3" t="s">
        <v>22</v>
      </c>
      <c r="J1309" s="3" t="s">
        <v>46</v>
      </c>
      <c r="K1309" s="3">
        <v>2</v>
      </c>
      <c r="L1309" s="3">
        <v>4</v>
      </c>
      <c r="M1309" s="3">
        <v>4388</v>
      </c>
      <c r="N1309" s="3">
        <v>17552</v>
      </c>
      <c r="O1309" s="3">
        <v>0</v>
      </c>
      <c r="P1309" s="3" t="s">
        <v>24</v>
      </c>
      <c r="Q1309" s="3">
        <v>1</v>
      </c>
      <c r="R1309" s="3" t="str">
        <f t="shared" si="20"/>
        <v>Cancelled</v>
      </c>
      <c r="S1309" s="3" t="s">
        <v>25</v>
      </c>
    </row>
    <row r="1310" spans="1:19" x14ac:dyDescent="0.35">
      <c r="A1310" s="3">
        <v>2309</v>
      </c>
      <c r="B1310" s="3" t="s">
        <v>550</v>
      </c>
      <c r="C1310" s="4">
        <v>45433</v>
      </c>
      <c r="D1310" s="3" t="s">
        <v>146</v>
      </c>
      <c r="E1310" s="4">
        <v>45469</v>
      </c>
      <c r="F1310" s="4">
        <v>45470</v>
      </c>
      <c r="G1310" s="3" t="s">
        <v>34</v>
      </c>
      <c r="H1310" s="3" t="s">
        <v>21</v>
      </c>
      <c r="I1310" s="3" t="s">
        <v>22</v>
      </c>
      <c r="J1310" s="3" t="s">
        <v>46</v>
      </c>
      <c r="K1310" s="3">
        <v>36</v>
      </c>
      <c r="L1310" s="3">
        <v>1</v>
      </c>
      <c r="M1310" s="3">
        <v>7218</v>
      </c>
      <c r="N1310" s="3">
        <v>7218</v>
      </c>
      <c r="O1310" s="3">
        <v>0</v>
      </c>
      <c r="P1310" s="3" t="s">
        <v>24</v>
      </c>
      <c r="Q1310" s="3">
        <v>1</v>
      </c>
      <c r="R1310" s="3" t="str">
        <f t="shared" si="20"/>
        <v>Cancelled</v>
      </c>
      <c r="S1310" s="3" t="s">
        <v>31</v>
      </c>
    </row>
    <row r="1311" spans="1:19" x14ac:dyDescent="0.35">
      <c r="A1311" s="3">
        <v>2310</v>
      </c>
      <c r="B1311" s="3" t="s">
        <v>685</v>
      </c>
      <c r="C1311" s="4">
        <v>45582</v>
      </c>
      <c r="D1311" s="3" t="s">
        <v>117</v>
      </c>
      <c r="E1311" s="4">
        <v>45636</v>
      </c>
      <c r="F1311" s="4">
        <v>45641</v>
      </c>
      <c r="G1311" s="3" t="s">
        <v>45</v>
      </c>
      <c r="H1311" s="3" t="s">
        <v>38</v>
      </c>
      <c r="I1311" s="3" t="s">
        <v>22</v>
      </c>
      <c r="J1311" s="3" t="s">
        <v>23</v>
      </c>
      <c r="K1311" s="3">
        <v>54</v>
      </c>
      <c r="L1311" s="3">
        <v>5</v>
      </c>
      <c r="M1311" s="3">
        <v>3759</v>
      </c>
      <c r="N1311" s="3">
        <v>18795</v>
      </c>
      <c r="O1311" s="3">
        <v>0</v>
      </c>
      <c r="P1311" s="3" t="s">
        <v>24</v>
      </c>
      <c r="Q1311" s="3">
        <v>1</v>
      </c>
      <c r="R1311" s="3" t="str">
        <f t="shared" si="20"/>
        <v>Cancelled</v>
      </c>
      <c r="S1311" s="3" t="s">
        <v>31</v>
      </c>
    </row>
    <row r="1312" spans="1:19" x14ac:dyDescent="0.35">
      <c r="A1312" s="3">
        <v>2311</v>
      </c>
      <c r="B1312" s="3" t="s">
        <v>643</v>
      </c>
      <c r="C1312" s="4">
        <v>45528</v>
      </c>
      <c r="D1312" s="3" t="s">
        <v>98</v>
      </c>
      <c r="E1312" s="4">
        <v>45554</v>
      </c>
      <c r="F1312" s="4">
        <v>45557</v>
      </c>
      <c r="G1312" s="3" t="s">
        <v>20</v>
      </c>
      <c r="H1312" s="3" t="s">
        <v>21</v>
      </c>
      <c r="I1312" s="3" t="s">
        <v>39</v>
      </c>
      <c r="J1312" s="3" t="s">
        <v>23</v>
      </c>
      <c r="K1312" s="3">
        <v>26</v>
      </c>
      <c r="L1312" s="3">
        <v>3</v>
      </c>
      <c r="M1312" s="3">
        <v>7746</v>
      </c>
      <c r="N1312" s="3">
        <v>23238</v>
      </c>
      <c r="O1312" s="3">
        <v>0</v>
      </c>
      <c r="P1312" s="3" t="s">
        <v>51</v>
      </c>
      <c r="Q1312" s="3">
        <v>1</v>
      </c>
      <c r="R1312" s="3" t="str">
        <f t="shared" si="20"/>
        <v>Cancelled</v>
      </c>
      <c r="S1312" s="3" t="s">
        <v>25</v>
      </c>
    </row>
    <row r="1313" spans="1:19" x14ac:dyDescent="0.35">
      <c r="A1313" s="3">
        <v>2312</v>
      </c>
      <c r="B1313" s="3" t="s">
        <v>866</v>
      </c>
      <c r="C1313" s="4">
        <v>45631</v>
      </c>
      <c r="D1313" s="3" t="s">
        <v>75</v>
      </c>
      <c r="E1313" s="4">
        <v>45642</v>
      </c>
      <c r="F1313" s="4">
        <v>45646</v>
      </c>
      <c r="G1313" s="3" t="s">
        <v>42</v>
      </c>
      <c r="H1313" s="3" t="s">
        <v>35</v>
      </c>
      <c r="I1313" s="3" t="s">
        <v>22</v>
      </c>
      <c r="J1313" s="3" t="s">
        <v>46</v>
      </c>
      <c r="K1313" s="3">
        <v>11</v>
      </c>
      <c r="L1313" s="3">
        <v>4</v>
      </c>
      <c r="M1313" s="3">
        <v>3248</v>
      </c>
      <c r="N1313" s="3">
        <v>12992</v>
      </c>
      <c r="O1313" s="3">
        <v>12992</v>
      </c>
      <c r="P1313" s="3" t="s">
        <v>51</v>
      </c>
      <c r="Q1313" s="3">
        <v>0</v>
      </c>
      <c r="R1313" s="3" t="str">
        <f t="shared" si="20"/>
        <v>Not Cancelled</v>
      </c>
      <c r="S1313" s="3" t="s">
        <v>31</v>
      </c>
    </row>
    <row r="1314" spans="1:19" x14ac:dyDescent="0.35">
      <c r="A1314" s="3">
        <v>2313</v>
      </c>
      <c r="B1314" s="3" t="s">
        <v>755</v>
      </c>
      <c r="C1314" s="4">
        <v>45603</v>
      </c>
      <c r="D1314" s="3" t="s">
        <v>59</v>
      </c>
      <c r="E1314" s="4">
        <v>45611</v>
      </c>
      <c r="F1314" s="4">
        <v>45616</v>
      </c>
      <c r="G1314" s="3" t="s">
        <v>45</v>
      </c>
      <c r="H1314" s="3" t="s">
        <v>35</v>
      </c>
      <c r="I1314" s="3" t="s">
        <v>22</v>
      </c>
      <c r="J1314" s="3" t="s">
        <v>30</v>
      </c>
      <c r="K1314" s="3">
        <v>8</v>
      </c>
      <c r="L1314" s="3">
        <v>5</v>
      </c>
      <c r="M1314" s="3">
        <v>6486</v>
      </c>
      <c r="N1314" s="3">
        <v>32430</v>
      </c>
      <c r="O1314" s="3">
        <v>0</v>
      </c>
      <c r="P1314" s="3" t="s">
        <v>24</v>
      </c>
      <c r="Q1314" s="3">
        <v>1</v>
      </c>
      <c r="R1314" s="3" t="str">
        <f t="shared" si="20"/>
        <v>Cancelled</v>
      </c>
      <c r="S1314" s="3" t="s">
        <v>31</v>
      </c>
    </row>
    <row r="1315" spans="1:19" x14ac:dyDescent="0.35">
      <c r="A1315" s="3">
        <v>2314</v>
      </c>
      <c r="B1315" s="3" t="s">
        <v>864</v>
      </c>
      <c r="C1315" s="4">
        <v>45468</v>
      </c>
      <c r="D1315" s="3" t="s">
        <v>62</v>
      </c>
      <c r="E1315" s="4">
        <v>45512</v>
      </c>
      <c r="F1315" s="4">
        <v>45515</v>
      </c>
      <c r="G1315" s="3" t="s">
        <v>20</v>
      </c>
      <c r="H1315" s="3" t="s">
        <v>38</v>
      </c>
      <c r="I1315" s="3" t="s">
        <v>22</v>
      </c>
      <c r="J1315" s="3" t="s">
        <v>46</v>
      </c>
      <c r="K1315" s="3">
        <v>44</v>
      </c>
      <c r="L1315" s="3">
        <v>3</v>
      </c>
      <c r="M1315" s="3">
        <v>6051</v>
      </c>
      <c r="N1315" s="3">
        <v>18153</v>
      </c>
      <c r="O1315" s="3">
        <v>0</v>
      </c>
      <c r="P1315" s="3" t="s">
        <v>51</v>
      </c>
      <c r="Q1315" s="3">
        <v>1</v>
      </c>
      <c r="R1315" s="3" t="str">
        <f t="shared" si="20"/>
        <v>Cancelled</v>
      </c>
      <c r="S1315" s="3" t="s">
        <v>25</v>
      </c>
    </row>
    <row r="1316" spans="1:19" x14ac:dyDescent="0.35">
      <c r="A1316" s="3">
        <v>2315</v>
      </c>
      <c r="B1316" s="3" t="s">
        <v>946</v>
      </c>
      <c r="C1316" s="4">
        <v>45432</v>
      </c>
      <c r="D1316" s="3" t="s">
        <v>179</v>
      </c>
      <c r="E1316" s="4">
        <v>45472</v>
      </c>
      <c r="F1316" s="4">
        <v>45474</v>
      </c>
      <c r="G1316" s="3" t="s">
        <v>28</v>
      </c>
      <c r="H1316" s="3" t="s">
        <v>60</v>
      </c>
      <c r="I1316" s="3" t="s">
        <v>39</v>
      </c>
      <c r="J1316" s="3" t="s">
        <v>23</v>
      </c>
      <c r="K1316" s="3">
        <v>40</v>
      </c>
      <c r="L1316" s="3">
        <v>2</v>
      </c>
      <c r="M1316" s="3">
        <v>8798</v>
      </c>
      <c r="N1316" s="3">
        <v>17596</v>
      </c>
      <c r="O1316" s="3">
        <v>0</v>
      </c>
      <c r="P1316" s="3" t="s">
        <v>24</v>
      </c>
      <c r="Q1316" s="3">
        <v>1</v>
      </c>
      <c r="R1316" s="3" t="str">
        <f t="shared" si="20"/>
        <v>Cancelled</v>
      </c>
      <c r="S1316" s="3" t="s">
        <v>25</v>
      </c>
    </row>
    <row r="1317" spans="1:19" x14ac:dyDescent="0.35">
      <c r="A1317" s="3">
        <v>2316</v>
      </c>
      <c r="B1317" s="3" t="s">
        <v>955</v>
      </c>
      <c r="C1317" s="4">
        <v>45480</v>
      </c>
      <c r="D1317" s="3" t="s">
        <v>66</v>
      </c>
      <c r="E1317" s="4">
        <v>45523</v>
      </c>
      <c r="F1317" s="4">
        <v>45527</v>
      </c>
      <c r="G1317" s="3" t="s">
        <v>42</v>
      </c>
      <c r="H1317" s="3" t="s">
        <v>29</v>
      </c>
      <c r="I1317" s="3" t="s">
        <v>22</v>
      </c>
      <c r="J1317" s="3" t="s">
        <v>30</v>
      </c>
      <c r="K1317" s="3">
        <v>43</v>
      </c>
      <c r="L1317" s="3">
        <v>4</v>
      </c>
      <c r="M1317" s="3">
        <v>8900</v>
      </c>
      <c r="N1317" s="3">
        <v>35600</v>
      </c>
      <c r="O1317" s="3">
        <v>35600</v>
      </c>
      <c r="P1317" s="3" t="s">
        <v>51</v>
      </c>
      <c r="Q1317" s="3">
        <v>0</v>
      </c>
      <c r="R1317" s="3" t="str">
        <f t="shared" si="20"/>
        <v>Not Cancelled</v>
      </c>
      <c r="S1317" s="3" t="s">
        <v>31</v>
      </c>
    </row>
    <row r="1318" spans="1:19" x14ac:dyDescent="0.35">
      <c r="A1318" s="3">
        <v>2317</v>
      </c>
      <c r="B1318" s="3" t="s">
        <v>239</v>
      </c>
      <c r="C1318" s="4">
        <v>45340</v>
      </c>
      <c r="D1318" s="3" t="s">
        <v>19</v>
      </c>
      <c r="E1318" s="4">
        <v>45362</v>
      </c>
      <c r="F1318" s="4">
        <v>45364</v>
      </c>
      <c r="G1318" s="3" t="s">
        <v>28</v>
      </c>
      <c r="H1318" s="3" t="s">
        <v>60</v>
      </c>
      <c r="I1318" s="3" t="s">
        <v>22</v>
      </c>
      <c r="J1318" s="3" t="s">
        <v>30</v>
      </c>
      <c r="K1318" s="3">
        <v>22</v>
      </c>
      <c r="L1318" s="3">
        <v>2</v>
      </c>
      <c r="M1318" s="3">
        <v>8878</v>
      </c>
      <c r="N1318" s="3">
        <v>17756</v>
      </c>
      <c r="O1318" s="3">
        <v>17756</v>
      </c>
      <c r="P1318" s="3" t="s">
        <v>24</v>
      </c>
      <c r="Q1318" s="3">
        <v>0</v>
      </c>
      <c r="R1318" s="3" t="str">
        <f t="shared" si="20"/>
        <v>Not Cancelled</v>
      </c>
      <c r="S1318" s="3" t="s">
        <v>25</v>
      </c>
    </row>
    <row r="1319" spans="1:19" x14ac:dyDescent="0.35">
      <c r="A1319" s="3">
        <v>2318</v>
      </c>
      <c r="B1319" s="3" t="s">
        <v>956</v>
      </c>
      <c r="C1319" s="4">
        <v>45593</v>
      </c>
      <c r="D1319" s="3" t="s">
        <v>157</v>
      </c>
      <c r="E1319" s="4">
        <v>45613</v>
      </c>
      <c r="F1319" s="4">
        <v>45614</v>
      </c>
      <c r="G1319" s="3" t="s">
        <v>34</v>
      </c>
      <c r="H1319" s="3" t="s">
        <v>60</v>
      </c>
      <c r="I1319" s="3" t="s">
        <v>22</v>
      </c>
      <c r="J1319" s="3" t="s">
        <v>30</v>
      </c>
      <c r="K1319" s="3">
        <v>20</v>
      </c>
      <c r="L1319" s="3">
        <v>1</v>
      </c>
      <c r="M1319" s="3">
        <v>8932</v>
      </c>
      <c r="N1319" s="3">
        <v>8932</v>
      </c>
      <c r="O1319" s="3">
        <v>0</v>
      </c>
      <c r="P1319" s="3" t="s">
        <v>51</v>
      </c>
      <c r="Q1319" s="3">
        <v>1</v>
      </c>
      <c r="R1319" s="3" t="str">
        <f t="shared" si="20"/>
        <v>Cancelled</v>
      </c>
      <c r="S1319" s="3" t="s">
        <v>31</v>
      </c>
    </row>
    <row r="1320" spans="1:19" x14ac:dyDescent="0.35">
      <c r="A1320" s="3">
        <v>2319</v>
      </c>
      <c r="B1320" s="3" t="s">
        <v>701</v>
      </c>
      <c r="C1320" s="4">
        <v>45481</v>
      </c>
      <c r="D1320" s="3" t="s">
        <v>59</v>
      </c>
      <c r="E1320" s="4">
        <v>45489</v>
      </c>
      <c r="F1320" s="4">
        <v>45491</v>
      </c>
      <c r="G1320" s="3" t="s">
        <v>28</v>
      </c>
      <c r="H1320" s="3" t="s">
        <v>29</v>
      </c>
      <c r="I1320" s="3" t="s">
        <v>39</v>
      </c>
      <c r="J1320" s="3" t="s">
        <v>46</v>
      </c>
      <c r="K1320" s="3">
        <v>8</v>
      </c>
      <c r="L1320" s="3">
        <v>2</v>
      </c>
      <c r="M1320" s="3">
        <v>3009</v>
      </c>
      <c r="N1320" s="3">
        <v>6018</v>
      </c>
      <c r="O1320" s="3">
        <v>6018</v>
      </c>
      <c r="P1320" s="3" t="s">
        <v>51</v>
      </c>
      <c r="Q1320" s="3">
        <v>0</v>
      </c>
      <c r="R1320" s="3" t="str">
        <f t="shared" si="20"/>
        <v>Not Cancelled</v>
      </c>
      <c r="S1320" s="3" t="s">
        <v>31</v>
      </c>
    </row>
    <row r="1321" spans="1:19" x14ac:dyDescent="0.35">
      <c r="A1321" s="3">
        <v>2320</v>
      </c>
      <c r="B1321" s="3" t="s">
        <v>407</v>
      </c>
      <c r="C1321" s="4">
        <v>45427</v>
      </c>
      <c r="D1321" s="3" t="s">
        <v>57</v>
      </c>
      <c r="E1321" s="4">
        <v>45456</v>
      </c>
      <c r="F1321" s="4">
        <v>45458</v>
      </c>
      <c r="G1321" s="3" t="s">
        <v>28</v>
      </c>
      <c r="H1321" s="3" t="s">
        <v>35</v>
      </c>
      <c r="I1321" s="3" t="s">
        <v>39</v>
      </c>
      <c r="J1321" s="3" t="s">
        <v>46</v>
      </c>
      <c r="K1321" s="3">
        <v>29</v>
      </c>
      <c r="L1321" s="3">
        <v>2</v>
      </c>
      <c r="M1321" s="3">
        <v>8171</v>
      </c>
      <c r="N1321" s="3">
        <v>16342</v>
      </c>
      <c r="O1321" s="3">
        <v>0</v>
      </c>
      <c r="P1321" s="3" t="s">
        <v>51</v>
      </c>
      <c r="Q1321" s="3">
        <v>1</v>
      </c>
      <c r="R1321" s="3" t="str">
        <f t="shared" si="20"/>
        <v>Cancelled</v>
      </c>
      <c r="S1321" s="3" t="s">
        <v>25</v>
      </c>
    </row>
    <row r="1322" spans="1:19" x14ac:dyDescent="0.35">
      <c r="A1322" s="3">
        <v>2321</v>
      </c>
      <c r="B1322" s="3" t="s">
        <v>345</v>
      </c>
      <c r="C1322" s="4">
        <v>45334</v>
      </c>
      <c r="D1322" s="3" t="s">
        <v>179</v>
      </c>
      <c r="E1322" s="4">
        <v>45374</v>
      </c>
      <c r="F1322" s="4">
        <v>45378</v>
      </c>
      <c r="G1322" s="3" t="s">
        <v>42</v>
      </c>
      <c r="H1322" s="3" t="s">
        <v>35</v>
      </c>
      <c r="I1322" s="3" t="s">
        <v>39</v>
      </c>
      <c r="J1322" s="3" t="s">
        <v>46</v>
      </c>
      <c r="K1322" s="3">
        <v>40</v>
      </c>
      <c r="L1322" s="3">
        <v>4</v>
      </c>
      <c r="M1322" s="3">
        <v>4323</v>
      </c>
      <c r="N1322" s="3">
        <v>17292</v>
      </c>
      <c r="O1322" s="3">
        <v>0</v>
      </c>
      <c r="P1322" s="3" t="s">
        <v>51</v>
      </c>
      <c r="Q1322" s="3">
        <v>1</v>
      </c>
      <c r="R1322" s="3" t="str">
        <f t="shared" si="20"/>
        <v>Cancelled</v>
      </c>
      <c r="S1322" s="3" t="s">
        <v>25</v>
      </c>
    </row>
    <row r="1323" spans="1:19" x14ac:dyDescent="0.35">
      <c r="A1323" s="3">
        <v>2322</v>
      </c>
      <c r="B1323" s="3" t="s">
        <v>909</v>
      </c>
      <c r="C1323" s="4">
        <v>45644</v>
      </c>
      <c r="D1323" s="3" t="s">
        <v>98</v>
      </c>
      <c r="E1323" s="4">
        <v>45670</v>
      </c>
      <c r="F1323" s="4">
        <v>45671</v>
      </c>
      <c r="G1323" s="3" t="s">
        <v>34</v>
      </c>
      <c r="H1323" s="3" t="s">
        <v>29</v>
      </c>
      <c r="I1323" s="3" t="s">
        <v>39</v>
      </c>
      <c r="J1323" s="3" t="s">
        <v>46</v>
      </c>
      <c r="K1323" s="3">
        <v>26</v>
      </c>
      <c r="L1323" s="3">
        <v>1</v>
      </c>
      <c r="M1323" s="3">
        <v>7380</v>
      </c>
      <c r="N1323" s="3">
        <v>7380</v>
      </c>
      <c r="O1323" s="3">
        <v>0</v>
      </c>
      <c r="P1323" s="3" t="s">
        <v>51</v>
      </c>
      <c r="Q1323" s="3">
        <v>1</v>
      </c>
      <c r="R1323" s="3" t="str">
        <f t="shared" si="20"/>
        <v>Cancelled</v>
      </c>
      <c r="S1323" s="3" t="s">
        <v>25</v>
      </c>
    </row>
    <row r="1324" spans="1:19" x14ac:dyDescent="0.35">
      <c r="A1324" s="3">
        <v>2323</v>
      </c>
      <c r="B1324" s="3" t="s">
        <v>957</v>
      </c>
      <c r="C1324" s="4">
        <v>45381</v>
      </c>
      <c r="D1324" s="3" t="s">
        <v>50</v>
      </c>
      <c r="E1324" s="4">
        <v>45411</v>
      </c>
      <c r="F1324" s="4">
        <v>45413</v>
      </c>
      <c r="G1324" s="3" t="s">
        <v>28</v>
      </c>
      <c r="H1324" s="3" t="s">
        <v>21</v>
      </c>
      <c r="I1324" s="3" t="s">
        <v>39</v>
      </c>
      <c r="J1324" s="3" t="s">
        <v>23</v>
      </c>
      <c r="K1324" s="3">
        <v>30</v>
      </c>
      <c r="L1324" s="3">
        <v>2</v>
      </c>
      <c r="M1324" s="3">
        <v>5441</v>
      </c>
      <c r="N1324" s="3">
        <v>10882</v>
      </c>
      <c r="O1324" s="3">
        <v>10882</v>
      </c>
      <c r="P1324" s="3" t="s">
        <v>51</v>
      </c>
      <c r="Q1324" s="3">
        <v>0</v>
      </c>
      <c r="R1324" s="3" t="str">
        <f t="shared" si="20"/>
        <v>Not Cancelled</v>
      </c>
      <c r="S1324" s="3" t="s">
        <v>25</v>
      </c>
    </row>
    <row r="1325" spans="1:19" x14ac:dyDescent="0.35">
      <c r="A1325" s="3">
        <v>2324</v>
      </c>
      <c r="B1325" s="3" t="s">
        <v>958</v>
      </c>
      <c r="C1325" s="4">
        <v>45586</v>
      </c>
      <c r="D1325" s="3" t="s">
        <v>71</v>
      </c>
      <c r="E1325" s="4">
        <v>45603</v>
      </c>
      <c r="F1325" s="4">
        <v>45608</v>
      </c>
      <c r="G1325" s="3" t="s">
        <v>45</v>
      </c>
      <c r="H1325" s="3" t="s">
        <v>60</v>
      </c>
      <c r="I1325" s="3" t="s">
        <v>22</v>
      </c>
      <c r="J1325" s="3" t="s">
        <v>30</v>
      </c>
      <c r="K1325" s="3">
        <v>17</v>
      </c>
      <c r="L1325" s="3">
        <v>5</v>
      </c>
      <c r="M1325" s="3">
        <v>8941</v>
      </c>
      <c r="N1325" s="3">
        <v>44705</v>
      </c>
      <c r="O1325" s="3">
        <v>44705</v>
      </c>
      <c r="P1325" s="3" t="s">
        <v>24</v>
      </c>
      <c r="Q1325" s="3">
        <v>0</v>
      </c>
      <c r="R1325" s="3" t="str">
        <f t="shared" si="20"/>
        <v>Not Cancelled</v>
      </c>
      <c r="S1325" s="3" t="s">
        <v>25</v>
      </c>
    </row>
    <row r="1326" spans="1:19" x14ac:dyDescent="0.35">
      <c r="A1326" s="3">
        <v>2325</v>
      </c>
      <c r="B1326" s="3" t="s">
        <v>959</v>
      </c>
      <c r="C1326" s="4">
        <v>45632</v>
      </c>
      <c r="D1326" s="3" t="s">
        <v>157</v>
      </c>
      <c r="E1326" s="4">
        <v>45652</v>
      </c>
      <c r="F1326" s="4">
        <v>45655</v>
      </c>
      <c r="G1326" s="3" t="s">
        <v>20</v>
      </c>
      <c r="H1326" s="3" t="s">
        <v>38</v>
      </c>
      <c r="I1326" s="3" t="s">
        <v>39</v>
      </c>
      <c r="J1326" s="3" t="s">
        <v>23</v>
      </c>
      <c r="K1326" s="3">
        <v>20</v>
      </c>
      <c r="L1326" s="3">
        <v>3</v>
      </c>
      <c r="M1326" s="3">
        <v>6732</v>
      </c>
      <c r="N1326" s="3">
        <v>20196</v>
      </c>
      <c r="O1326" s="3">
        <v>0</v>
      </c>
      <c r="P1326" s="3" t="s">
        <v>24</v>
      </c>
      <c r="Q1326" s="3">
        <v>1</v>
      </c>
      <c r="R1326" s="3" t="str">
        <f t="shared" si="20"/>
        <v>Cancelled</v>
      </c>
      <c r="S1326" s="3" t="s">
        <v>25</v>
      </c>
    </row>
    <row r="1327" spans="1:19" x14ac:dyDescent="0.35">
      <c r="A1327" s="3">
        <v>2326</v>
      </c>
      <c r="B1327" s="3" t="s">
        <v>960</v>
      </c>
      <c r="C1327" s="4">
        <v>45536</v>
      </c>
      <c r="D1327" s="3" t="s">
        <v>226</v>
      </c>
      <c r="E1327" s="4">
        <v>45588</v>
      </c>
      <c r="F1327" s="4">
        <v>45590</v>
      </c>
      <c r="G1327" s="3" t="s">
        <v>28</v>
      </c>
      <c r="H1327" s="3" t="s">
        <v>35</v>
      </c>
      <c r="I1327" s="3" t="s">
        <v>22</v>
      </c>
      <c r="J1327" s="3" t="s">
        <v>46</v>
      </c>
      <c r="K1327" s="3">
        <v>52</v>
      </c>
      <c r="L1327" s="3">
        <v>2</v>
      </c>
      <c r="M1327" s="3">
        <v>4634</v>
      </c>
      <c r="N1327" s="3">
        <v>9268</v>
      </c>
      <c r="O1327" s="3">
        <v>0</v>
      </c>
      <c r="P1327" s="3" t="s">
        <v>51</v>
      </c>
      <c r="Q1327" s="3">
        <v>1</v>
      </c>
      <c r="R1327" s="3" t="str">
        <f t="shared" si="20"/>
        <v>Cancelled</v>
      </c>
      <c r="S1327" s="3" t="s">
        <v>31</v>
      </c>
    </row>
    <row r="1328" spans="1:19" x14ac:dyDescent="0.35">
      <c r="A1328" s="3">
        <v>2327</v>
      </c>
      <c r="B1328" s="3" t="s">
        <v>961</v>
      </c>
      <c r="C1328" s="4">
        <v>45483</v>
      </c>
      <c r="D1328" s="3" t="s">
        <v>113</v>
      </c>
      <c r="E1328" s="4">
        <v>45538</v>
      </c>
      <c r="F1328" s="4">
        <v>45539</v>
      </c>
      <c r="G1328" s="3" t="s">
        <v>34</v>
      </c>
      <c r="H1328" s="3" t="s">
        <v>38</v>
      </c>
      <c r="I1328" s="3" t="s">
        <v>39</v>
      </c>
      <c r="J1328" s="3" t="s">
        <v>46</v>
      </c>
      <c r="K1328" s="3">
        <v>55</v>
      </c>
      <c r="L1328" s="3">
        <v>1</v>
      </c>
      <c r="M1328" s="3">
        <v>4277</v>
      </c>
      <c r="N1328" s="3">
        <v>4277</v>
      </c>
      <c r="O1328" s="3">
        <v>0</v>
      </c>
      <c r="P1328" s="3" t="s">
        <v>24</v>
      </c>
      <c r="Q1328" s="3">
        <v>1</v>
      </c>
      <c r="R1328" s="3" t="str">
        <f t="shared" si="20"/>
        <v>Cancelled</v>
      </c>
      <c r="S1328" s="3" t="s">
        <v>31</v>
      </c>
    </row>
    <row r="1329" spans="1:19" x14ac:dyDescent="0.35">
      <c r="A1329" s="3">
        <v>2328</v>
      </c>
      <c r="B1329" s="3" t="s">
        <v>962</v>
      </c>
      <c r="C1329" s="4">
        <v>45609</v>
      </c>
      <c r="D1329" s="3" t="s">
        <v>88</v>
      </c>
      <c r="E1329" s="4">
        <v>45625</v>
      </c>
      <c r="F1329" s="4">
        <v>45627</v>
      </c>
      <c r="G1329" s="3" t="s">
        <v>28</v>
      </c>
      <c r="H1329" s="3" t="s">
        <v>29</v>
      </c>
      <c r="I1329" s="3" t="s">
        <v>39</v>
      </c>
      <c r="J1329" s="3" t="s">
        <v>23</v>
      </c>
      <c r="K1329" s="3">
        <v>16</v>
      </c>
      <c r="L1329" s="3">
        <v>2</v>
      </c>
      <c r="M1329" s="3">
        <v>3722</v>
      </c>
      <c r="N1329" s="3">
        <v>7444</v>
      </c>
      <c r="O1329" s="3">
        <v>7444</v>
      </c>
      <c r="P1329" s="3" t="s">
        <v>51</v>
      </c>
      <c r="Q1329" s="3">
        <v>0</v>
      </c>
      <c r="R1329" s="3" t="str">
        <f t="shared" si="20"/>
        <v>Not Cancelled</v>
      </c>
      <c r="S1329" s="3" t="s">
        <v>25</v>
      </c>
    </row>
    <row r="1330" spans="1:19" x14ac:dyDescent="0.35">
      <c r="A1330" s="3">
        <v>2329</v>
      </c>
      <c r="B1330" s="3" t="s">
        <v>574</v>
      </c>
      <c r="C1330" s="4">
        <v>45397</v>
      </c>
      <c r="D1330" s="3" t="s">
        <v>41</v>
      </c>
      <c r="E1330" s="4">
        <v>45443</v>
      </c>
      <c r="F1330" s="4">
        <v>45446</v>
      </c>
      <c r="G1330" s="3" t="s">
        <v>20</v>
      </c>
      <c r="H1330" s="3" t="s">
        <v>38</v>
      </c>
      <c r="I1330" s="3" t="s">
        <v>39</v>
      </c>
      <c r="J1330" s="3" t="s">
        <v>30</v>
      </c>
      <c r="K1330" s="3">
        <v>46</v>
      </c>
      <c r="L1330" s="3">
        <v>3</v>
      </c>
      <c r="M1330" s="3">
        <v>7929</v>
      </c>
      <c r="N1330" s="3">
        <v>23787</v>
      </c>
      <c r="O1330" s="3">
        <v>0</v>
      </c>
      <c r="P1330" s="3" t="s">
        <v>24</v>
      </c>
      <c r="Q1330" s="3">
        <v>1</v>
      </c>
      <c r="R1330" s="3" t="str">
        <f t="shared" si="20"/>
        <v>Cancelled</v>
      </c>
      <c r="S1330" s="3" t="s">
        <v>31</v>
      </c>
    </row>
    <row r="1331" spans="1:19" x14ac:dyDescent="0.35">
      <c r="A1331" s="3">
        <v>2330</v>
      </c>
      <c r="B1331" s="3" t="s">
        <v>460</v>
      </c>
      <c r="C1331" s="4">
        <v>45654</v>
      </c>
      <c r="D1331" s="3" t="s">
        <v>66</v>
      </c>
      <c r="E1331" s="4">
        <v>45697</v>
      </c>
      <c r="F1331" s="4">
        <v>45698</v>
      </c>
      <c r="G1331" s="3" t="s">
        <v>34</v>
      </c>
      <c r="H1331" s="3" t="s">
        <v>38</v>
      </c>
      <c r="I1331" s="3" t="s">
        <v>22</v>
      </c>
      <c r="J1331" s="3" t="s">
        <v>30</v>
      </c>
      <c r="K1331" s="3">
        <v>43</v>
      </c>
      <c r="L1331" s="3">
        <v>1</v>
      </c>
      <c r="M1331" s="3">
        <v>6167</v>
      </c>
      <c r="N1331" s="3">
        <v>6167</v>
      </c>
      <c r="O1331" s="3">
        <v>6167</v>
      </c>
      <c r="P1331" s="3" t="s">
        <v>24</v>
      </c>
      <c r="Q1331" s="3">
        <v>0</v>
      </c>
      <c r="R1331" s="3" t="str">
        <f t="shared" si="20"/>
        <v>Not Cancelled</v>
      </c>
      <c r="S1331" s="3" t="s">
        <v>31</v>
      </c>
    </row>
    <row r="1332" spans="1:19" x14ac:dyDescent="0.35">
      <c r="A1332" s="3">
        <v>2331</v>
      </c>
      <c r="B1332" s="3" t="s">
        <v>963</v>
      </c>
      <c r="C1332" s="4">
        <v>45601</v>
      </c>
      <c r="D1332" s="3" t="s">
        <v>209</v>
      </c>
      <c r="E1332" s="4">
        <v>45608</v>
      </c>
      <c r="F1332" s="4">
        <v>45612</v>
      </c>
      <c r="G1332" s="3" t="s">
        <v>42</v>
      </c>
      <c r="H1332" s="3" t="s">
        <v>60</v>
      </c>
      <c r="I1332" s="3" t="s">
        <v>22</v>
      </c>
      <c r="J1332" s="3" t="s">
        <v>46</v>
      </c>
      <c r="K1332" s="3">
        <v>7</v>
      </c>
      <c r="L1332" s="3">
        <v>4</v>
      </c>
      <c r="M1332" s="3">
        <v>4277</v>
      </c>
      <c r="N1332" s="3">
        <v>17108</v>
      </c>
      <c r="O1332" s="3">
        <v>0</v>
      </c>
      <c r="P1332" s="3" t="s">
        <v>24</v>
      </c>
      <c r="Q1332" s="3">
        <v>1</v>
      </c>
      <c r="R1332" s="3" t="str">
        <f t="shared" si="20"/>
        <v>Cancelled</v>
      </c>
      <c r="S1332" s="3" t="s">
        <v>31</v>
      </c>
    </row>
    <row r="1333" spans="1:19" x14ac:dyDescent="0.35">
      <c r="A1333" s="3">
        <v>2332</v>
      </c>
      <c r="B1333" s="3" t="s">
        <v>964</v>
      </c>
      <c r="C1333" s="4">
        <v>45524</v>
      </c>
      <c r="D1333" s="3" t="s">
        <v>88</v>
      </c>
      <c r="E1333" s="4">
        <v>45540</v>
      </c>
      <c r="F1333" s="4">
        <v>45541</v>
      </c>
      <c r="G1333" s="3" t="s">
        <v>34</v>
      </c>
      <c r="H1333" s="3" t="s">
        <v>29</v>
      </c>
      <c r="I1333" s="3" t="s">
        <v>22</v>
      </c>
      <c r="J1333" s="3" t="s">
        <v>46</v>
      </c>
      <c r="K1333" s="3">
        <v>16</v>
      </c>
      <c r="L1333" s="3">
        <v>1</v>
      </c>
      <c r="M1333" s="3">
        <v>3804</v>
      </c>
      <c r="N1333" s="3">
        <v>3804</v>
      </c>
      <c r="O1333" s="3">
        <v>3804</v>
      </c>
      <c r="P1333" s="3" t="s">
        <v>24</v>
      </c>
      <c r="Q1333" s="3">
        <v>0</v>
      </c>
      <c r="R1333" s="3" t="str">
        <f t="shared" si="20"/>
        <v>Not Cancelled</v>
      </c>
      <c r="S1333" s="3" t="s">
        <v>31</v>
      </c>
    </row>
    <row r="1334" spans="1:19" x14ac:dyDescent="0.35">
      <c r="A1334" s="3">
        <v>2333</v>
      </c>
      <c r="B1334" s="3" t="s">
        <v>965</v>
      </c>
      <c r="C1334" s="4">
        <v>45556</v>
      </c>
      <c r="D1334" s="3" t="s">
        <v>64</v>
      </c>
      <c r="E1334" s="4">
        <v>45601</v>
      </c>
      <c r="F1334" s="4">
        <v>45605</v>
      </c>
      <c r="G1334" s="3" t="s">
        <v>42</v>
      </c>
      <c r="H1334" s="3" t="s">
        <v>38</v>
      </c>
      <c r="I1334" s="3" t="s">
        <v>39</v>
      </c>
      <c r="J1334" s="3" t="s">
        <v>46</v>
      </c>
      <c r="K1334" s="3">
        <v>45</v>
      </c>
      <c r="L1334" s="3">
        <v>4</v>
      </c>
      <c r="M1334" s="3">
        <v>7359</v>
      </c>
      <c r="N1334" s="3">
        <v>29436</v>
      </c>
      <c r="O1334" s="3">
        <v>29436</v>
      </c>
      <c r="P1334" s="3" t="s">
        <v>51</v>
      </c>
      <c r="Q1334" s="3">
        <v>0</v>
      </c>
      <c r="R1334" s="3" t="str">
        <f t="shared" si="20"/>
        <v>Not Cancelled</v>
      </c>
      <c r="S1334" s="3" t="s">
        <v>25</v>
      </c>
    </row>
    <row r="1335" spans="1:19" x14ac:dyDescent="0.35">
      <c r="A1335" s="3">
        <v>2334</v>
      </c>
      <c r="B1335" s="3" t="s">
        <v>966</v>
      </c>
      <c r="C1335" s="4">
        <v>45635</v>
      </c>
      <c r="D1335" s="3" t="s">
        <v>96</v>
      </c>
      <c r="E1335" s="4">
        <v>45694</v>
      </c>
      <c r="F1335" s="4">
        <v>45695</v>
      </c>
      <c r="G1335" s="3" t="s">
        <v>34</v>
      </c>
      <c r="H1335" s="3" t="s">
        <v>35</v>
      </c>
      <c r="I1335" s="3" t="s">
        <v>39</v>
      </c>
      <c r="J1335" s="3" t="s">
        <v>46</v>
      </c>
      <c r="K1335" s="3">
        <v>59</v>
      </c>
      <c r="L1335" s="3">
        <v>1</v>
      </c>
      <c r="M1335" s="3">
        <v>3201</v>
      </c>
      <c r="N1335" s="3">
        <v>3201</v>
      </c>
      <c r="O1335" s="3">
        <v>0</v>
      </c>
      <c r="P1335" s="3" t="s">
        <v>24</v>
      </c>
      <c r="Q1335" s="3">
        <v>1</v>
      </c>
      <c r="R1335" s="3" t="str">
        <f t="shared" si="20"/>
        <v>Cancelled</v>
      </c>
      <c r="S1335" s="3" t="s">
        <v>31</v>
      </c>
    </row>
    <row r="1336" spans="1:19" x14ac:dyDescent="0.35">
      <c r="A1336" s="3">
        <v>2335</v>
      </c>
      <c r="B1336" s="3" t="s">
        <v>326</v>
      </c>
      <c r="C1336" s="4">
        <v>45328</v>
      </c>
      <c r="D1336" s="3" t="s">
        <v>148</v>
      </c>
      <c r="E1336" s="4">
        <v>45375</v>
      </c>
      <c r="F1336" s="4">
        <v>45378</v>
      </c>
      <c r="G1336" s="3" t="s">
        <v>20</v>
      </c>
      <c r="H1336" s="3" t="s">
        <v>29</v>
      </c>
      <c r="I1336" s="3" t="s">
        <v>39</v>
      </c>
      <c r="J1336" s="3" t="s">
        <v>30</v>
      </c>
      <c r="K1336" s="3">
        <v>47</v>
      </c>
      <c r="L1336" s="3">
        <v>3</v>
      </c>
      <c r="M1336" s="3">
        <v>5489</v>
      </c>
      <c r="N1336" s="3">
        <v>16467</v>
      </c>
      <c r="O1336" s="3">
        <v>0</v>
      </c>
      <c r="P1336" s="3" t="s">
        <v>24</v>
      </c>
      <c r="Q1336" s="3">
        <v>1</v>
      </c>
      <c r="R1336" s="3" t="str">
        <f t="shared" si="20"/>
        <v>Cancelled</v>
      </c>
      <c r="S1336" s="3" t="s">
        <v>31</v>
      </c>
    </row>
    <row r="1337" spans="1:19" x14ac:dyDescent="0.35">
      <c r="A1337" s="3">
        <v>2336</v>
      </c>
      <c r="B1337" s="3" t="s">
        <v>700</v>
      </c>
      <c r="C1337" s="4">
        <v>45596</v>
      </c>
      <c r="D1337" s="3" t="s">
        <v>94</v>
      </c>
      <c r="E1337" s="4">
        <v>45652</v>
      </c>
      <c r="F1337" s="4">
        <v>45655</v>
      </c>
      <c r="G1337" s="3" t="s">
        <v>20</v>
      </c>
      <c r="H1337" s="3" t="s">
        <v>35</v>
      </c>
      <c r="I1337" s="3" t="s">
        <v>39</v>
      </c>
      <c r="J1337" s="3" t="s">
        <v>23</v>
      </c>
      <c r="K1337" s="3">
        <v>56</v>
      </c>
      <c r="L1337" s="3">
        <v>3</v>
      </c>
      <c r="M1337" s="3">
        <v>2651</v>
      </c>
      <c r="N1337" s="3">
        <v>7953</v>
      </c>
      <c r="O1337" s="3">
        <v>0</v>
      </c>
      <c r="P1337" s="3" t="s">
        <v>24</v>
      </c>
      <c r="Q1337" s="3">
        <v>1</v>
      </c>
      <c r="R1337" s="3" t="str">
        <f t="shared" si="20"/>
        <v>Cancelled</v>
      </c>
      <c r="S1337" s="3" t="s">
        <v>25</v>
      </c>
    </row>
    <row r="1338" spans="1:19" x14ac:dyDescent="0.35">
      <c r="A1338" s="3">
        <v>2337</v>
      </c>
      <c r="B1338" s="3" t="s">
        <v>319</v>
      </c>
      <c r="C1338" s="4">
        <v>45332</v>
      </c>
      <c r="D1338" s="3" t="s">
        <v>73</v>
      </c>
      <c r="E1338" s="4">
        <v>45380</v>
      </c>
      <c r="F1338" s="4">
        <v>45381</v>
      </c>
      <c r="G1338" s="3" t="s">
        <v>34</v>
      </c>
      <c r="H1338" s="3" t="s">
        <v>21</v>
      </c>
      <c r="I1338" s="3" t="s">
        <v>39</v>
      </c>
      <c r="J1338" s="3" t="s">
        <v>30</v>
      </c>
      <c r="K1338" s="3">
        <v>48</v>
      </c>
      <c r="L1338" s="3">
        <v>1</v>
      </c>
      <c r="M1338" s="3">
        <v>3825</v>
      </c>
      <c r="N1338" s="3">
        <v>3825</v>
      </c>
      <c r="O1338" s="3">
        <v>3825</v>
      </c>
      <c r="P1338" s="3" t="s">
        <v>51</v>
      </c>
      <c r="Q1338" s="3">
        <v>0</v>
      </c>
      <c r="R1338" s="3" t="str">
        <f t="shared" si="20"/>
        <v>Not Cancelled</v>
      </c>
      <c r="S1338" s="3" t="s">
        <v>25</v>
      </c>
    </row>
    <row r="1339" spans="1:19" x14ac:dyDescent="0.35">
      <c r="A1339" s="3">
        <v>2338</v>
      </c>
      <c r="B1339" s="3" t="s">
        <v>967</v>
      </c>
      <c r="C1339" s="4">
        <v>45308</v>
      </c>
      <c r="D1339" s="3" t="s">
        <v>185</v>
      </c>
      <c r="E1339" s="4">
        <v>45335</v>
      </c>
      <c r="F1339" s="4">
        <v>45337</v>
      </c>
      <c r="G1339" s="3" t="s">
        <v>28</v>
      </c>
      <c r="H1339" s="3" t="s">
        <v>38</v>
      </c>
      <c r="I1339" s="3" t="s">
        <v>39</v>
      </c>
      <c r="J1339" s="3" t="s">
        <v>23</v>
      </c>
      <c r="K1339" s="3">
        <v>27</v>
      </c>
      <c r="L1339" s="3">
        <v>2</v>
      </c>
      <c r="M1339" s="3">
        <v>3801</v>
      </c>
      <c r="N1339" s="3">
        <v>7602</v>
      </c>
      <c r="O1339" s="3">
        <v>0</v>
      </c>
      <c r="P1339" s="3" t="s">
        <v>24</v>
      </c>
      <c r="Q1339" s="3">
        <v>1</v>
      </c>
      <c r="R1339" s="3" t="str">
        <f t="shared" si="20"/>
        <v>Cancelled</v>
      </c>
      <c r="S1339" s="3" t="s">
        <v>25</v>
      </c>
    </row>
    <row r="1340" spans="1:19" x14ac:dyDescent="0.35">
      <c r="A1340" s="3">
        <v>2339</v>
      </c>
      <c r="B1340" s="3" t="s">
        <v>968</v>
      </c>
      <c r="C1340" s="4">
        <v>45635</v>
      </c>
      <c r="D1340" s="3" t="s">
        <v>133</v>
      </c>
      <c r="E1340" s="4">
        <v>45688</v>
      </c>
      <c r="F1340" s="4">
        <v>45691</v>
      </c>
      <c r="G1340" s="3" t="s">
        <v>20</v>
      </c>
      <c r="H1340" s="3" t="s">
        <v>29</v>
      </c>
      <c r="I1340" s="3" t="s">
        <v>22</v>
      </c>
      <c r="J1340" s="3" t="s">
        <v>46</v>
      </c>
      <c r="K1340" s="3">
        <v>53</v>
      </c>
      <c r="L1340" s="3">
        <v>3</v>
      </c>
      <c r="M1340" s="3">
        <v>6222</v>
      </c>
      <c r="N1340" s="3">
        <v>18666</v>
      </c>
      <c r="O1340" s="3">
        <v>0</v>
      </c>
      <c r="P1340" s="3" t="s">
        <v>51</v>
      </c>
      <c r="Q1340" s="3">
        <v>1</v>
      </c>
      <c r="R1340" s="3" t="str">
        <f t="shared" si="20"/>
        <v>Cancelled</v>
      </c>
      <c r="S1340" s="3" t="s">
        <v>25</v>
      </c>
    </row>
    <row r="1341" spans="1:19" x14ac:dyDescent="0.35">
      <c r="A1341" s="3">
        <v>2340</v>
      </c>
      <c r="B1341" s="3" t="s">
        <v>494</v>
      </c>
      <c r="C1341" s="4">
        <v>45568</v>
      </c>
      <c r="D1341" s="3" t="s">
        <v>111</v>
      </c>
      <c r="E1341" s="4">
        <v>45591</v>
      </c>
      <c r="F1341" s="4">
        <v>45595</v>
      </c>
      <c r="G1341" s="3" t="s">
        <v>42</v>
      </c>
      <c r="H1341" s="3" t="s">
        <v>35</v>
      </c>
      <c r="I1341" s="3" t="s">
        <v>22</v>
      </c>
      <c r="J1341" s="3" t="s">
        <v>46</v>
      </c>
      <c r="K1341" s="3">
        <v>23</v>
      </c>
      <c r="L1341" s="3">
        <v>4</v>
      </c>
      <c r="M1341" s="3">
        <v>4211</v>
      </c>
      <c r="N1341" s="3">
        <v>16844</v>
      </c>
      <c r="O1341" s="3">
        <v>0</v>
      </c>
      <c r="P1341" s="3" t="s">
        <v>51</v>
      </c>
      <c r="Q1341" s="3">
        <v>1</v>
      </c>
      <c r="R1341" s="3" t="str">
        <f t="shared" si="20"/>
        <v>Cancelled</v>
      </c>
      <c r="S1341" s="3" t="s">
        <v>31</v>
      </c>
    </row>
    <row r="1342" spans="1:19" x14ac:dyDescent="0.35">
      <c r="A1342" s="3">
        <v>2341</v>
      </c>
      <c r="B1342" s="3" t="s">
        <v>99</v>
      </c>
      <c r="C1342" s="4">
        <v>45598</v>
      </c>
      <c r="D1342" s="3" t="s">
        <v>159</v>
      </c>
      <c r="E1342" s="4">
        <v>45622</v>
      </c>
      <c r="F1342" s="4">
        <v>45626</v>
      </c>
      <c r="G1342" s="3" t="s">
        <v>42</v>
      </c>
      <c r="H1342" s="3" t="s">
        <v>38</v>
      </c>
      <c r="I1342" s="3" t="s">
        <v>39</v>
      </c>
      <c r="J1342" s="3" t="s">
        <v>23</v>
      </c>
      <c r="K1342" s="3">
        <v>24</v>
      </c>
      <c r="L1342" s="3">
        <v>4</v>
      </c>
      <c r="M1342" s="3">
        <v>7627</v>
      </c>
      <c r="N1342" s="3">
        <v>30508</v>
      </c>
      <c r="O1342" s="3">
        <v>0</v>
      </c>
      <c r="P1342" s="3" t="s">
        <v>24</v>
      </c>
      <c r="Q1342" s="3">
        <v>1</v>
      </c>
      <c r="R1342" s="3" t="str">
        <f t="shared" si="20"/>
        <v>Cancelled</v>
      </c>
      <c r="S1342" s="3" t="s">
        <v>25</v>
      </c>
    </row>
    <row r="1343" spans="1:19" x14ac:dyDescent="0.35">
      <c r="A1343" s="3">
        <v>2342</v>
      </c>
      <c r="B1343" s="3" t="s">
        <v>969</v>
      </c>
      <c r="C1343" s="4">
        <v>45350</v>
      </c>
      <c r="D1343" s="3" t="s">
        <v>165</v>
      </c>
      <c r="E1343" s="4">
        <v>45359</v>
      </c>
      <c r="F1343" s="4">
        <v>45364</v>
      </c>
      <c r="G1343" s="3" t="s">
        <v>45</v>
      </c>
      <c r="H1343" s="3" t="s">
        <v>60</v>
      </c>
      <c r="I1343" s="3" t="s">
        <v>22</v>
      </c>
      <c r="J1343" s="3" t="s">
        <v>46</v>
      </c>
      <c r="K1343" s="3">
        <v>9</v>
      </c>
      <c r="L1343" s="3">
        <v>5</v>
      </c>
      <c r="M1343" s="3">
        <v>3306</v>
      </c>
      <c r="N1343" s="3">
        <v>16530</v>
      </c>
      <c r="O1343" s="3">
        <v>16530</v>
      </c>
      <c r="P1343" s="3" t="s">
        <v>51</v>
      </c>
      <c r="Q1343" s="3">
        <v>0</v>
      </c>
      <c r="R1343" s="3" t="str">
        <f t="shared" si="20"/>
        <v>Not Cancelled</v>
      </c>
      <c r="S1343" s="3" t="s">
        <v>31</v>
      </c>
    </row>
    <row r="1344" spans="1:19" x14ac:dyDescent="0.35">
      <c r="A1344" s="3">
        <v>2343</v>
      </c>
      <c r="B1344" s="3" t="s">
        <v>970</v>
      </c>
      <c r="C1344" s="4">
        <v>45474</v>
      </c>
      <c r="D1344" s="3" t="s">
        <v>91</v>
      </c>
      <c r="E1344" s="4">
        <v>45509</v>
      </c>
      <c r="F1344" s="4">
        <v>45513</v>
      </c>
      <c r="G1344" s="3" t="s">
        <v>42</v>
      </c>
      <c r="H1344" s="3" t="s">
        <v>35</v>
      </c>
      <c r="I1344" s="3" t="s">
        <v>22</v>
      </c>
      <c r="J1344" s="3" t="s">
        <v>30</v>
      </c>
      <c r="K1344" s="3">
        <v>35</v>
      </c>
      <c r="L1344" s="3">
        <v>4</v>
      </c>
      <c r="M1344" s="3">
        <v>6830</v>
      </c>
      <c r="N1344" s="3">
        <v>27320</v>
      </c>
      <c r="O1344" s="3">
        <v>27320</v>
      </c>
      <c r="P1344" s="3" t="s">
        <v>24</v>
      </c>
      <c r="Q1344" s="3">
        <v>0</v>
      </c>
      <c r="R1344" s="3" t="str">
        <f t="shared" si="20"/>
        <v>Not Cancelled</v>
      </c>
      <c r="S1344" s="3" t="s">
        <v>31</v>
      </c>
    </row>
    <row r="1345" spans="1:19" x14ac:dyDescent="0.35">
      <c r="A1345" s="3">
        <v>2344</v>
      </c>
      <c r="B1345" s="3" t="s">
        <v>638</v>
      </c>
      <c r="C1345" s="4">
        <v>45332</v>
      </c>
      <c r="D1345" s="3" t="s">
        <v>124</v>
      </c>
      <c r="E1345" s="4">
        <v>45383</v>
      </c>
      <c r="F1345" s="4">
        <v>45388</v>
      </c>
      <c r="G1345" s="3" t="s">
        <v>45</v>
      </c>
      <c r="H1345" s="3" t="s">
        <v>35</v>
      </c>
      <c r="I1345" s="3" t="s">
        <v>22</v>
      </c>
      <c r="J1345" s="3" t="s">
        <v>46</v>
      </c>
      <c r="K1345" s="3">
        <v>51</v>
      </c>
      <c r="L1345" s="3">
        <v>5</v>
      </c>
      <c r="M1345" s="3">
        <v>5222</v>
      </c>
      <c r="N1345" s="3">
        <v>26110</v>
      </c>
      <c r="O1345" s="3">
        <v>0</v>
      </c>
      <c r="P1345" s="3" t="s">
        <v>24</v>
      </c>
      <c r="Q1345" s="3">
        <v>1</v>
      </c>
      <c r="R1345" s="3" t="str">
        <f t="shared" si="20"/>
        <v>Cancelled</v>
      </c>
      <c r="S1345" s="3" t="s">
        <v>25</v>
      </c>
    </row>
    <row r="1346" spans="1:19" x14ac:dyDescent="0.35">
      <c r="A1346" s="3">
        <v>2345</v>
      </c>
      <c r="B1346" s="3" t="s">
        <v>675</v>
      </c>
      <c r="C1346" s="4">
        <v>45330</v>
      </c>
      <c r="D1346" s="3" t="s">
        <v>157</v>
      </c>
      <c r="E1346" s="4">
        <v>45350</v>
      </c>
      <c r="F1346" s="4">
        <v>45351</v>
      </c>
      <c r="G1346" s="3" t="s">
        <v>34</v>
      </c>
      <c r="H1346" s="3" t="s">
        <v>21</v>
      </c>
      <c r="I1346" s="3" t="s">
        <v>39</v>
      </c>
      <c r="J1346" s="3" t="s">
        <v>46</v>
      </c>
      <c r="K1346" s="3">
        <v>20</v>
      </c>
      <c r="L1346" s="3">
        <v>1</v>
      </c>
      <c r="M1346" s="3">
        <v>7156</v>
      </c>
      <c r="N1346" s="3">
        <v>7156</v>
      </c>
      <c r="O1346" s="3">
        <v>7156</v>
      </c>
      <c r="P1346" s="3" t="s">
        <v>24</v>
      </c>
      <c r="Q1346" s="3">
        <v>0</v>
      </c>
      <c r="R1346" s="3" t="str">
        <f t="shared" si="20"/>
        <v>Not Cancelled</v>
      </c>
      <c r="S1346" s="3" t="s">
        <v>25</v>
      </c>
    </row>
    <row r="1347" spans="1:19" x14ac:dyDescent="0.35">
      <c r="A1347" s="3">
        <v>2346</v>
      </c>
      <c r="B1347" s="3" t="s">
        <v>971</v>
      </c>
      <c r="C1347" s="4">
        <v>45483</v>
      </c>
      <c r="D1347" s="3" t="s">
        <v>105</v>
      </c>
      <c r="E1347" s="4">
        <v>45520</v>
      </c>
      <c r="F1347" s="4">
        <v>45521</v>
      </c>
      <c r="G1347" s="3" t="s">
        <v>34</v>
      </c>
      <c r="H1347" s="3" t="s">
        <v>60</v>
      </c>
      <c r="I1347" s="3" t="s">
        <v>39</v>
      </c>
      <c r="J1347" s="3" t="s">
        <v>46</v>
      </c>
      <c r="K1347" s="3">
        <v>37</v>
      </c>
      <c r="L1347" s="3">
        <v>1</v>
      </c>
      <c r="M1347" s="3">
        <v>3825</v>
      </c>
      <c r="N1347" s="3">
        <v>3825</v>
      </c>
      <c r="O1347" s="3">
        <v>0</v>
      </c>
      <c r="P1347" s="3" t="s">
        <v>24</v>
      </c>
      <c r="Q1347" s="3">
        <v>1</v>
      </c>
      <c r="R1347" s="3" t="str">
        <f t="shared" ref="R1347:R1410" si="21">IF(Q1347=0,"Not Cancelled","Cancelled")</f>
        <v>Cancelled</v>
      </c>
      <c r="S1347" s="3" t="s">
        <v>25</v>
      </c>
    </row>
    <row r="1348" spans="1:19" x14ac:dyDescent="0.35">
      <c r="A1348" s="3">
        <v>2347</v>
      </c>
      <c r="B1348" s="3" t="s">
        <v>972</v>
      </c>
      <c r="C1348" s="4">
        <v>45558</v>
      </c>
      <c r="D1348" s="3" t="s">
        <v>140</v>
      </c>
      <c r="E1348" s="4">
        <v>45600</v>
      </c>
      <c r="F1348" s="4">
        <v>45601</v>
      </c>
      <c r="G1348" s="3" t="s">
        <v>34</v>
      </c>
      <c r="H1348" s="3" t="s">
        <v>21</v>
      </c>
      <c r="I1348" s="3" t="s">
        <v>39</v>
      </c>
      <c r="J1348" s="3" t="s">
        <v>46</v>
      </c>
      <c r="K1348" s="3">
        <v>42</v>
      </c>
      <c r="L1348" s="3">
        <v>1</v>
      </c>
      <c r="M1348" s="3">
        <v>6633</v>
      </c>
      <c r="N1348" s="3">
        <v>6633</v>
      </c>
      <c r="O1348" s="3">
        <v>0</v>
      </c>
      <c r="P1348" s="3" t="s">
        <v>24</v>
      </c>
      <c r="Q1348" s="3">
        <v>1</v>
      </c>
      <c r="R1348" s="3" t="str">
        <f t="shared" si="21"/>
        <v>Cancelled</v>
      </c>
      <c r="S1348" s="3" t="s">
        <v>25</v>
      </c>
    </row>
    <row r="1349" spans="1:19" x14ac:dyDescent="0.35">
      <c r="A1349" s="3">
        <v>2348</v>
      </c>
      <c r="B1349" s="3" t="s">
        <v>282</v>
      </c>
      <c r="C1349" s="4">
        <v>45438</v>
      </c>
      <c r="D1349" s="3" t="s">
        <v>71</v>
      </c>
      <c r="E1349" s="4">
        <v>45455</v>
      </c>
      <c r="F1349" s="4">
        <v>45457</v>
      </c>
      <c r="G1349" s="3" t="s">
        <v>28</v>
      </c>
      <c r="H1349" s="3" t="s">
        <v>60</v>
      </c>
      <c r="I1349" s="3" t="s">
        <v>39</v>
      </c>
      <c r="J1349" s="3" t="s">
        <v>30</v>
      </c>
      <c r="K1349" s="3">
        <v>17</v>
      </c>
      <c r="L1349" s="3">
        <v>2</v>
      </c>
      <c r="M1349" s="3">
        <v>3659</v>
      </c>
      <c r="N1349" s="3">
        <v>7318</v>
      </c>
      <c r="O1349" s="3">
        <v>0</v>
      </c>
      <c r="P1349" s="3" t="s">
        <v>24</v>
      </c>
      <c r="Q1349" s="3">
        <v>1</v>
      </c>
      <c r="R1349" s="3" t="str">
        <f t="shared" si="21"/>
        <v>Cancelled</v>
      </c>
      <c r="S1349" s="3" t="s">
        <v>25</v>
      </c>
    </row>
    <row r="1350" spans="1:19" x14ac:dyDescent="0.35">
      <c r="A1350" s="3">
        <v>2349</v>
      </c>
      <c r="B1350" s="3" t="s">
        <v>973</v>
      </c>
      <c r="C1350" s="4">
        <v>45624</v>
      </c>
      <c r="D1350" s="3" t="s">
        <v>148</v>
      </c>
      <c r="E1350" s="4">
        <v>45671</v>
      </c>
      <c r="F1350" s="4">
        <v>45673</v>
      </c>
      <c r="G1350" s="3" t="s">
        <v>28</v>
      </c>
      <c r="H1350" s="3" t="s">
        <v>35</v>
      </c>
      <c r="I1350" s="3" t="s">
        <v>22</v>
      </c>
      <c r="J1350" s="3" t="s">
        <v>23</v>
      </c>
      <c r="K1350" s="3">
        <v>47</v>
      </c>
      <c r="L1350" s="3">
        <v>2</v>
      </c>
      <c r="M1350" s="3">
        <v>5369</v>
      </c>
      <c r="N1350" s="3">
        <v>10738</v>
      </c>
      <c r="O1350" s="3">
        <v>0</v>
      </c>
      <c r="P1350" s="3" t="s">
        <v>24</v>
      </c>
      <c r="Q1350" s="3">
        <v>1</v>
      </c>
      <c r="R1350" s="3" t="str">
        <f t="shared" si="21"/>
        <v>Cancelled</v>
      </c>
      <c r="S1350" s="3" t="s">
        <v>25</v>
      </c>
    </row>
    <row r="1351" spans="1:19" x14ac:dyDescent="0.35">
      <c r="A1351" s="3">
        <v>2350</v>
      </c>
      <c r="B1351" s="3" t="s">
        <v>432</v>
      </c>
      <c r="C1351" s="4">
        <v>45418</v>
      </c>
      <c r="D1351" s="3" t="s">
        <v>48</v>
      </c>
      <c r="E1351" s="4">
        <v>45449</v>
      </c>
      <c r="F1351" s="4">
        <v>45454</v>
      </c>
      <c r="G1351" s="3" t="s">
        <v>45</v>
      </c>
      <c r="H1351" s="3" t="s">
        <v>21</v>
      </c>
      <c r="I1351" s="3" t="s">
        <v>39</v>
      </c>
      <c r="J1351" s="3" t="s">
        <v>46</v>
      </c>
      <c r="K1351" s="3">
        <v>31</v>
      </c>
      <c r="L1351" s="3">
        <v>5</v>
      </c>
      <c r="M1351" s="3">
        <v>7016</v>
      </c>
      <c r="N1351" s="3">
        <v>35080</v>
      </c>
      <c r="O1351" s="3">
        <v>35080</v>
      </c>
      <c r="P1351" s="3" t="s">
        <v>51</v>
      </c>
      <c r="Q1351" s="3">
        <v>0</v>
      </c>
      <c r="R1351" s="3" t="str">
        <f t="shared" si="21"/>
        <v>Not Cancelled</v>
      </c>
      <c r="S1351" s="3" t="s">
        <v>31</v>
      </c>
    </row>
    <row r="1352" spans="1:19" x14ac:dyDescent="0.35">
      <c r="A1352" s="3">
        <v>2351</v>
      </c>
      <c r="B1352" s="3" t="s">
        <v>680</v>
      </c>
      <c r="C1352" s="4">
        <v>45337</v>
      </c>
      <c r="D1352" s="3" t="s">
        <v>113</v>
      </c>
      <c r="E1352" s="4">
        <v>45392</v>
      </c>
      <c r="F1352" s="4">
        <v>45396</v>
      </c>
      <c r="G1352" s="3" t="s">
        <v>42</v>
      </c>
      <c r="H1352" s="3" t="s">
        <v>38</v>
      </c>
      <c r="I1352" s="3" t="s">
        <v>39</v>
      </c>
      <c r="J1352" s="3" t="s">
        <v>46</v>
      </c>
      <c r="K1352" s="3">
        <v>55</v>
      </c>
      <c r="L1352" s="3">
        <v>4</v>
      </c>
      <c r="M1352" s="3">
        <v>3742</v>
      </c>
      <c r="N1352" s="3">
        <v>14968</v>
      </c>
      <c r="O1352" s="3">
        <v>14968</v>
      </c>
      <c r="P1352" s="3" t="s">
        <v>51</v>
      </c>
      <c r="Q1352" s="3">
        <v>0</v>
      </c>
      <c r="R1352" s="3" t="str">
        <f t="shared" si="21"/>
        <v>Not Cancelled</v>
      </c>
      <c r="S1352" s="3" t="s">
        <v>31</v>
      </c>
    </row>
    <row r="1353" spans="1:19" x14ac:dyDescent="0.35">
      <c r="A1353" s="3">
        <v>2352</v>
      </c>
      <c r="B1353" s="3" t="s">
        <v>568</v>
      </c>
      <c r="C1353" s="4">
        <v>45336</v>
      </c>
      <c r="D1353" s="3" t="s">
        <v>100</v>
      </c>
      <c r="E1353" s="4">
        <v>45393</v>
      </c>
      <c r="F1353" s="4">
        <v>45397</v>
      </c>
      <c r="G1353" s="3" t="s">
        <v>42</v>
      </c>
      <c r="H1353" s="3" t="s">
        <v>60</v>
      </c>
      <c r="I1353" s="3" t="s">
        <v>39</v>
      </c>
      <c r="J1353" s="3" t="s">
        <v>30</v>
      </c>
      <c r="K1353" s="3">
        <v>57</v>
      </c>
      <c r="L1353" s="3">
        <v>4</v>
      </c>
      <c r="M1353" s="3">
        <v>2847</v>
      </c>
      <c r="N1353" s="3">
        <v>11388</v>
      </c>
      <c r="O1353" s="3">
        <v>0</v>
      </c>
      <c r="P1353" s="3" t="s">
        <v>24</v>
      </c>
      <c r="Q1353" s="3">
        <v>1</v>
      </c>
      <c r="R1353" s="3" t="str">
        <f t="shared" si="21"/>
        <v>Cancelled</v>
      </c>
      <c r="S1353" s="3" t="s">
        <v>31</v>
      </c>
    </row>
    <row r="1354" spans="1:19" x14ac:dyDescent="0.35">
      <c r="A1354" s="3">
        <v>2353</v>
      </c>
      <c r="B1354" s="3" t="s">
        <v>841</v>
      </c>
      <c r="C1354" s="4">
        <v>45292</v>
      </c>
      <c r="D1354" s="3" t="s">
        <v>59</v>
      </c>
      <c r="E1354" s="4">
        <v>45300</v>
      </c>
      <c r="F1354" s="4">
        <v>45301</v>
      </c>
      <c r="G1354" s="3" t="s">
        <v>34</v>
      </c>
      <c r="H1354" s="3" t="s">
        <v>35</v>
      </c>
      <c r="I1354" s="3" t="s">
        <v>22</v>
      </c>
      <c r="J1354" s="3" t="s">
        <v>30</v>
      </c>
      <c r="K1354" s="3">
        <v>8</v>
      </c>
      <c r="L1354" s="3">
        <v>1</v>
      </c>
      <c r="M1354" s="3">
        <v>4331</v>
      </c>
      <c r="N1354" s="3">
        <v>4331</v>
      </c>
      <c r="O1354" s="3">
        <v>0</v>
      </c>
      <c r="P1354" s="3" t="s">
        <v>24</v>
      </c>
      <c r="Q1354" s="3">
        <v>1</v>
      </c>
      <c r="R1354" s="3" t="str">
        <f t="shared" si="21"/>
        <v>Cancelled</v>
      </c>
      <c r="S1354" s="3" t="s">
        <v>31</v>
      </c>
    </row>
    <row r="1355" spans="1:19" x14ac:dyDescent="0.35">
      <c r="A1355" s="3">
        <v>2354</v>
      </c>
      <c r="B1355" s="3" t="s">
        <v>214</v>
      </c>
      <c r="C1355" s="4">
        <v>45459</v>
      </c>
      <c r="D1355" s="3" t="s">
        <v>277</v>
      </c>
      <c r="E1355" s="4">
        <v>45474</v>
      </c>
      <c r="F1355" s="4">
        <v>45477</v>
      </c>
      <c r="G1355" s="3" t="s">
        <v>20</v>
      </c>
      <c r="H1355" s="3" t="s">
        <v>29</v>
      </c>
      <c r="I1355" s="3" t="s">
        <v>22</v>
      </c>
      <c r="J1355" s="3" t="s">
        <v>30</v>
      </c>
      <c r="K1355" s="3">
        <v>15</v>
      </c>
      <c r="L1355" s="3">
        <v>3</v>
      </c>
      <c r="M1355" s="3">
        <v>4069</v>
      </c>
      <c r="N1355" s="3">
        <v>12207</v>
      </c>
      <c r="O1355" s="3">
        <v>0</v>
      </c>
      <c r="P1355" s="3" t="s">
        <v>51</v>
      </c>
      <c r="Q1355" s="3">
        <v>1</v>
      </c>
      <c r="R1355" s="3" t="str">
        <f t="shared" si="21"/>
        <v>Cancelled</v>
      </c>
      <c r="S1355" s="3" t="s">
        <v>25</v>
      </c>
    </row>
    <row r="1356" spans="1:19" x14ac:dyDescent="0.35">
      <c r="A1356" s="3">
        <v>2355</v>
      </c>
      <c r="B1356" s="3" t="s">
        <v>633</v>
      </c>
      <c r="C1356" s="4">
        <v>45399</v>
      </c>
      <c r="D1356" s="3" t="s">
        <v>48</v>
      </c>
      <c r="E1356" s="4">
        <v>45430</v>
      </c>
      <c r="F1356" s="4">
        <v>45432</v>
      </c>
      <c r="G1356" s="3" t="s">
        <v>28</v>
      </c>
      <c r="H1356" s="3" t="s">
        <v>60</v>
      </c>
      <c r="I1356" s="3" t="s">
        <v>22</v>
      </c>
      <c r="J1356" s="3" t="s">
        <v>46</v>
      </c>
      <c r="K1356" s="3">
        <v>31</v>
      </c>
      <c r="L1356" s="3">
        <v>2</v>
      </c>
      <c r="M1356" s="3">
        <v>6435</v>
      </c>
      <c r="N1356" s="3">
        <v>12870</v>
      </c>
      <c r="O1356" s="3">
        <v>12870</v>
      </c>
      <c r="P1356" s="3" t="s">
        <v>24</v>
      </c>
      <c r="Q1356" s="3">
        <v>0</v>
      </c>
      <c r="R1356" s="3" t="str">
        <f t="shared" si="21"/>
        <v>Not Cancelled</v>
      </c>
      <c r="S1356" s="3" t="s">
        <v>25</v>
      </c>
    </row>
    <row r="1357" spans="1:19" x14ac:dyDescent="0.35">
      <c r="A1357" s="3">
        <v>2356</v>
      </c>
      <c r="B1357" s="3" t="s">
        <v>400</v>
      </c>
      <c r="C1357" s="4">
        <v>45310</v>
      </c>
      <c r="D1357" s="3" t="s">
        <v>133</v>
      </c>
      <c r="E1357" s="4">
        <v>45363</v>
      </c>
      <c r="F1357" s="4">
        <v>45365</v>
      </c>
      <c r="G1357" s="3" t="s">
        <v>28</v>
      </c>
      <c r="H1357" s="3" t="s">
        <v>60</v>
      </c>
      <c r="I1357" s="3" t="s">
        <v>22</v>
      </c>
      <c r="J1357" s="3" t="s">
        <v>23</v>
      </c>
      <c r="K1357" s="3">
        <v>53</v>
      </c>
      <c r="L1357" s="3">
        <v>2</v>
      </c>
      <c r="M1357" s="3">
        <v>4418</v>
      </c>
      <c r="N1357" s="3">
        <v>8836</v>
      </c>
      <c r="O1357" s="3">
        <v>8836</v>
      </c>
      <c r="P1357" s="3" t="s">
        <v>51</v>
      </c>
      <c r="Q1357" s="3">
        <v>0</v>
      </c>
      <c r="R1357" s="3" t="str">
        <f t="shared" si="21"/>
        <v>Not Cancelled</v>
      </c>
      <c r="S1357" s="3" t="s">
        <v>31</v>
      </c>
    </row>
    <row r="1358" spans="1:19" x14ac:dyDescent="0.35">
      <c r="A1358" s="3">
        <v>2357</v>
      </c>
      <c r="B1358" s="3" t="s">
        <v>974</v>
      </c>
      <c r="C1358" s="4">
        <v>45623</v>
      </c>
      <c r="D1358" s="3" t="s">
        <v>50</v>
      </c>
      <c r="E1358" s="4">
        <v>45653</v>
      </c>
      <c r="F1358" s="4">
        <v>45654</v>
      </c>
      <c r="G1358" s="3" t="s">
        <v>34</v>
      </c>
      <c r="H1358" s="3" t="s">
        <v>38</v>
      </c>
      <c r="I1358" s="3" t="s">
        <v>22</v>
      </c>
      <c r="J1358" s="3" t="s">
        <v>30</v>
      </c>
      <c r="K1358" s="3">
        <v>30</v>
      </c>
      <c r="L1358" s="3">
        <v>1</v>
      </c>
      <c r="M1358" s="3">
        <v>8916</v>
      </c>
      <c r="N1358" s="3">
        <v>8916</v>
      </c>
      <c r="O1358" s="3">
        <v>8916</v>
      </c>
      <c r="P1358" s="3" t="s">
        <v>51</v>
      </c>
      <c r="Q1358" s="3">
        <v>0</v>
      </c>
      <c r="R1358" s="3" t="str">
        <f t="shared" si="21"/>
        <v>Not Cancelled</v>
      </c>
      <c r="S1358" s="3" t="s">
        <v>31</v>
      </c>
    </row>
    <row r="1359" spans="1:19" x14ac:dyDescent="0.35">
      <c r="A1359" s="3">
        <v>2358</v>
      </c>
      <c r="B1359" s="3" t="s">
        <v>975</v>
      </c>
      <c r="C1359" s="4">
        <v>45363</v>
      </c>
      <c r="D1359" s="3" t="s">
        <v>41</v>
      </c>
      <c r="E1359" s="4">
        <v>45409</v>
      </c>
      <c r="F1359" s="4">
        <v>45411</v>
      </c>
      <c r="G1359" s="3" t="s">
        <v>28</v>
      </c>
      <c r="H1359" s="3" t="s">
        <v>60</v>
      </c>
      <c r="I1359" s="3" t="s">
        <v>39</v>
      </c>
      <c r="J1359" s="3" t="s">
        <v>30</v>
      </c>
      <c r="K1359" s="3">
        <v>46</v>
      </c>
      <c r="L1359" s="3">
        <v>2</v>
      </c>
      <c r="M1359" s="3">
        <v>5732</v>
      </c>
      <c r="N1359" s="3">
        <v>11464</v>
      </c>
      <c r="O1359" s="3">
        <v>0</v>
      </c>
      <c r="P1359" s="3" t="s">
        <v>24</v>
      </c>
      <c r="Q1359" s="3">
        <v>1</v>
      </c>
      <c r="R1359" s="3" t="str">
        <f t="shared" si="21"/>
        <v>Cancelled</v>
      </c>
      <c r="S1359" s="3" t="s">
        <v>31</v>
      </c>
    </row>
    <row r="1360" spans="1:19" x14ac:dyDescent="0.35">
      <c r="A1360" s="3">
        <v>2359</v>
      </c>
      <c r="B1360" s="3" t="s">
        <v>174</v>
      </c>
      <c r="C1360" s="4">
        <v>45400</v>
      </c>
      <c r="D1360" s="3" t="s">
        <v>157</v>
      </c>
      <c r="E1360" s="4">
        <v>45420</v>
      </c>
      <c r="F1360" s="4">
        <v>45421</v>
      </c>
      <c r="G1360" s="3" t="s">
        <v>34</v>
      </c>
      <c r="H1360" s="3" t="s">
        <v>60</v>
      </c>
      <c r="I1360" s="3" t="s">
        <v>22</v>
      </c>
      <c r="J1360" s="3" t="s">
        <v>30</v>
      </c>
      <c r="K1360" s="3">
        <v>20</v>
      </c>
      <c r="L1360" s="3">
        <v>1</v>
      </c>
      <c r="M1360" s="3">
        <v>6258</v>
      </c>
      <c r="N1360" s="3">
        <v>6258</v>
      </c>
      <c r="O1360" s="3">
        <v>6258</v>
      </c>
      <c r="P1360" s="3" t="s">
        <v>24</v>
      </c>
      <c r="Q1360" s="3">
        <v>0</v>
      </c>
      <c r="R1360" s="3" t="str">
        <f t="shared" si="21"/>
        <v>Not Cancelled</v>
      </c>
      <c r="S1360" s="3" t="s">
        <v>25</v>
      </c>
    </row>
    <row r="1361" spans="1:19" x14ac:dyDescent="0.35">
      <c r="A1361" s="3">
        <v>2360</v>
      </c>
      <c r="B1361" s="3" t="s">
        <v>976</v>
      </c>
      <c r="C1361" s="4">
        <v>45559</v>
      </c>
      <c r="D1361" s="3" t="s">
        <v>153</v>
      </c>
      <c r="E1361" s="4">
        <v>45598</v>
      </c>
      <c r="F1361" s="4">
        <v>45603</v>
      </c>
      <c r="G1361" s="3" t="s">
        <v>45</v>
      </c>
      <c r="H1361" s="3" t="s">
        <v>38</v>
      </c>
      <c r="I1361" s="3" t="s">
        <v>22</v>
      </c>
      <c r="J1361" s="3" t="s">
        <v>23</v>
      </c>
      <c r="K1361" s="3">
        <v>39</v>
      </c>
      <c r="L1361" s="3">
        <v>5</v>
      </c>
      <c r="M1361" s="3">
        <v>8497</v>
      </c>
      <c r="N1361" s="3">
        <v>42485</v>
      </c>
      <c r="O1361" s="3">
        <v>0</v>
      </c>
      <c r="P1361" s="3" t="s">
        <v>51</v>
      </c>
      <c r="Q1361" s="3">
        <v>1</v>
      </c>
      <c r="R1361" s="3" t="str">
        <f t="shared" si="21"/>
        <v>Cancelled</v>
      </c>
      <c r="S1361" s="3" t="s">
        <v>25</v>
      </c>
    </row>
    <row r="1362" spans="1:19" x14ac:dyDescent="0.35">
      <c r="A1362" s="3">
        <v>2361</v>
      </c>
      <c r="B1362" s="3" t="s">
        <v>408</v>
      </c>
      <c r="C1362" s="4">
        <v>45531</v>
      </c>
      <c r="D1362" s="3" t="s">
        <v>133</v>
      </c>
      <c r="E1362" s="4">
        <v>45584</v>
      </c>
      <c r="F1362" s="4">
        <v>45588</v>
      </c>
      <c r="G1362" s="3" t="s">
        <v>42</v>
      </c>
      <c r="H1362" s="3" t="s">
        <v>38</v>
      </c>
      <c r="I1362" s="3" t="s">
        <v>39</v>
      </c>
      <c r="J1362" s="3" t="s">
        <v>46</v>
      </c>
      <c r="K1362" s="3">
        <v>53</v>
      </c>
      <c r="L1362" s="3">
        <v>4</v>
      </c>
      <c r="M1362" s="3">
        <v>4855</v>
      </c>
      <c r="N1362" s="3">
        <v>19420</v>
      </c>
      <c r="O1362" s="3">
        <v>0</v>
      </c>
      <c r="P1362" s="3" t="s">
        <v>51</v>
      </c>
      <c r="Q1362" s="3">
        <v>1</v>
      </c>
      <c r="R1362" s="3" t="str">
        <f t="shared" si="21"/>
        <v>Cancelled</v>
      </c>
      <c r="S1362" s="3" t="s">
        <v>25</v>
      </c>
    </row>
    <row r="1363" spans="1:19" x14ac:dyDescent="0.35">
      <c r="A1363" s="3">
        <v>2362</v>
      </c>
      <c r="B1363" s="3" t="s">
        <v>977</v>
      </c>
      <c r="C1363" s="4">
        <v>45592</v>
      </c>
      <c r="D1363" s="3" t="s">
        <v>113</v>
      </c>
      <c r="E1363" s="4">
        <v>45647</v>
      </c>
      <c r="F1363" s="4">
        <v>45650</v>
      </c>
      <c r="G1363" s="3" t="s">
        <v>20</v>
      </c>
      <c r="H1363" s="3" t="s">
        <v>21</v>
      </c>
      <c r="I1363" s="3" t="s">
        <v>39</v>
      </c>
      <c r="J1363" s="3" t="s">
        <v>46</v>
      </c>
      <c r="K1363" s="3">
        <v>55</v>
      </c>
      <c r="L1363" s="3">
        <v>3</v>
      </c>
      <c r="M1363" s="3">
        <v>3897</v>
      </c>
      <c r="N1363" s="3">
        <v>11691</v>
      </c>
      <c r="O1363" s="3">
        <v>0</v>
      </c>
      <c r="P1363" s="3" t="s">
        <v>24</v>
      </c>
      <c r="Q1363" s="3">
        <v>1</v>
      </c>
      <c r="R1363" s="3" t="str">
        <f t="shared" si="21"/>
        <v>Cancelled</v>
      </c>
      <c r="S1363" s="3" t="s">
        <v>31</v>
      </c>
    </row>
    <row r="1364" spans="1:19" x14ac:dyDescent="0.35">
      <c r="A1364" s="3">
        <v>2363</v>
      </c>
      <c r="B1364" s="3" t="s">
        <v>978</v>
      </c>
      <c r="C1364" s="4">
        <v>45381</v>
      </c>
      <c r="D1364" s="3" t="s">
        <v>102</v>
      </c>
      <c r="E1364" s="4">
        <v>45393</v>
      </c>
      <c r="F1364" s="4">
        <v>45397</v>
      </c>
      <c r="G1364" s="3" t="s">
        <v>42</v>
      </c>
      <c r="H1364" s="3" t="s">
        <v>35</v>
      </c>
      <c r="I1364" s="3" t="s">
        <v>39</v>
      </c>
      <c r="J1364" s="3" t="s">
        <v>46</v>
      </c>
      <c r="K1364" s="3">
        <v>12</v>
      </c>
      <c r="L1364" s="3">
        <v>4</v>
      </c>
      <c r="M1364" s="3">
        <v>5280</v>
      </c>
      <c r="N1364" s="3">
        <v>21120</v>
      </c>
      <c r="O1364" s="3">
        <v>0</v>
      </c>
      <c r="P1364" s="3" t="s">
        <v>24</v>
      </c>
      <c r="Q1364" s="3">
        <v>1</v>
      </c>
      <c r="R1364" s="3" t="str">
        <f t="shared" si="21"/>
        <v>Cancelled</v>
      </c>
      <c r="S1364" s="3" t="s">
        <v>31</v>
      </c>
    </row>
    <row r="1365" spans="1:19" x14ac:dyDescent="0.35">
      <c r="A1365" s="3">
        <v>2364</v>
      </c>
      <c r="B1365" s="3" t="s">
        <v>195</v>
      </c>
      <c r="C1365" s="4">
        <v>45394</v>
      </c>
      <c r="D1365" s="3" t="s">
        <v>211</v>
      </c>
      <c r="E1365" s="4">
        <v>45443</v>
      </c>
      <c r="F1365" s="4">
        <v>45447</v>
      </c>
      <c r="G1365" s="3" t="s">
        <v>42</v>
      </c>
      <c r="H1365" s="3" t="s">
        <v>35</v>
      </c>
      <c r="I1365" s="3" t="s">
        <v>22</v>
      </c>
      <c r="J1365" s="3" t="s">
        <v>30</v>
      </c>
      <c r="K1365" s="3">
        <v>49</v>
      </c>
      <c r="L1365" s="3">
        <v>4</v>
      </c>
      <c r="M1365" s="3">
        <v>4324</v>
      </c>
      <c r="N1365" s="3">
        <v>17296</v>
      </c>
      <c r="O1365" s="3">
        <v>0</v>
      </c>
      <c r="P1365" s="3" t="s">
        <v>51</v>
      </c>
      <c r="Q1365" s="3">
        <v>1</v>
      </c>
      <c r="R1365" s="3" t="str">
        <f t="shared" si="21"/>
        <v>Cancelled</v>
      </c>
      <c r="S1365" s="3" t="s">
        <v>25</v>
      </c>
    </row>
    <row r="1366" spans="1:19" x14ac:dyDescent="0.35">
      <c r="A1366" s="3">
        <v>2365</v>
      </c>
      <c r="B1366" s="3" t="s">
        <v>616</v>
      </c>
      <c r="C1366" s="4">
        <v>45541</v>
      </c>
      <c r="D1366" s="3" t="s">
        <v>71</v>
      </c>
      <c r="E1366" s="4">
        <v>45558</v>
      </c>
      <c r="F1366" s="4">
        <v>45563</v>
      </c>
      <c r="G1366" s="3" t="s">
        <v>45</v>
      </c>
      <c r="H1366" s="3" t="s">
        <v>21</v>
      </c>
      <c r="I1366" s="3" t="s">
        <v>39</v>
      </c>
      <c r="J1366" s="3" t="s">
        <v>46</v>
      </c>
      <c r="K1366" s="3">
        <v>17</v>
      </c>
      <c r="L1366" s="3">
        <v>5</v>
      </c>
      <c r="M1366" s="3">
        <v>4991</v>
      </c>
      <c r="N1366" s="3">
        <v>24955</v>
      </c>
      <c r="O1366" s="3">
        <v>24955</v>
      </c>
      <c r="P1366" s="3" t="s">
        <v>51</v>
      </c>
      <c r="Q1366" s="3">
        <v>0</v>
      </c>
      <c r="R1366" s="3" t="str">
        <f t="shared" si="21"/>
        <v>Not Cancelled</v>
      </c>
      <c r="S1366" s="3" t="s">
        <v>25</v>
      </c>
    </row>
    <row r="1367" spans="1:19" x14ac:dyDescent="0.35">
      <c r="A1367" s="3">
        <v>2366</v>
      </c>
      <c r="B1367" s="3" t="s">
        <v>979</v>
      </c>
      <c r="C1367" s="4">
        <v>45299</v>
      </c>
      <c r="D1367" s="3" t="s">
        <v>140</v>
      </c>
      <c r="E1367" s="4">
        <v>45341</v>
      </c>
      <c r="F1367" s="4">
        <v>45343</v>
      </c>
      <c r="G1367" s="3" t="s">
        <v>28</v>
      </c>
      <c r="H1367" s="3" t="s">
        <v>35</v>
      </c>
      <c r="I1367" s="3" t="s">
        <v>22</v>
      </c>
      <c r="J1367" s="3" t="s">
        <v>30</v>
      </c>
      <c r="K1367" s="3">
        <v>42</v>
      </c>
      <c r="L1367" s="3">
        <v>2</v>
      </c>
      <c r="M1367" s="3">
        <v>6560</v>
      </c>
      <c r="N1367" s="3">
        <v>13120</v>
      </c>
      <c r="O1367" s="3">
        <v>13120</v>
      </c>
      <c r="P1367" s="3" t="s">
        <v>51</v>
      </c>
      <c r="Q1367" s="3">
        <v>0</v>
      </c>
      <c r="R1367" s="3" t="str">
        <f t="shared" si="21"/>
        <v>Not Cancelled</v>
      </c>
      <c r="S1367" s="3" t="s">
        <v>31</v>
      </c>
    </row>
    <row r="1368" spans="1:19" x14ac:dyDescent="0.35">
      <c r="A1368" s="3">
        <v>2367</v>
      </c>
      <c r="B1368" s="3" t="s">
        <v>980</v>
      </c>
      <c r="C1368" s="4">
        <v>45444</v>
      </c>
      <c r="D1368" s="3" t="s">
        <v>50</v>
      </c>
      <c r="E1368" s="4">
        <v>45474</v>
      </c>
      <c r="F1368" s="4">
        <v>45477</v>
      </c>
      <c r="G1368" s="3" t="s">
        <v>20</v>
      </c>
      <c r="H1368" s="3" t="s">
        <v>60</v>
      </c>
      <c r="I1368" s="3" t="s">
        <v>39</v>
      </c>
      <c r="J1368" s="3" t="s">
        <v>23</v>
      </c>
      <c r="K1368" s="3">
        <v>30</v>
      </c>
      <c r="L1368" s="3">
        <v>3</v>
      </c>
      <c r="M1368" s="3">
        <v>7824</v>
      </c>
      <c r="N1368" s="3">
        <v>23472</v>
      </c>
      <c r="O1368" s="3">
        <v>0</v>
      </c>
      <c r="P1368" s="3" t="s">
        <v>24</v>
      </c>
      <c r="Q1368" s="3">
        <v>1</v>
      </c>
      <c r="R1368" s="3" t="str">
        <f t="shared" si="21"/>
        <v>Cancelled</v>
      </c>
      <c r="S1368" s="3" t="s">
        <v>31</v>
      </c>
    </row>
    <row r="1369" spans="1:19" x14ac:dyDescent="0.35">
      <c r="A1369" s="3">
        <v>2368</v>
      </c>
      <c r="B1369" s="3" t="s">
        <v>981</v>
      </c>
      <c r="C1369" s="4">
        <v>45638</v>
      </c>
      <c r="D1369" s="3" t="s">
        <v>57</v>
      </c>
      <c r="E1369" s="4">
        <v>45667</v>
      </c>
      <c r="F1369" s="4">
        <v>45669</v>
      </c>
      <c r="G1369" s="3" t="s">
        <v>28</v>
      </c>
      <c r="H1369" s="3" t="s">
        <v>21</v>
      </c>
      <c r="I1369" s="3" t="s">
        <v>22</v>
      </c>
      <c r="J1369" s="3" t="s">
        <v>23</v>
      </c>
      <c r="K1369" s="3">
        <v>29</v>
      </c>
      <c r="L1369" s="3">
        <v>2</v>
      </c>
      <c r="M1369" s="3">
        <v>2904</v>
      </c>
      <c r="N1369" s="3">
        <v>5808</v>
      </c>
      <c r="O1369" s="3">
        <v>0</v>
      </c>
      <c r="P1369" s="3" t="s">
        <v>24</v>
      </c>
      <c r="Q1369" s="3">
        <v>1</v>
      </c>
      <c r="R1369" s="3" t="str">
        <f t="shared" si="21"/>
        <v>Cancelled</v>
      </c>
      <c r="S1369" s="3" t="s">
        <v>25</v>
      </c>
    </row>
    <row r="1370" spans="1:19" x14ac:dyDescent="0.35">
      <c r="A1370" s="3">
        <v>2369</v>
      </c>
      <c r="B1370" s="3" t="s">
        <v>402</v>
      </c>
      <c r="C1370" s="4">
        <v>45465</v>
      </c>
      <c r="D1370" s="3" t="s">
        <v>109</v>
      </c>
      <c r="E1370" s="4">
        <v>45484</v>
      </c>
      <c r="F1370" s="4">
        <v>45488</v>
      </c>
      <c r="G1370" s="3" t="s">
        <v>42</v>
      </c>
      <c r="H1370" s="3" t="s">
        <v>21</v>
      </c>
      <c r="I1370" s="3" t="s">
        <v>22</v>
      </c>
      <c r="J1370" s="3" t="s">
        <v>46</v>
      </c>
      <c r="K1370" s="3">
        <v>19</v>
      </c>
      <c r="L1370" s="3">
        <v>4</v>
      </c>
      <c r="M1370" s="3">
        <v>4221</v>
      </c>
      <c r="N1370" s="3">
        <v>16884</v>
      </c>
      <c r="O1370" s="3">
        <v>0</v>
      </c>
      <c r="P1370" s="3" t="s">
        <v>24</v>
      </c>
      <c r="Q1370" s="3">
        <v>1</v>
      </c>
      <c r="R1370" s="3" t="str">
        <f t="shared" si="21"/>
        <v>Cancelled</v>
      </c>
      <c r="S1370" s="3" t="s">
        <v>31</v>
      </c>
    </row>
    <row r="1371" spans="1:19" x14ac:dyDescent="0.35">
      <c r="A1371" s="3">
        <v>2370</v>
      </c>
      <c r="B1371" s="3" t="s">
        <v>650</v>
      </c>
      <c r="C1371" s="4">
        <v>45634</v>
      </c>
      <c r="D1371" s="3" t="s">
        <v>41</v>
      </c>
      <c r="E1371" s="4">
        <v>45680</v>
      </c>
      <c r="F1371" s="4">
        <v>45681</v>
      </c>
      <c r="G1371" s="3" t="s">
        <v>34</v>
      </c>
      <c r="H1371" s="3" t="s">
        <v>35</v>
      </c>
      <c r="I1371" s="3" t="s">
        <v>22</v>
      </c>
      <c r="J1371" s="3" t="s">
        <v>30</v>
      </c>
      <c r="K1371" s="3">
        <v>46</v>
      </c>
      <c r="L1371" s="3">
        <v>1</v>
      </c>
      <c r="M1371" s="3">
        <v>7816</v>
      </c>
      <c r="N1371" s="3">
        <v>7816</v>
      </c>
      <c r="O1371" s="3">
        <v>7816</v>
      </c>
      <c r="P1371" s="3" t="s">
        <v>51</v>
      </c>
      <c r="Q1371" s="3">
        <v>0</v>
      </c>
      <c r="R1371" s="3" t="str">
        <f t="shared" si="21"/>
        <v>Not Cancelled</v>
      </c>
      <c r="S1371" s="3" t="s">
        <v>25</v>
      </c>
    </row>
    <row r="1372" spans="1:19" x14ac:dyDescent="0.35">
      <c r="A1372" s="3">
        <v>2371</v>
      </c>
      <c r="B1372" s="3" t="s">
        <v>982</v>
      </c>
      <c r="C1372" s="4">
        <v>45449</v>
      </c>
      <c r="D1372" s="3" t="s">
        <v>75</v>
      </c>
      <c r="E1372" s="4">
        <v>45460</v>
      </c>
      <c r="F1372" s="4">
        <v>45464</v>
      </c>
      <c r="G1372" s="3" t="s">
        <v>42</v>
      </c>
      <c r="H1372" s="3" t="s">
        <v>29</v>
      </c>
      <c r="I1372" s="3" t="s">
        <v>22</v>
      </c>
      <c r="J1372" s="3" t="s">
        <v>30</v>
      </c>
      <c r="K1372" s="3">
        <v>11</v>
      </c>
      <c r="L1372" s="3">
        <v>4</v>
      </c>
      <c r="M1372" s="3">
        <v>5325</v>
      </c>
      <c r="N1372" s="3">
        <v>21300</v>
      </c>
      <c r="O1372" s="3">
        <v>21300</v>
      </c>
      <c r="P1372" s="3" t="s">
        <v>51</v>
      </c>
      <c r="Q1372" s="3">
        <v>0</v>
      </c>
      <c r="R1372" s="3" t="str">
        <f t="shared" si="21"/>
        <v>Not Cancelled</v>
      </c>
      <c r="S1372" s="3" t="s">
        <v>25</v>
      </c>
    </row>
    <row r="1373" spans="1:19" x14ac:dyDescent="0.35">
      <c r="A1373" s="3">
        <v>2372</v>
      </c>
      <c r="B1373" s="3" t="s">
        <v>983</v>
      </c>
      <c r="C1373" s="4">
        <v>45506</v>
      </c>
      <c r="D1373" s="3" t="s">
        <v>128</v>
      </c>
      <c r="E1373" s="4">
        <v>45540</v>
      </c>
      <c r="F1373" s="4">
        <v>45542</v>
      </c>
      <c r="G1373" s="3" t="s">
        <v>28</v>
      </c>
      <c r="H1373" s="3" t="s">
        <v>35</v>
      </c>
      <c r="I1373" s="3" t="s">
        <v>39</v>
      </c>
      <c r="J1373" s="3" t="s">
        <v>46</v>
      </c>
      <c r="K1373" s="3">
        <v>34</v>
      </c>
      <c r="L1373" s="3">
        <v>2</v>
      </c>
      <c r="M1373" s="3">
        <v>6345</v>
      </c>
      <c r="N1373" s="3">
        <v>12690</v>
      </c>
      <c r="O1373" s="3">
        <v>12690</v>
      </c>
      <c r="P1373" s="3" t="s">
        <v>24</v>
      </c>
      <c r="Q1373" s="3">
        <v>0</v>
      </c>
      <c r="R1373" s="3" t="str">
        <f t="shared" si="21"/>
        <v>Not Cancelled</v>
      </c>
      <c r="S1373" s="3" t="s">
        <v>31</v>
      </c>
    </row>
    <row r="1374" spans="1:19" x14ac:dyDescent="0.35">
      <c r="A1374" s="3">
        <v>2373</v>
      </c>
      <c r="B1374" s="3" t="s">
        <v>984</v>
      </c>
      <c r="C1374" s="4">
        <v>45468</v>
      </c>
      <c r="D1374" s="3" t="s">
        <v>78</v>
      </c>
      <c r="E1374" s="4">
        <v>45518</v>
      </c>
      <c r="F1374" s="4">
        <v>45522</v>
      </c>
      <c r="G1374" s="3" t="s">
        <v>42</v>
      </c>
      <c r="H1374" s="3" t="s">
        <v>29</v>
      </c>
      <c r="I1374" s="3" t="s">
        <v>39</v>
      </c>
      <c r="J1374" s="3" t="s">
        <v>23</v>
      </c>
      <c r="K1374" s="3">
        <v>50</v>
      </c>
      <c r="L1374" s="3">
        <v>4</v>
      </c>
      <c r="M1374" s="3">
        <v>6710</v>
      </c>
      <c r="N1374" s="3">
        <v>26840</v>
      </c>
      <c r="O1374" s="3">
        <v>26840</v>
      </c>
      <c r="P1374" s="3" t="s">
        <v>51</v>
      </c>
      <c r="Q1374" s="3">
        <v>0</v>
      </c>
      <c r="R1374" s="3" t="str">
        <f t="shared" si="21"/>
        <v>Not Cancelled</v>
      </c>
      <c r="S1374" s="3" t="s">
        <v>31</v>
      </c>
    </row>
    <row r="1375" spans="1:19" x14ac:dyDescent="0.35">
      <c r="A1375" s="3">
        <v>2374</v>
      </c>
      <c r="B1375" s="3" t="s">
        <v>782</v>
      </c>
      <c r="C1375" s="4">
        <v>45466</v>
      </c>
      <c r="D1375" s="3" t="s">
        <v>209</v>
      </c>
      <c r="E1375" s="4">
        <v>45473</v>
      </c>
      <c r="F1375" s="4">
        <v>45474</v>
      </c>
      <c r="G1375" s="3" t="s">
        <v>34</v>
      </c>
      <c r="H1375" s="3" t="s">
        <v>21</v>
      </c>
      <c r="I1375" s="3" t="s">
        <v>22</v>
      </c>
      <c r="J1375" s="3" t="s">
        <v>23</v>
      </c>
      <c r="K1375" s="3">
        <v>7</v>
      </c>
      <c r="L1375" s="3">
        <v>1</v>
      </c>
      <c r="M1375" s="3">
        <v>5692</v>
      </c>
      <c r="N1375" s="3">
        <v>5692</v>
      </c>
      <c r="O1375" s="3">
        <v>0</v>
      </c>
      <c r="P1375" s="3" t="s">
        <v>51</v>
      </c>
      <c r="Q1375" s="3">
        <v>1</v>
      </c>
      <c r="R1375" s="3" t="str">
        <f t="shared" si="21"/>
        <v>Cancelled</v>
      </c>
      <c r="S1375" s="3" t="s">
        <v>31</v>
      </c>
    </row>
    <row r="1376" spans="1:19" x14ac:dyDescent="0.35">
      <c r="A1376" s="3">
        <v>2375</v>
      </c>
      <c r="B1376" s="3" t="s">
        <v>188</v>
      </c>
      <c r="C1376" s="4">
        <v>45631</v>
      </c>
      <c r="D1376" s="3" t="s">
        <v>62</v>
      </c>
      <c r="E1376" s="4">
        <v>45675</v>
      </c>
      <c r="F1376" s="4">
        <v>45680</v>
      </c>
      <c r="G1376" s="3" t="s">
        <v>45</v>
      </c>
      <c r="H1376" s="3" t="s">
        <v>29</v>
      </c>
      <c r="I1376" s="3" t="s">
        <v>39</v>
      </c>
      <c r="J1376" s="3" t="s">
        <v>23</v>
      </c>
      <c r="K1376" s="3">
        <v>44</v>
      </c>
      <c r="L1376" s="3">
        <v>5</v>
      </c>
      <c r="M1376" s="3">
        <v>8272</v>
      </c>
      <c r="N1376" s="3">
        <v>41360</v>
      </c>
      <c r="O1376" s="3">
        <v>0</v>
      </c>
      <c r="P1376" s="3" t="s">
        <v>51</v>
      </c>
      <c r="Q1376" s="3">
        <v>1</v>
      </c>
      <c r="R1376" s="3" t="str">
        <f t="shared" si="21"/>
        <v>Cancelled</v>
      </c>
      <c r="S1376" s="3" t="s">
        <v>25</v>
      </c>
    </row>
    <row r="1377" spans="1:19" x14ac:dyDescent="0.35">
      <c r="A1377" s="3">
        <v>2376</v>
      </c>
      <c r="B1377" s="3" t="s">
        <v>985</v>
      </c>
      <c r="C1377" s="4">
        <v>45629</v>
      </c>
      <c r="D1377" s="3" t="s">
        <v>237</v>
      </c>
      <c r="E1377" s="4">
        <v>45687</v>
      </c>
      <c r="F1377" s="4">
        <v>45689</v>
      </c>
      <c r="G1377" s="3" t="s">
        <v>28</v>
      </c>
      <c r="H1377" s="3" t="s">
        <v>60</v>
      </c>
      <c r="I1377" s="3" t="s">
        <v>22</v>
      </c>
      <c r="J1377" s="3" t="s">
        <v>23</v>
      </c>
      <c r="K1377" s="3">
        <v>58</v>
      </c>
      <c r="L1377" s="3">
        <v>2</v>
      </c>
      <c r="M1377" s="3">
        <v>2564</v>
      </c>
      <c r="N1377" s="3">
        <v>5128</v>
      </c>
      <c r="O1377" s="3">
        <v>0</v>
      </c>
      <c r="P1377" s="3" t="s">
        <v>51</v>
      </c>
      <c r="Q1377" s="3">
        <v>1</v>
      </c>
      <c r="R1377" s="3" t="str">
        <f t="shared" si="21"/>
        <v>Cancelled</v>
      </c>
      <c r="S1377" s="3" t="s">
        <v>31</v>
      </c>
    </row>
    <row r="1378" spans="1:19" x14ac:dyDescent="0.35">
      <c r="A1378" s="3">
        <v>2377</v>
      </c>
      <c r="B1378" s="3" t="s">
        <v>986</v>
      </c>
      <c r="C1378" s="4">
        <v>45437</v>
      </c>
      <c r="D1378" s="3" t="s">
        <v>128</v>
      </c>
      <c r="E1378" s="4">
        <v>45471</v>
      </c>
      <c r="F1378" s="4">
        <v>45475</v>
      </c>
      <c r="G1378" s="3" t="s">
        <v>42</v>
      </c>
      <c r="H1378" s="3" t="s">
        <v>38</v>
      </c>
      <c r="I1378" s="3" t="s">
        <v>39</v>
      </c>
      <c r="J1378" s="3" t="s">
        <v>23</v>
      </c>
      <c r="K1378" s="3">
        <v>34</v>
      </c>
      <c r="L1378" s="3">
        <v>4</v>
      </c>
      <c r="M1378" s="3">
        <v>3799</v>
      </c>
      <c r="N1378" s="3">
        <v>15196</v>
      </c>
      <c r="O1378" s="3">
        <v>0</v>
      </c>
      <c r="P1378" s="3" t="s">
        <v>51</v>
      </c>
      <c r="Q1378" s="3">
        <v>1</v>
      </c>
      <c r="R1378" s="3" t="str">
        <f t="shared" si="21"/>
        <v>Cancelled</v>
      </c>
      <c r="S1378" s="3" t="s">
        <v>31</v>
      </c>
    </row>
    <row r="1379" spans="1:19" x14ac:dyDescent="0.35">
      <c r="A1379" s="3">
        <v>2378</v>
      </c>
      <c r="B1379" s="3" t="s">
        <v>987</v>
      </c>
      <c r="C1379" s="4">
        <v>45615</v>
      </c>
      <c r="D1379" s="3" t="s">
        <v>96</v>
      </c>
      <c r="E1379" s="4">
        <v>45674</v>
      </c>
      <c r="F1379" s="4">
        <v>45676</v>
      </c>
      <c r="G1379" s="3" t="s">
        <v>28</v>
      </c>
      <c r="H1379" s="3" t="s">
        <v>29</v>
      </c>
      <c r="I1379" s="3" t="s">
        <v>39</v>
      </c>
      <c r="J1379" s="3" t="s">
        <v>46</v>
      </c>
      <c r="K1379" s="3">
        <v>59</v>
      </c>
      <c r="L1379" s="3">
        <v>2</v>
      </c>
      <c r="M1379" s="3">
        <v>7420</v>
      </c>
      <c r="N1379" s="3">
        <v>14840</v>
      </c>
      <c r="O1379" s="3">
        <v>0</v>
      </c>
      <c r="P1379" s="3" t="s">
        <v>24</v>
      </c>
      <c r="Q1379" s="3">
        <v>1</v>
      </c>
      <c r="R1379" s="3" t="str">
        <f t="shared" si="21"/>
        <v>Cancelled</v>
      </c>
      <c r="S1379" s="3" t="s">
        <v>25</v>
      </c>
    </row>
    <row r="1380" spans="1:19" x14ac:dyDescent="0.35">
      <c r="A1380" s="3">
        <v>2379</v>
      </c>
      <c r="B1380" s="3" t="s">
        <v>268</v>
      </c>
      <c r="C1380" s="4">
        <v>45452</v>
      </c>
      <c r="D1380" s="3" t="s">
        <v>157</v>
      </c>
      <c r="E1380" s="4">
        <v>45472</v>
      </c>
      <c r="F1380" s="4">
        <v>45477</v>
      </c>
      <c r="G1380" s="3" t="s">
        <v>45</v>
      </c>
      <c r="H1380" s="3" t="s">
        <v>38</v>
      </c>
      <c r="I1380" s="3" t="s">
        <v>22</v>
      </c>
      <c r="J1380" s="3" t="s">
        <v>46</v>
      </c>
      <c r="K1380" s="3">
        <v>20</v>
      </c>
      <c r="L1380" s="3">
        <v>5</v>
      </c>
      <c r="M1380" s="3">
        <v>8882</v>
      </c>
      <c r="N1380" s="3">
        <v>44410</v>
      </c>
      <c r="O1380" s="3">
        <v>0</v>
      </c>
      <c r="P1380" s="3" t="s">
        <v>24</v>
      </c>
      <c r="Q1380" s="3">
        <v>1</v>
      </c>
      <c r="R1380" s="3" t="str">
        <f t="shared" si="21"/>
        <v>Cancelled</v>
      </c>
      <c r="S1380" s="3" t="s">
        <v>25</v>
      </c>
    </row>
    <row r="1381" spans="1:19" x14ac:dyDescent="0.35">
      <c r="A1381" s="3">
        <v>2380</v>
      </c>
      <c r="B1381" s="3" t="s">
        <v>310</v>
      </c>
      <c r="C1381" s="4">
        <v>45418</v>
      </c>
      <c r="D1381" s="3" t="s">
        <v>78</v>
      </c>
      <c r="E1381" s="4">
        <v>45468</v>
      </c>
      <c r="F1381" s="4">
        <v>45472</v>
      </c>
      <c r="G1381" s="3" t="s">
        <v>42</v>
      </c>
      <c r="H1381" s="3" t="s">
        <v>60</v>
      </c>
      <c r="I1381" s="3" t="s">
        <v>22</v>
      </c>
      <c r="J1381" s="3" t="s">
        <v>46</v>
      </c>
      <c r="K1381" s="3">
        <v>50</v>
      </c>
      <c r="L1381" s="3">
        <v>4</v>
      </c>
      <c r="M1381" s="3">
        <v>8945</v>
      </c>
      <c r="N1381" s="3">
        <v>35780</v>
      </c>
      <c r="O1381" s="3">
        <v>0</v>
      </c>
      <c r="P1381" s="3" t="s">
        <v>24</v>
      </c>
      <c r="Q1381" s="3">
        <v>1</v>
      </c>
      <c r="R1381" s="3" t="str">
        <f t="shared" si="21"/>
        <v>Cancelled</v>
      </c>
      <c r="S1381" s="3" t="s">
        <v>31</v>
      </c>
    </row>
    <row r="1382" spans="1:19" x14ac:dyDescent="0.35">
      <c r="A1382" s="3">
        <v>2381</v>
      </c>
      <c r="B1382" s="3" t="s">
        <v>988</v>
      </c>
      <c r="C1382" s="4">
        <v>45373</v>
      </c>
      <c r="D1382" s="3" t="s">
        <v>115</v>
      </c>
      <c r="E1382" s="4">
        <v>45411</v>
      </c>
      <c r="F1382" s="4">
        <v>45415</v>
      </c>
      <c r="G1382" s="3" t="s">
        <v>42</v>
      </c>
      <c r="H1382" s="3" t="s">
        <v>38</v>
      </c>
      <c r="I1382" s="3" t="s">
        <v>39</v>
      </c>
      <c r="J1382" s="3" t="s">
        <v>23</v>
      </c>
      <c r="K1382" s="3">
        <v>38</v>
      </c>
      <c r="L1382" s="3">
        <v>4</v>
      </c>
      <c r="M1382" s="3">
        <v>3915</v>
      </c>
      <c r="N1382" s="3">
        <v>15660</v>
      </c>
      <c r="O1382" s="3">
        <v>0</v>
      </c>
      <c r="P1382" s="3" t="s">
        <v>24</v>
      </c>
      <c r="Q1382" s="3">
        <v>1</v>
      </c>
      <c r="R1382" s="3" t="str">
        <f t="shared" si="21"/>
        <v>Cancelled</v>
      </c>
      <c r="S1382" s="3" t="s">
        <v>25</v>
      </c>
    </row>
    <row r="1383" spans="1:19" x14ac:dyDescent="0.35">
      <c r="A1383" s="3">
        <v>2382</v>
      </c>
      <c r="B1383" s="3" t="s">
        <v>989</v>
      </c>
      <c r="C1383" s="4">
        <v>45438</v>
      </c>
      <c r="D1383" s="3" t="s">
        <v>159</v>
      </c>
      <c r="E1383" s="4">
        <v>45462</v>
      </c>
      <c r="F1383" s="4">
        <v>45464</v>
      </c>
      <c r="G1383" s="3" t="s">
        <v>28</v>
      </c>
      <c r="H1383" s="3" t="s">
        <v>60</v>
      </c>
      <c r="I1383" s="3" t="s">
        <v>22</v>
      </c>
      <c r="J1383" s="3" t="s">
        <v>23</v>
      </c>
      <c r="K1383" s="3">
        <v>24</v>
      </c>
      <c r="L1383" s="3">
        <v>2</v>
      </c>
      <c r="M1383" s="3">
        <v>6093</v>
      </c>
      <c r="N1383" s="3">
        <v>12186</v>
      </c>
      <c r="O1383" s="3">
        <v>12186</v>
      </c>
      <c r="P1383" s="3" t="s">
        <v>24</v>
      </c>
      <c r="Q1383" s="3">
        <v>0</v>
      </c>
      <c r="R1383" s="3" t="str">
        <f t="shared" si="21"/>
        <v>Not Cancelled</v>
      </c>
      <c r="S1383" s="3" t="s">
        <v>25</v>
      </c>
    </row>
    <row r="1384" spans="1:19" x14ac:dyDescent="0.35">
      <c r="A1384" s="3">
        <v>2383</v>
      </c>
      <c r="B1384" s="3" t="s">
        <v>990</v>
      </c>
      <c r="C1384" s="4">
        <v>45530</v>
      </c>
      <c r="D1384" s="3" t="s">
        <v>37</v>
      </c>
      <c r="E1384" s="4">
        <v>45540</v>
      </c>
      <c r="F1384" s="4">
        <v>45542</v>
      </c>
      <c r="G1384" s="3" t="s">
        <v>28</v>
      </c>
      <c r="H1384" s="3" t="s">
        <v>38</v>
      </c>
      <c r="I1384" s="3" t="s">
        <v>39</v>
      </c>
      <c r="J1384" s="3" t="s">
        <v>46</v>
      </c>
      <c r="K1384" s="3">
        <v>10</v>
      </c>
      <c r="L1384" s="3">
        <v>2</v>
      </c>
      <c r="M1384" s="3">
        <v>3468</v>
      </c>
      <c r="N1384" s="3">
        <v>6936</v>
      </c>
      <c r="O1384" s="3">
        <v>0</v>
      </c>
      <c r="P1384" s="3" t="s">
        <v>51</v>
      </c>
      <c r="Q1384" s="3">
        <v>1</v>
      </c>
      <c r="R1384" s="3" t="str">
        <f t="shared" si="21"/>
        <v>Cancelled</v>
      </c>
      <c r="S1384" s="3" t="s">
        <v>25</v>
      </c>
    </row>
    <row r="1385" spans="1:19" x14ac:dyDescent="0.35">
      <c r="A1385" s="3">
        <v>2384</v>
      </c>
      <c r="B1385" s="3" t="s">
        <v>821</v>
      </c>
      <c r="C1385" s="4">
        <v>45375</v>
      </c>
      <c r="D1385" s="3" t="s">
        <v>144</v>
      </c>
      <c r="E1385" s="4">
        <v>45407</v>
      </c>
      <c r="F1385" s="4">
        <v>45408</v>
      </c>
      <c r="G1385" s="3" t="s">
        <v>34</v>
      </c>
      <c r="H1385" s="3" t="s">
        <v>38</v>
      </c>
      <c r="I1385" s="3" t="s">
        <v>39</v>
      </c>
      <c r="J1385" s="3" t="s">
        <v>46</v>
      </c>
      <c r="K1385" s="3">
        <v>32</v>
      </c>
      <c r="L1385" s="3">
        <v>1</v>
      </c>
      <c r="M1385" s="3">
        <v>2868</v>
      </c>
      <c r="N1385" s="3">
        <v>2868</v>
      </c>
      <c r="O1385" s="3">
        <v>2868</v>
      </c>
      <c r="P1385" s="3" t="s">
        <v>51</v>
      </c>
      <c r="Q1385" s="3">
        <v>0</v>
      </c>
      <c r="R1385" s="3" t="str">
        <f t="shared" si="21"/>
        <v>Not Cancelled</v>
      </c>
      <c r="S1385" s="3" t="s">
        <v>31</v>
      </c>
    </row>
    <row r="1386" spans="1:19" x14ac:dyDescent="0.35">
      <c r="A1386" s="3">
        <v>2385</v>
      </c>
      <c r="B1386" s="3" t="s">
        <v>787</v>
      </c>
      <c r="C1386" s="4">
        <v>45404</v>
      </c>
      <c r="D1386" s="3" t="s">
        <v>226</v>
      </c>
      <c r="E1386" s="4">
        <v>45456</v>
      </c>
      <c r="F1386" s="4">
        <v>45461</v>
      </c>
      <c r="G1386" s="3" t="s">
        <v>45</v>
      </c>
      <c r="H1386" s="3" t="s">
        <v>35</v>
      </c>
      <c r="I1386" s="3" t="s">
        <v>39</v>
      </c>
      <c r="J1386" s="3" t="s">
        <v>23</v>
      </c>
      <c r="K1386" s="3">
        <v>52</v>
      </c>
      <c r="L1386" s="3">
        <v>5</v>
      </c>
      <c r="M1386" s="3">
        <v>2732</v>
      </c>
      <c r="N1386" s="3">
        <v>13660</v>
      </c>
      <c r="O1386" s="3">
        <v>0</v>
      </c>
      <c r="P1386" s="3" t="s">
        <v>51</v>
      </c>
      <c r="Q1386" s="3">
        <v>1</v>
      </c>
      <c r="R1386" s="3" t="str">
        <f t="shared" si="21"/>
        <v>Cancelled</v>
      </c>
      <c r="S1386" s="3" t="s">
        <v>31</v>
      </c>
    </row>
    <row r="1387" spans="1:19" x14ac:dyDescent="0.35">
      <c r="A1387" s="3">
        <v>2386</v>
      </c>
      <c r="B1387" s="3" t="s">
        <v>280</v>
      </c>
      <c r="C1387" s="4">
        <v>45516</v>
      </c>
      <c r="D1387" s="3" t="s">
        <v>277</v>
      </c>
      <c r="E1387" s="4">
        <v>45531</v>
      </c>
      <c r="F1387" s="4">
        <v>45532</v>
      </c>
      <c r="G1387" s="3" t="s">
        <v>34</v>
      </c>
      <c r="H1387" s="3" t="s">
        <v>29</v>
      </c>
      <c r="I1387" s="3" t="s">
        <v>22</v>
      </c>
      <c r="J1387" s="3" t="s">
        <v>30</v>
      </c>
      <c r="K1387" s="3">
        <v>15</v>
      </c>
      <c r="L1387" s="3">
        <v>1</v>
      </c>
      <c r="M1387" s="3">
        <v>4742</v>
      </c>
      <c r="N1387" s="3">
        <v>4742</v>
      </c>
      <c r="O1387" s="3">
        <v>0</v>
      </c>
      <c r="P1387" s="3" t="s">
        <v>24</v>
      </c>
      <c r="Q1387" s="3">
        <v>1</v>
      </c>
      <c r="R1387" s="3" t="str">
        <f t="shared" si="21"/>
        <v>Cancelled</v>
      </c>
      <c r="S1387" s="3" t="s">
        <v>25</v>
      </c>
    </row>
    <row r="1388" spans="1:19" x14ac:dyDescent="0.35">
      <c r="A1388" s="3">
        <v>2387</v>
      </c>
      <c r="B1388" s="3" t="s">
        <v>605</v>
      </c>
      <c r="C1388" s="4">
        <v>45623</v>
      </c>
      <c r="D1388" s="3" t="s">
        <v>105</v>
      </c>
      <c r="E1388" s="4">
        <v>45660</v>
      </c>
      <c r="F1388" s="4">
        <v>45664</v>
      </c>
      <c r="G1388" s="3" t="s">
        <v>42</v>
      </c>
      <c r="H1388" s="3" t="s">
        <v>38</v>
      </c>
      <c r="I1388" s="3" t="s">
        <v>22</v>
      </c>
      <c r="J1388" s="3" t="s">
        <v>46</v>
      </c>
      <c r="K1388" s="3">
        <v>37</v>
      </c>
      <c r="L1388" s="3">
        <v>4</v>
      </c>
      <c r="M1388" s="3">
        <v>7502</v>
      </c>
      <c r="N1388" s="3">
        <v>30008</v>
      </c>
      <c r="O1388" s="3">
        <v>0</v>
      </c>
      <c r="P1388" s="3" t="s">
        <v>51</v>
      </c>
      <c r="Q1388" s="3">
        <v>1</v>
      </c>
      <c r="R1388" s="3" t="str">
        <f t="shared" si="21"/>
        <v>Cancelled</v>
      </c>
      <c r="S1388" s="3" t="s">
        <v>25</v>
      </c>
    </row>
    <row r="1389" spans="1:19" x14ac:dyDescent="0.35">
      <c r="A1389" s="3">
        <v>2388</v>
      </c>
      <c r="B1389" s="3" t="s">
        <v>991</v>
      </c>
      <c r="C1389" s="4">
        <v>45534</v>
      </c>
      <c r="D1389" s="3" t="s">
        <v>157</v>
      </c>
      <c r="E1389" s="4">
        <v>45554</v>
      </c>
      <c r="F1389" s="4">
        <v>45556</v>
      </c>
      <c r="G1389" s="3" t="s">
        <v>28</v>
      </c>
      <c r="H1389" s="3" t="s">
        <v>21</v>
      </c>
      <c r="I1389" s="3" t="s">
        <v>39</v>
      </c>
      <c r="J1389" s="3" t="s">
        <v>23</v>
      </c>
      <c r="K1389" s="3">
        <v>20</v>
      </c>
      <c r="L1389" s="3">
        <v>2</v>
      </c>
      <c r="M1389" s="3">
        <v>5583</v>
      </c>
      <c r="N1389" s="3">
        <v>11166</v>
      </c>
      <c r="O1389" s="3">
        <v>11166</v>
      </c>
      <c r="P1389" s="3" t="s">
        <v>51</v>
      </c>
      <c r="Q1389" s="3">
        <v>0</v>
      </c>
      <c r="R1389" s="3" t="str">
        <f t="shared" si="21"/>
        <v>Not Cancelled</v>
      </c>
      <c r="S1389" s="3" t="s">
        <v>25</v>
      </c>
    </row>
    <row r="1390" spans="1:19" x14ac:dyDescent="0.35">
      <c r="A1390" s="3">
        <v>2389</v>
      </c>
      <c r="B1390" s="3" t="s">
        <v>992</v>
      </c>
      <c r="C1390" s="4">
        <v>45434</v>
      </c>
      <c r="D1390" s="3" t="s">
        <v>20</v>
      </c>
      <c r="E1390" s="4">
        <v>45437</v>
      </c>
      <c r="F1390" s="4">
        <v>45441</v>
      </c>
      <c r="G1390" s="3" t="s">
        <v>42</v>
      </c>
      <c r="H1390" s="3" t="s">
        <v>35</v>
      </c>
      <c r="I1390" s="3" t="s">
        <v>22</v>
      </c>
      <c r="J1390" s="3" t="s">
        <v>23</v>
      </c>
      <c r="K1390" s="3">
        <v>3</v>
      </c>
      <c r="L1390" s="3">
        <v>4</v>
      </c>
      <c r="M1390" s="3">
        <v>3420</v>
      </c>
      <c r="N1390" s="3">
        <v>13680</v>
      </c>
      <c r="O1390" s="3">
        <v>13680</v>
      </c>
      <c r="P1390" s="3" t="s">
        <v>51</v>
      </c>
      <c r="Q1390" s="3">
        <v>0</v>
      </c>
      <c r="R1390" s="3" t="str">
        <f t="shared" si="21"/>
        <v>Not Cancelled</v>
      </c>
      <c r="S1390" s="3" t="s">
        <v>31</v>
      </c>
    </row>
    <row r="1391" spans="1:19" x14ac:dyDescent="0.35">
      <c r="A1391" s="3">
        <v>2390</v>
      </c>
      <c r="B1391" s="3" t="s">
        <v>214</v>
      </c>
      <c r="C1391" s="4">
        <v>45332</v>
      </c>
      <c r="D1391" s="3" t="s">
        <v>105</v>
      </c>
      <c r="E1391" s="4">
        <v>45369</v>
      </c>
      <c r="F1391" s="4">
        <v>45373</v>
      </c>
      <c r="G1391" s="3" t="s">
        <v>42</v>
      </c>
      <c r="H1391" s="3" t="s">
        <v>29</v>
      </c>
      <c r="I1391" s="3" t="s">
        <v>22</v>
      </c>
      <c r="J1391" s="3" t="s">
        <v>46</v>
      </c>
      <c r="K1391" s="3">
        <v>37</v>
      </c>
      <c r="L1391" s="3">
        <v>4</v>
      </c>
      <c r="M1391" s="3">
        <v>3188</v>
      </c>
      <c r="N1391" s="3">
        <v>12752</v>
      </c>
      <c r="O1391" s="3">
        <v>12752</v>
      </c>
      <c r="P1391" s="3" t="s">
        <v>24</v>
      </c>
      <c r="Q1391" s="3">
        <v>0</v>
      </c>
      <c r="R1391" s="3" t="str">
        <f t="shared" si="21"/>
        <v>Not Cancelled</v>
      </c>
      <c r="S1391" s="3" t="s">
        <v>25</v>
      </c>
    </row>
    <row r="1392" spans="1:19" x14ac:dyDescent="0.35">
      <c r="A1392" s="3">
        <v>2391</v>
      </c>
      <c r="B1392" s="3" t="s">
        <v>720</v>
      </c>
      <c r="C1392" s="4">
        <v>45549</v>
      </c>
      <c r="D1392" s="3" t="s">
        <v>100</v>
      </c>
      <c r="E1392" s="4">
        <v>45606</v>
      </c>
      <c r="F1392" s="4">
        <v>45609</v>
      </c>
      <c r="G1392" s="3" t="s">
        <v>20</v>
      </c>
      <c r="H1392" s="3" t="s">
        <v>35</v>
      </c>
      <c r="I1392" s="3" t="s">
        <v>39</v>
      </c>
      <c r="J1392" s="3" t="s">
        <v>30</v>
      </c>
      <c r="K1392" s="3">
        <v>57</v>
      </c>
      <c r="L1392" s="3">
        <v>3</v>
      </c>
      <c r="M1392" s="3">
        <v>6772</v>
      </c>
      <c r="N1392" s="3">
        <v>20316</v>
      </c>
      <c r="O1392" s="3">
        <v>0</v>
      </c>
      <c r="P1392" s="3" t="s">
        <v>51</v>
      </c>
      <c r="Q1392" s="3">
        <v>1</v>
      </c>
      <c r="R1392" s="3" t="str">
        <f t="shared" si="21"/>
        <v>Cancelled</v>
      </c>
      <c r="S1392" s="3" t="s">
        <v>25</v>
      </c>
    </row>
    <row r="1393" spans="1:19" x14ac:dyDescent="0.35">
      <c r="A1393" s="3">
        <v>2392</v>
      </c>
      <c r="B1393" s="3" t="s">
        <v>446</v>
      </c>
      <c r="C1393" s="4">
        <v>45576</v>
      </c>
      <c r="D1393" s="3" t="s">
        <v>179</v>
      </c>
      <c r="E1393" s="4">
        <v>45616</v>
      </c>
      <c r="F1393" s="4">
        <v>45619</v>
      </c>
      <c r="G1393" s="3" t="s">
        <v>20</v>
      </c>
      <c r="H1393" s="3" t="s">
        <v>29</v>
      </c>
      <c r="I1393" s="3" t="s">
        <v>22</v>
      </c>
      <c r="J1393" s="3" t="s">
        <v>23</v>
      </c>
      <c r="K1393" s="3">
        <v>40</v>
      </c>
      <c r="L1393" s="3">
        <v>3</v>
      </c>
      <c r="M1393" s="3">
        <v>8860</v>
      </c>
      <c r="N1393" s="3">
        <v>26580</v>
      </c>
      <c r="O1393" s="3">
        <v>0</v>
      </c>
      <c r="P1393" s="3" t="s">
        <v>51</v>
      </c>
      <c r="Q1393" s="3">
        <v>1</v>
      </c>
      <c r="R1393" s="3" t="str">
        <f t="shared" si="21"/>
        <v>Cancelled</v>
      </c>
      <c r="S1393" s="3" t="s">
        <v>31</v>
      </c>
    </row>
    <row r="1394" spans="1:19" x14ac:dyDescent="0.35">
      <c r="A1394" s="3">
        <v>2393</v>
      </c>
      <c r="B1394" s="3" t="s">
        <v>799</v>
      </c>
      <c r="C1394" s="4">
        <v>45396</v>
      </c>
      <c r="D1394" s="3" t="s">
        <v>59</v>
      </c>
      <c r="E1394" s="4">
        <v>45404</v>
      </c>
      <c r="F1394" s="4">
        <v>45408</v>
      </c>
      <c r="G1394" s="3" t="s">
        <v>42</v>
      </c>
      <c r="H1394" s="3" t="s">
        <v>60</v>
      </c>
      <c r="I1394" s="3" t="s">
        <v>22</v>
      </c>
      <c r="J1394" s="3" t="s">
        <v>46</v>
      </c>
      <c r="K1394" s="3">
        <v>8</v>
      </c>
      <c r="L1394" s="3">
        <v>4</v>
      </c>
      <c r="M1394" s="3">
        <v>7630</v>
      </c>
      <c r="N1394" s="3">
        <v>30520</v>
      </c>
      <c r="O1394" s="3">
        <v>30520</v>
      </c>
      <c r="P1394" s="3" t="s">
        <v>24</v>
      </c>
      <c r="Q1394" s="3">
        <v>0</v>
      </c>
      <c r="R1394" s="3" t="str">
        <f t="shared" si="21"/>
        <v>Not Cancelled</v>
      </c>
      <c r="S1394" s="3" t="s">
        <v>25</v>
      </c>
    </row>
    <row r="1395" spans="1:19" x14ac:dyDescent="0.35">
      <c r="A1395" s="3">
        <v>2394</v>
      </c>
      <c r="B1395" s="3" t="s">
        <v>402</v>
      </c>
      <c r="C1395" s="4">
        <v>45493</v>
      </c>
      <c r="D1395" s="3" t="s">
        <v>179</v>
      </c>
      <c r="E1395" s="4">
        <v>45533</v>
      </c>
      <c r="F1395" s="4">
        <v>45535</v>
      </c>
      <c r="G1395" s="3" t="s">
        <v>28</v>
      </c>
      <c r="H1395" s="3" t="s">
        <v>38</v>
      </c>
      <c r="I1395" s="3" t="s">
        <v>39</v>
      </c>
      <c r="J1395" s="3" t="s">
        <v>23</v>
      </c>
      <c r="K1395" s="3">
        <v>40</v>
      </c>
      <c r="L1395" s="3">
        <v>2</v>
      </c>
      <c r="M1395" s="3">
        <v>3969</v>
      </c>
      <c r="N1395" s="3">
        <v>7938</v>
      </c>
      <c r="O1395" s="3">
        <v>0</v>
      </c>
      <c r="P1395" s="3" t="s">
        <v>24</v>
      </c>
      <c r="Q1395" s="3">
        <v>1</v>
      </c>
      <c r="R1395" s="3" t="str">
        <f t="shared" si="21"/>
        <v>Cancelled</v>
      </c>
      <c r="S1395" s="3" t="s">
        <v>31</v>
      </c>
    </row>
    <row r="1396" spans="1:19" x14ac:dyDescent="0.35">
      <c r="A1396" s="3">
        <v>2395</v>
      </c>
      <c r="B1396" s="3" t="s">
        <v>993</v>
      </c>
      <c r="C1396" s="4">
        <v>45598</v>
      </c>
      <c r="D1396" s="3" t="s">
        <v>62</v>
      </c>
      <c r="E1396" s="4">
        <v>45642</v>
      </c>
      <c r="F1396" s="4">
        <v>45646</v>
      </c>
      <c r="G1396" s="3" t="s">
        <v>42</v>
      </c>
      <c r="H1396" s="3" t="s">
        <v>21</v>
      </c>
      <c r="I1396" s="3" t="s">
        <v>22</v>
      </c>
      <c r="J1396" s="3" t="s">
        <v>23</v>
      </c>
      <c r="K1396" s="3">
        <v>44</v>
      </c>
      <c r="L1396" s="3">
        <v>4</v>
      </c>
      <c r="M1396" s="3">
        <v>7225</v>
      </c>
      <c r="N1396" s="3">
        <v>28900</v>
      </c>
      <c r="O1396" s="3">
        <v>0</v>
      </c>
      <c r="P1396" s="3" t="s">
        <v>51</v>
      </c>
      <c r="Q1396" s="3">
        <v>1</v>
      </c>
      <c r="R1396" s="3" t="str">
        <f t="shared" si="21"/>
        <v>Cancelled</v>
      </c>
      <c r="S1396" s="3" t="s">
        <v>31</v>
      </c>
    </row>
    <row r="1397" spans="1:19" x14ac:dyDescent="0.35">
      <c r="A1397" s="3">
        <v>2396</v>
      </c>
      <c r="B1397" s="3" t="s">
        <v>994</v>
      </c>
      <c r="C1397" s="4">
        <v>45622</v>
      </c>
      <c r="D1397" s="3" t="s">
        <v>94</v>
      </c>
      <c r="E1397" s="4">
        <v>45678</v>
      </c>
      <c r="F1397" s="4">
        <v>45681</v>
      </c>
      <c r="G1397" s="3" t="s">
        <v>20</v>
      </c>
      <c r="H1397" s="3" t="s">
        <v>35</v>
      </c>
      <c r="I1397" s="3" t="s">
        <v>39</v>
      </c>
      <c r="J1397" s="3" t="s">
        <v>23</v>
      </c>
      <c r="K1397" s="3">
        <v>56</v>
      </c>
      <c r="L1397" s="3">
        <v>3</v>
      </c>
      <c r="M1397" s="3">
        <v>6759</v>
      </c>
      <c r="N1397" s="3">
        <v>20277</v>
      </c>
      <c r="O1397" s="3">
        <v>20277</v>
      </c>
      <c r="P1397" s="3" t="s">
        <v>24</v>
      </c>
      <c r="Q1397" s="3">
        <v>0</v>
      </c>
      <c r="R1397" s="3" t="str">
        <f t="shared" si="21"/>
        <v>Not Cancelled</v>
      </c>
      <c r="S1397" s="3" t="s">
        <v>31</v>
      </c>
    </row>
    <row r="1398" spans="1:19" x14ac:dyDescent="0.35">
      <c r="A1398" s="3">
        <v>2397</v>
      </c>
      <c r="B1398" s="3" t="s">
        <v>202</v>
      </c>
      <c r="C1398" s="4">
        <v>45557</v>
      </c>
      <c r="D1398" s="3" t="s">
        <v>111</v>
      </c>
      <c r="E1398" s="4">
        <v>45580</v>
      </c>
      <c r="F1398" s="4">
        <v>45582</v>
      </c>
      <c r="G1398" s="3" t="s">
        <v>28</v>
      </c>
      <c r="H1398" s="3" t="s">
        <v>35</v>
      </c>
      <c r="I1398" s="3" t="s">
        <v>22</v>
      </c>
      <c r="J1398" s="3" t="s">
        <v>23</v>
      </c>
      <c r="K1398" s="3">
        <v>23</v>
      </c>
      <c r="L1398" s="3">
        <v>2</v>
      </c>
      <c r="M1398" s="3">
        <v>6122</v>
      </c>
      <c r="N1398" s="3">
        <v>12244</v>
      </c>
      <c r="O1398" s="3">
        <v>0</v>
      </c>
      <c r="P1398" s="3" t="s">
        <v>51</v>
      </c>
      <c r="Q1398" s="3">
        <v>1</v>
      </c>
      <c r="R1398" s="3" t="str">
        <f t="shared" si="21"/>
        <v>Cancelled</v>
      </c>
      <c r="S1398" s="3" t="s">
        <v>25</v>
      </c>
    </row>
    <row r="1399" spans="1:19" x14ac:dyDescent="0.35">
      <c r="A1399" s="3">
        <v>2398</v>
      </c>
      <c r="B1399" s="3" t="s">
        <v>633</v>
      </c>
      <c r="C1399" s="4">
        <v>45501</v>
      </c>
      <c r="D1399" s="3" t="s">
        <v>179</v>
      </c>
      <c r="E1399" s="4">
        <v>45541</v>
      </c>
      <c r="F1399" s="4">
        <v>45545</v>
      </c>
      <c r="G1399" s="3" t="s">
        <v>42</v>
      </c>
      <c r="H1399" s="3" t="s">
        <v>35</v>
      </c>
      <c r="I1399" s="3" t="s">
        <v>22</v>
      </c>
      <c r="J1399" s="3" t="s">
        <v>30</v>
      </c>
      <c r="K1399" s="3">
        <v>40</v>
      </c>
      <c r="L1399" s="3">
        <v>4</v>
      </c>
      <c r="M1399" s="3">
        <v>4600</v>
      </c>
      <c r="N1399" s="3">
        <v>18400</v>
      </c>
      <c r="O1399" s="3">
        <v>18400</v>
      </c>
      <c r="P1399" s="3" t="s">
        <v>24</v>
      </c>
      <c r="Q1399" s="3">
        <v>0</v>
      </c>
      <c r="R1399" s="3" t="str">
        <f t="shared" si="21"/>
        <v>Not Cancelled</v>
      </c>
      <c r="S1399" s="3" t="s">
        <v>25</v>
      </c>
    </row>
    <row r="1400" spans="1:19" x14ac:dyDescent="0.35">
      <c r="A1400" s="3">
        <v>2399</v>
      </c>
      <c r="B1400" s="3" t="s">
        <v>706</v>
      </c>
      <c r="C1400" s="4">
        <v>45342</v>
      </c>
      <c r="D1400" s="3" t="s">
        <v>75</v>
      </c>
      <c r="E1400" s="4">
        <v>45353</v>
      </c>
      <c r="F1400" s="4">
        <v>45358</v>
      </c>
      <c r="G1400" s="3" t="s">
        <v>45</v>
      </c>
      <c r="H1400" s="3" t="s">
        <v>35</v>
      </c>
      <c r="I1400" s="3" t="s">
        <v>39</v>
      </c>
      <c r="J1400" s="3" t="s">
        <v>46</v>
      </c>
      <c r="K1400" s="3">
        <v>11</v>
      </c>
      <c r="L1400" s="3">
        <v>5</v>
      </c>
      <c r="M1400" s="3">
        <v>4765</v>
      </c>
      <c r="N1400" s="3">
        <v>23825</v>
      </c>
      <c r="O1400" s="3">
        <v>0</v>
      </c>
      <c r="P1400" s="3" t="s">
        <v>51</v>
      </c>
      <c r="Q1400" s="3">
        <v>1</v>
      </c>
      <c r="R1400" s="3" t="str">
        <f t="shared" si="21"/>
        <v>Cancelled</v>
      </c>
      <c r="S1400" s="3" t="s">
        <v>31</v>
      </c>
    </row>
    <row r="1401" spans="1:19" x14ac:dyDescent="0.35">
      <c r="A1401" s="3">
        <v>2400</v>
      </c>
      <c r="B1401" s="3" t="s">
        <v>995</v>
      </c>
      <c r="C1401" s="4">
        <v>45409</v>
      </c>
      <c r="D1401" s="3" t="s">
        <v>41</v>
      </c>
      <c r="E1401" s="4">
        <v>45455</v>
      </c>
      <c r="F1401" s="4">
        <v>45460</v>
      </c>
      <c r="G1401" s="3" t="s">
        <v>45</v>
      </c>
      <c r="H1401" s="3" t="s">
        <v>38</v>
      </c>
      <c r="I1401" s="3" t="s">
        <v>39</v>
      </c>
      <c r="J1401" s="3" t="s">
        <v>46</v>
      </c>
      <c r="K1401" s="3">
        <v>46</v>
      </c>
      <c r="L1401" s="3">
        <v>5</v>
      </c>
      <c r="M1401" s="3">
        <v>6289</v>
      </c>
      <c r="N1401" s="3">
        <v>31445</v>
      </c>
      <c r="O1401" s="3">
        <v>0</v>
      </c>
      <c r="P1401" s="3" t="s">
        <v>51</v>
      </c>
      <c r="Q1401" s="3">
        <v>1</v>
      </c>
      <c r="R1401" s="3" t="str">
        <f t="shared" si="21"/>
        <v>Cancelled</v>
      </c>
      <c r="S1401" s="3" t="s">
        <v>25</v>
      </c>
    </row>
    <row r="1402" spans="1:19" x14ac:dyDescent="0.35">
      <c r="A1402" s="3">
        <v>2401</v>
      </c>
      <c r="B1402" s="3" t="s">
        <v>996</v>
      </c>
      <c r="C1402" s="4">
        <v>45492</v>
      </c>
      <c r="D1402" s="3" t="s">
        <v>59</v>
      </c>
      <c r="E1402" s="4">
        <v>45500</v>
      </c>
      <c r="F1402" s="4">
        <v>45504</v>
      </c>
      <c r="G1402" s="3" t="s">
        <v>42</v>
      </c>
      <c r="H1402" s="3" t="s">
        <v>29</v>
      </c>
      <c r="I1402" s="3" t="s">
        <v>22</v>
      </c>
      <c r="J1402" s="3" t="s">
        <v>46</v>
      </c>
      <c r="K1402" s="3">
        <v>8</v>
      </c>
      <c r="L1402" s="3">
        <v>4</v>
      </c>
      <c r="M1402" s="3">
        <v>3323</v>
      </c>
      <c r="N1402" s="3">
        <v>13292</v>
      </c>
      <c r="O1402" s="3">
        <v>0</v>
      </c>
      <c r="P1402" s="3" t="s">
        <v>24</v>
      </c>
      <c r="Q1402" s="3">
        <v>1</v>
      </c>
      <c r="R1402" s="3" t="str">
        <f t="shared" si="21"/>
        <v>Cancelled</v>
      </c>
      <c r="S1402" s="3" t="s">
        <v>31</v>
      </c>
    </row>
    <row r="1403" spans="1:19" x14ac:dyDescent="0.35">
      <c r="A1403" s="3">
        <v>2402</v>
      </c>
      <c r="B1403" s="3" t="s">
        <v>997</v>
      </c>
      <c r="C1403" s="4">
        <v>45330</v>
      </c>
      <c r="D1403" s="3" t="s">
        <v>57</v>
      </c>
      <c r="E1403" s="4">
        <v>45359</v>
      </c>
      <c r="F1403" s="4">
        <v>45361</v>
      </c>
      <c r="G1403" s="3" t="s">
        <v>28</v>
      </c>
      <c r="H1403" s="3" t="s">
        <v>38</v>
      </c>
      <c r="I1403" s="3" t="s">
        <v>39</v>
      </c>
      <c r="J1403" s="3" t="s">
        <v>46</v>
      </c>
      <c r="K1403" s="3">
        <v>29</v>
      </c>
      <c r="L1403" s="3">
        <v>2</v>
      </c>
      <c r="M1403" s="3">
        <v>5931</v>
      </c>
      <c r="N1403" s="3">
        <v>11862</v>
      </c>
      <c r="O1403" s="3">
        <v>11862</v>
      </c>
      <c r="P1403" s="3" t="s">
        <v>24</v>
      </c>
      <c r="Q1403" s="3">
        <v>0</v>
      </c>
      <c r="R1403" s="3" t="str">
        <f t="shared" si="21"/>
        <v>Not Cancelled</v>
      </c>
      <c r="S1403" s="3" t="s">
        <v>25</v>
      </c>
    </row>
    <row r="1404" spans="1:19" x14ac:dyDescent="0.35">
      <c r="A1404" s="3">
        <v>2403</v>
      </c>
      <c r="B1404" s="3" t="s">
        <v>904</v>
      </c>
      <c r="C1404" s="4">
        <v>45319</v>
      </c>
      <c r="D1404" s="3" t="s">
        <v>50</v>
      </c>
      <c r="E1404" s="4">
        <v>45349</v>
      </c>
      <c r="F1404" s="4">
        <v>45353</v>
      </c>
      <c r="G1404" s="3" t="s">
        <v>42</v>
      </c>
      <c r="H1404" s="3" t="s">
        <v>60</v>
      </c>
      <c r="I1404" s="3" t="s">
        <v>39</v>
      </c>
      <c r="J1404" s="3" t="s">
        <v>46</v>
      </c>
      <c r="K1404" s="3">
        <v>30</v>
      </c>
      <c r="L1404" s="3">
        <v>4</v>
      </c>
      <c r="M1404" s="3">
        <v>6651</v>
      </c>
      <c r="N1404" s="3">
        <v>26604</v>
      </c>
      <c r="O1404" s="3">
        <v>0</v>
      </c>
      <c r="P1404" s="3" t="s">
        <v>24</v>
      </c>
      <c r="Q1404" s="3">
        <v>1</v>
      </c>
      <c r="R1404" s="3" t="str">
        <f t="shared" si="21"/>
        <v>Cancelled</v>
      </c>
      <c r="S1404" s="3" t="s">
        <v>31</v>
      </c>
    </row>
    <row r="1405" spans="1:19" x14ac:dyDescent="0.35">
      <c r="A1405" s="3">
        <v>2404</v>
      </c>
      <c r="B1405" s="3" t="s">
        <v>594</v>
      </c>
      <c r="C1405" s="4">
        <v>45550</v>
      </c>
      <c r="D1405" s="3" t="s">
        <v>94</v>
      </c>
      <c r="E1405" s="4">
        <v>45606</v>
      </c>
      <c r="F1405" s="4">
        <v>45610</v>
      </c>
      <c r="G1405" s="3" t="s">
        <v>42</v>
      </c>
      <c r="H1405" s="3" t="s">
        <v>38</v>
      </c>
      <c r="I1405" s="3" t="s">
        <v>22</v>
      </c>
      <c r="J1405" s="3" t="s">
        <v>30</v>
      </c>
      <c r="K1405" s="3">
        <v>56</v>
      </c>
      <c r="L1405" s="3">
        <v>4</v>
      </c>
      <c r="M1405" s="3">
        <v>6713</v>
      </c>
      <c r="N1405" s="3">
        <v>26852</v>
      </c>
      <c r="O1405" s="3">
        <v>0</v>
      </c>
      <c r="P1405" s="3" t="s">
        <v>24</v>
      </c>
      <c r="Q1405" s="3">
        <v>1</v>
      </c>
      <c r="R1405" s="3" t="str">
        <f t="shared" si="21"/>
        <v>Cancelled</v>
      </c>
      <c r="S1405" s="3" t="s">
        <v>31</v>
      </c>
    </row>
    <row r="1406" spans="1:19" x14ac:dyDescent="0.35">
      <c r="A1406" s="3">
        <v>2405</v>
      </c>
      <c r="B1406" s="3" t="s">
        <v>926</v>
      </c>
      <c r="C1406" s="4">
        <v>45375</v>
      </c>
      <c r="D1406" s="3" t="s">
        <v>37</v>
      </c>
      <c r="E1406" s="4">
        <v>45385</v>
      </c>
      <c r="F1406" s="4">
        <v>45388</v>
      </c>
      <c r="G1406" s="3" t="s">
        <v>20</v>
      </c>
      <c r="H1406" s="3" t="s">
        <v>38</v>
      </c>
      <c r="I1406" s="3" t="s">
        <v>39</v>
      </c>
      <c r="J1406" s="3" t="s">
        <v>23</v>
      </c>
      <c r="K1406" s="3">
        <v>10</v>
      </c>
      <c r="L1406" s="3">
        <v>3</v>
      </c>
      <c r="M1406" s="3">
        <v>3297</v>
      </c>
      <c r="N1406" s="3">
        <v>9891</v>
      </c>
      <c r="O1406" s="3">
        <v>9891</v>
      </c>
      <c r="P1406" s="3" t="s">
        <v>51</v>
      </c>
      <c r="Q1406" s="3">
        <v>0</v>
      </c>
      <c r="R1406" s="3" t="str">
        <f t="shared" si="21"/>
        <v>Not Cancelled</v>
      </c>
      <c r="S1406" s="3" t="s">
        <v>25</v>
      </c>
    </row>
    <row r="1407" spans="1:19" x14ac:dyDescent="0.35">
      <c r="A1407" s="3">
        <v>2406</v>
      </c>
      <c r="B1407" s="3" t="s">
        <v>375</v>
      </c>
      <c r="C1407" s="4">
        <v>45446</v>
      </c>
      <c r="D1407" s="3" t="s">
        <v>153</v>
      </c>
      <c r="E1407" s="4">
        <v>45485</v>
      </c>
      <c r="F1407" s="4">
        <v>45490</v>
      </c>
      <c r="G1407" s="3" t="s">
        <v>45</v>
      </c>
      <c r="H1407" s="3" t="s">
        <v>60</v>
      </c>
      <c r="I1407" s="3" t="s">
        <v>22</v>
      </c>
      <c r="J1407" s="3" t="s">
        <v>23</v>
      </c>
      <c r="K1407" s="3">
        <v>39</v>
      </c>
      <c r="L1407" s="3">
        <v>5</v>
      </c>
      <c r="M1407" s="3">
        <v>3279</v>
      </c>
      <c r="N1407" s="3">
        <v>16395</v>
      </c>
      <c r="O1407" s="3">
        <v>0</v>
      </c>
      <c r="P1407" s="3" t="s">
        <v>24</v>
      </c>
      <c r="Q1407" s="3">
        <v>1</v>
      </c>
      <c r="R1407" s="3" t="str">
        <f t="shared" si="21"/>
        <v>Cancelled</v>
      </c>
      <c r="S1407" s="3" t="s">
        <v>25</v>
      </c>
    </row>
    <row r="1408" spans="1:19" x14ac:dyDescent="0.35">
      <c r="A1408" s="3">
        <v>2407</v>
      </c>
      <c r="B1408" s="3" t="s">
        <v>998</v>
      </c>
      <c r="C1408" s="4">
        <v>45408</v>
      </c>
      <c r="D1408" s="3" t="s">
        <v>82</v>
      </c>
      <c r="E1408" s="4">
        <v>45436</v>
      </c>
      <c r="F1408" s="4">
        <v>45439</v>
      </c>
      <c r="G1408" s="3" t="s">
        <v>20</v>
      </c>
      <c r="H1408" s="3" t="s">
        <v>38</v>
      </c>
      <c r="I1408" s="3" t="s">
        <v>22</v>
      </c>
      <c r="J1408" s="3" t="s">
        <v>46</v>
      </c>
      <c r="K1408" s="3">
        <v>28</v>
      </c>
      <c r="L1408" s="3">
        <v>3</v>
      </c>
      <c r="M1408" s="3">
        <v>5350</v>
      </c>
      <c r="N1408" s="3">
        <v>16050</v>
      </c>
      <c r="O1408" s="3">
        <v>16050</v>
      </c>
      <c r="P1408" s="3" t="s">
        <v>51</v>
      </c>
      <c r="Q1408" s="3">
        <v>0</v>
      </c>
      <c r="R1408" s="3" t="str">
        <f t="shared" si="21"/>
        <v>Not Cancelled</v>
      </c>
      <c r="S1408" s="3" t="s">
        <v>25</v>
      </c>
    </row>
    <row r="1409" spans="1:19" x14ac:dyDescent="0.35">
      <c r="A1409" s="3">
        <v>2408</v>
      </c>
      <c r="B1409" s="3" t="s">
        <v>254</v>
      </c>
      <c r="C1409" s="4">
        <v>45293</v>
      </c>
      <c r="D1409" s="3" t="s">
        <v>211</v>
      </c>
      <c r="E1409" s="4">
        <v>45342</v>
      </c>
      <c r="F1409" s="4">
        <v>45345</v>
      </c>
      <c r="G1409" s="3" t="s">
        <v>20</v>
      </c>
      <c r="H1409" s="3" t="s">
        <v>29</v>
      </c>
      <c r="I1409" s="3" t="s">
        <v>39</v>
      </c>
      <c r="J1409" s="3" t="s">
        <v>23</v>
      </c>
      <c r="K1409" s="3">
        <v>49</v>
      </c>
      <c r="L1409" s="3">
        <v>3</v>
      </c>
      <c r="M1409" s="3">
        <v>5392</v>
      </c>
      <c r="N1409" s="3">
        <v>16176</v>
      </c>
      <c r="O1409" s="3">
        <v>0</v>
      </c>
      <c r="P1409" s="3" t="s">
        <v>51</v>
      </c>
      <c r="Q1409" s="3">
        <v>1</v>
      </c>
      <c r="R1409" s="3" t="str">
        <f t="shared" si="21"/>
        <v>Cancelled</v>
      </c>
      <c r="S1409" s="3" t="s">
        <v>25</v>
      </c>
    </row>
    <row r="1410" spans="1:19" x14ac:dyDescent="0.35">
      <c r="A1410" s="3">
        <v>2409</v>
      </c>
      <c r="B1410" s="3" t="s">
        <v>999</v>
      </c>
      <c r="C1410" s="4">
        <v>45384</v>
      </c>
      <c r="D1410" s="3" t="s">
        <v>146</v>
      </c>
      <c r="E1410" s="4">
        <v>45420</v>
      </c>
      <c r="F1410" s="4">
        <v>45424</v>
      </c>
      <c r="G1410" s="3" t="s">
        <v>42</v>
      </c>
      <c r="H1410" s="3" t="s">
        <v>21</v>
      </c>
      <c r="I1410" s="3" t="s">
        <v>22</v>
      </c>
      <c r="J1410" s="3" t="s">
        <v>23</v>
      </c>
      <c r="K1410" s="3">
        <v>36</v>
      </c>
      <c r="L1410" s="3">
        <v>4</v>
      </c>
      <c r="M1410" s="3">
        <v>8034</v>
      </c>
      <c r="N1410" s="3">
        <v>32136</v>
      </c>
      <c r="O1410" s="3">
        <v>0</v>
      </c>
      <c r="P1410" s="3" t="s">
        <v>51</v>
      </c>
      <c r="Q1410" s="3">
        <v>1</v>
      </c>
      <c r="R1410" s="3" t="str">
        <f t="shared" si="21"/>
        <v>Cancelled</v>
      </c>
      <c r="S1410" s="3" t="s">
        <v>31</v>
      </c>
    </row>
    <row r="1411" spans="1:19" x14ac:dyDescent="0.35">
      <c r="A1411" s="3">
        <v>2410</v>
      </c>
      <c r="B1411" s="3" t="s">
        <v>1000</v>
      </c>
      <c r="C1411" s="4">
        <v>45457</v>
      </c>
      <c r="D1411" s="3" t="s">
        <v>44</v>
      </c>
      <c r="E1411" s="4">
        <v>45470</v>
      </c>
      <c r="F1411" s="4">
        <v>45473</v>
      </c>
      <c r="G1411" s="3" t="s">
        <v>20</v>
      </c>
      <c r="H1411" s="3" t="s">
        <v>60</v>
      </c>
      <c r="I1411" s="3" t="s">
        <v>39</v>
      </c>
      <c r="J1411" s="3" t="s">
        <v>23</v>
      </c>
      <c r="K1411" s="3">
        <v>13</v>
      </c>
      <c r="L1411" s="3">
        <v>3</v>
      </c>
      <c r="M1411" s="3">
        <v>4393</v>
      </c>
      <c r="N1411" s="3">
        <v>13179</v>
      </c>
      <c r="O1411" s="3">
        <v>13179</v>
      </c>
      <c r="P1411" s="3" t="s">
        <v>24</v>
      </c>
      <c r="Q1411" s="3">
        <v>0</v>
      </c>
      <c r="R1411" s="3" t="str">
        <f t="shared" ref="R1411:R1474" si="22">IF(Q1411=0,"Not Cancelled","Cancelled")</f>
        <v>Not Cancelled</v>
      </c>
      <c r="S1411" s="3" t="s">
        <v>31</v>
      </c>
    </row>
    <row r="1412" spans="1:19" x14ac:dyDescent="0.35">
      <c r="A1412" s="3">
        <v>2411</v>
      </c>
      <c r="B1412" s="3" t="s">
        <v>992</v>
      </c>
      <c r="C1412" s="4">
        <v>45641</v>
      </c>
      <c r="D1412" s="3" t="s">
        <v>144</v>
      </c>
      <c r="E1412" s="4">
        <v>45673</v>
      </c>
      <c r="F1412" s="4">
        <v>45678</v>
      </c>
      <c r="G1412" s="3" t="s">
        <v>45</v>
      </c>
      <c r="H1412" s="3" t="s">
        <v>35</v>
      </c>
      <c r="I1412" s="3" t="s">
        <v>22</v>
      </c>
      <c r="J1412" s="3" t="s">
        <v>46</v>
      </c>
      <c r="K1412" s="3">
        <v>32</v>
      </c>
      <c r="L1412" s="3">
        <v>5</v>
      </c>
      <c r="M1412" s="3">
        <v>5806</v>
      </c>
      <c r="N1412" s="3">
        <v>29030</v>
      </c>
      <c r="O1412" s="3">
        <v>29030</v>
      </c>
      <c r="P1412" s="3" t="s">
        <v>51</v>
      </c>
      <c r="Q1412" s="3">
        <v>0</v>
      </c>
      <c r="R1412" s="3" t="str">
        <f t="shared" si="22"/>
        <v>Not Cancelled</v>
      </c>
      <c r="S1412" s="3" t="s">
        <v>25</v>
      </c>
    </row>
    <row r="1413" spans="1:19" x14ac:dyDescent="0.35">
      <c r="A1413" s="3">
        <v>2412</v>
      </c>
      <c r="B1413" s="3" t="s">
        <v>712</v>
      </c>
      <c r="C1413" s="4">
        <v>45587</v>
      </c>
      <c r="D1413" s="3" t="s">
        <v>146</v>
      </c>
      <c r="E1413" s="4">
        <v>45623</v>
      </c>
      <c r="F1413" s="4">
        <v>45626</v>
      </c>
      <c r="G1413" s="3" t="s">
        <v>20</v>
      </c>
      <c r="H1413" s="3" t="s">
        <v>29</v>
      </c>
      <c r="I1413" s="3" t="s">
        <v>39</v>
      </c>
      <c r="J1413" s="3" t="s">
        <v>46</v>
      </c>
      <c r="K1413" s="3">
        <v>36</v>
      </c>
      <c r="L1413" s="3">
        <v>3</v>
      </c>
      <c r="M1413" s="3">
        <v>5402</v>
      </c>
      <c r="N1413" s="3">
        <v>16206</v>
      </c>
      <c r="O1413" s="3">
        <v>16206</v>
      </c>
      <c r="P1413" s="3" t="s">
        <v>51</v>
      </c>
      <c r="Q1413" s="3">
        <v>0</v>
      </c>
      <c r="R1413" s="3" t="str">
        <f t="shared" si="22"/>
        <v>Not Cancelled</v>
      </c>
      <c r="S1413" s="3" t="s">
        <v>25</v>
      </c>
    </row>
    <row r="1414" spans="1:19" x14ac:dyDescent="0.35">
      <c r="A1414" s="3">
        <v>2413</v>
      </c>
      <c r="B1414" s="3" t="s">
        <v>865</v>
      </c>
      <c r="C1414" s="4">
        <v>45549</v>
      </c>
      <c r="D1414" s="3" t="s">
        <v>105</v>
      </c>
      <c r="E1414" s="4">
        <v>45586</v>
      </c>
      <c r="F1414" s="4">
        <v>45591</v>
      </c>
      <c r="G1414" s="3" t="s">
        <v>45</v>
      </c>
      <c r="H1414" s="3" t="s">
        <v>21</v>
      </c>
      <c r="I1414" s="3" t="s">
        <v>39</v>
      </c>
      <c r="J1414" s="3" t="s">
        <v>30</v>
      </c>
      <c r="K1414" s="3">
        <v>37</v>
      </c>
      <c r="L1414" s="3">
        <v>5</v>
      </c>
      <c r="M1414" s="3">
        <v>7303</v>
      </c>
      <c r="N1414" s="3">
        <v>36515</v>
      </c>
      <c r="O1414" s="3">
        <v>36515</v>
      </c>
      <c r="P1414" s="3" t="s">
        <v>24</v>
      </c>
      <c r="Q1414" s="3">
        <v>0</v>
      </c>
      <c r="R1414" s="3" t="str">
        <f t="shared" si="22"/>
        <v>Not Cancelled</v>
      </c>
      <c r="S1414" s="3" t="s">
        <v>31</v>
      </c>
    </row>
    <row r="1415" spans="1:19" x14ac:dyDescent="0.35">
      <c r="A1415" s="3">
        <v>2414</v>
      </c>
      <c r="B1415" s="3" t="s">
        <v>572</v>
      </c>
      <c r="C1415" s="4">
        <v>45372</v>
      </c>
      <c r="D1415" s="3" t="s">
        <v>98</v>
      </c>
      <c r="E1415" s="4">
        <v>45398</v>
      </c>
      <c r="F1415" s="4">
        <v>45401</v>
      </c>
      <c r="G1415" s="3" t="s">
        <v>20</v>
      </c>
      <c r="H1415" s="3" t="s">
        <v>29</v>
      </c>
      <c r="I1415" s="3" t="s">
        <v>22</v>
      </c>
      <c r="J1415" s="3" t="s">
        <v>46</v>
      </c>
      <c r="K1415" s="3">
        <v>26</v>
      </c>
      <c r="L1415" s="3">
        <v>3</v>
      </c>
      <c r="M1415" s="3">
        <v>7699</v>
      </c>
      <c r="N1415" s="3">
        <v>23097</v>
      </c>
      <c r="O1415" s="3">
        <v>23097</v>
      </c>
      <c r="P1415" s="3" t="s">
        <v>51</v>
      </c>
      <c r="Q1415" s="3">
        <v>0</v>
      </c>
      <c r="R1415" s="3" t="str">
        <f t="shared" si="22"/>
        <v>Not Cancelled</v>
      </c>
      <c r="S1415" s="3" t="s">
        <v>25</v>
      </c>
    </row>
    <row r="1416" spans="1:19" x14ac:dyDescent="0.35">
      <c r="A1416" s="3">
        <v>2415</v>
      </c>
      <c r="B1416" s="3" t="s">
        <v>1001</v>
      </c>
      <c r="C1416" s="4">
        <v>45559</v>
      </c>
      <c r="D1416" s="3" t="s">
        <v>19</v>
      </c>
      <c r="E1416" s="4">
        <v>45581</v>
      </c>
      <c r="F1416" s="4">
        <v>45586</v>
      </c>
      <c r="G1416" s="3" t="s">
        <v>45</v>
      </c>
      <c r="H1416" s="3" t="s">
        <v>29</v>
      </c>
      <c r="I1416" s="3" t="s">
        <v>39</v>
      </c>
      <c r="J1416" s="3" t="s">
        <v>30</v>
      </c>
      <c r="K1416" s="3">
        <v>22</v>
      </c>
      <c r="L1416" s="3">
        <v>5</v>
      </c>
      <c r="M1416" s="3">
        <v>6218</v>
      </c>
      <c r="N1416" s="3">
        <v>31090</v>
      </c>
      <c r="O1416" s="3">
        <v>31090</v>
      </c>
      <c r="P1416" s="3" t="s">
        <v>51</v>
      </c>
      <c r="Q1416" s="3">
        <v>0</v>
      </c>
      <c r="R1416" s="3" t="str">
        <f t="shared" si="22"/>
        <v>Not Cancelled</v>
      </c>
      <c r="S1416" s="3" t="s">
        <v>25</v>
      </c>
    </row>
    <row r="1417" spans="1:19" x14ac:dyDescent="0.35">
      <c r="A1417" s="3">
        <v>2416</v>
      </c>
      <c r="B1417" s="3" t="s">
        <v>739</v>
      </c>
      <c r="C1417" s="4">
        <v>45526</v>
      </c>
      <c r="D1417" s="3" t="s">
        <v>42</v>
      </c>
      <c r="E1417" s="4">
        <v>45530</v>
      </c>
      <c r="F1417" s="4">
        <v>45533</v>
      </c>
      <c r="G1417" s="3" t="s">
        <v>20</v>
      </c>
      <c r="H1417" s="3" t="s">
        <v>35</v>
      </c>
      <c r="I1417" s="3" t="s">
        <v>39</v>
      </c>
      <c r="J1417" s="3" t="s">
        <v>46</v>
      </c>
      <c r="K1417" s="3">
        <v>4</v>
      </c>
      <c r="L1417" s="3">
        <v>3</v>
      </c>
      <c r="M1417" s="3">
        <v>2521</v>
      </c>
      <c r="N1417" s="3">
        <v>7563</v>
      </c>
      <c r="O1417" s="3">
        <v>7563</v>
      </c>
      <c r="P1417" s="3" t="s">
        <v>51</v>
      </c>
      <c r="Q1417" s="3">
        <v>0</v>
      </c>
      <c r="R1417" s="3" t="str">
        <f t="shared" si="22"/>
        <v>Not Cancelled</v>
      </c>
      <c r="S1417" s="3" t="s">
        <v>25</v>
      </c>
    </row>
    <row r="1418" spans="1:19" x14ac:dyDescent="0.35">
      <c r="A1418" s="3">
        <v>2417</v>
      </c>
      <c r="B1418" s="3" t="s">
        <v>1002</v>
      </c>
      <c r="C1418" s="4">
        <v>45612</v>
      </c>
      <c r="D1418" s="3" t="s">
        <v>48</v>
      </c>
      <c r="E1418" s="4">
        <v>45643</v>
      </c>
      <c r="F1418" s="4">
        <v>45646</v>
      </c>
      <c r="G1418" s="3" t="s">
        <v>20</v>
      </c>
      <c r="H1418" s="3" t="s">
        <v>21</v>
      </c>
      <c r="I1418" s="3" t="s">
        <v>39</v>
      </c>
      <c r="J1418" s="3" t="s">
        <v>23</v>
      </c>
      <c r="K1418" s="3">
        <v>31</v>
      </c>
      <c r="L1418" s="3">
        <v>3</v>
      </c>
      <c r="M1418" s="3">
        <v>4000</v>
      </c>
      <c r="N1418" s="3">
        <v>12000</v>
      </c>
      <c r="O1418" s="3">
        <v>12000</v>
      </c>
      <c r="P1418" s="3" t="s">
        <v>24</v>
      </c>
      <c r="Q1418" s="3">
        <v>0</v>
      </c>
      <c r="R1418" s="3" t="str">
        <f t="shared" si="22"/>
        <v>Not Cancelled</v>
      </c>
      <c r="S1418" s="3" t="s">
        <v>25</v>
      </c>
    </row>
    <row r="1419" spans="1:19" x14ac:dyDescent="0.35">
      <c r="A1419" s="3">
        <v>2418</v>
      </c>
      <c r="B1419" s="3" t="s">
        <v>398</v>
      </c>
      <c r="C1419" s="4">
        <v>45602</v>
      </c>
      <c r="D1419" s="3" t="s">
        <v>27</v>
      </c>
      <c r="E1419" s="4">
        <v>45620</v>
      </c>
      <c r="F1419" s="4">
        <v>45622</v>
      </c>
      <c r="G1419" s="3" t="s">
        <v>28</v>
      </c>
      <c r="H1419" s="3" t="s">
        <v>29</v>
      </c>
      <c r="I1419" s="3" t="s">
        <v>22</v>
      </c>
      <c r="J1419" s="3" t="s">
        <v>30</v>
      </c>
      <c r="K1419" s="3">
        <v>18</v>
      </c>
      <c r="L1419" s="3">
        <v>2</v>
      </c>
      <c r="M1419" s="3">
        <v>3342</v>
      </c>
      <c r="N1419" s="3">
        <v>6684</v>
      </c>
      <c r="O1419" s="3">
        <v>6684</v>
      </c>
      <c r="P1419" s="3" t="s">
        <v>51</v>
      </c>
      <c r="Q1419" s="3">
        <v>0</v>
      </c>
      <c r="R1419" s="3" t="str">
        <f t="shared" si="22"/>
        <v>Not Cancelled</v>
      </c>
      <c r="S1419" s="3" t="s">
        <v>31</v>
      </c>
    </row>
    <row r="1420" spans="1:19" x14ac:dyDescent="0.35">
      <c r="A1420" s="3">
        <v>2419</v>
      </c>
      <c r="B1420" s="3" t="s">
        <v>1003</v>
      </c>
      <c r="C1420" s="4">
        <v>45592</v>
      </c>
      <c r="D1420" s="3" t="s">
        <v>115</v>
      </c>
      <c r="E1420" s="4">
        <v>45630</v>
      </c>
      <c r="F1420" s="4">
        <v>45635</v>
      </c>
      <c r="G1420" s="3" t="s">
        <v>45</v>
      </c>
      <c r="H1420" s="3" t="s">
        <v>35</v>
      </c>
      <c r="I1420" s="3" t="s">
        <v>22</v>
      </c>
      <c r="J1420" s="3" t="s">
        <v>30</v>
      </c>
      <c r="K1420" s="3">
        <v>38</v>
      </c>
      <c r="L1420" s="3">
        <v>5</v>
      </c>
      <c r="M1420" s="3">
        <v>4260</v>
      </c>
      <c r="N1420" s="3">
        <v>21300</v>
      </c>
      <c r="O1420" s="3">
        <v>0</v>
      </c>
      <c r="P1420" s="3" t="s">
        <v>51</v>
      </c>
      <c r="Q1420" s="3">
        <v>1</v>
      </c>
      <c r="R1420" s="3" t="str">
        <f t="shared" si="22"/>
        <v>Cancelled</v>
      </c>
      <c r="S1420" s="3" t="s">
        <v>31</v>
      </c>
    </row>
    <row r="1421" spans="1:19" x14ac:dyDescent="0.35">
      <c r="A1421" s="3">
        <v>2420</v>
      </c>
      <c r="B1421" s="3" t="s">
        <v>475</v>
      </c>
      <c r="C1421" s="4">
        <v>45648</v>
      </c>
      <c r="D1421" s="3" t="s">
        <v>159</v>
      </c>
      <c r="E1421" s="4">
        <v>45672</v>
      </c>
      <c r="F1421" s="4">
        <v>45677</v>
      </c>
      <c r="G1421" s="3" t="s">
        <v>45</v>
      </c>
      <c r="H1421" s="3" t="s">
        <v>60</v>
      </c>
      <c r="I1421" s="3" t="s">
        <v>39</v>
      </c>
      <c r="J1421" s="3" t="s">
        <v>30</v>
      </c>
      <c r="K1421" s="3">
        <v>24</v>
      </c>
      <c r="L1421" s="3">
        <v>5</v>
      </c>
      <c r="M1421" s="3">
        <v>6141</v>
      </c>
      <c r="N1421" s="3">
        <v>30705</v>
      </c>
      <c r="O1421" s="3">
        <v>30705</v>
      </c>
      <c r="P1421" s="3" t="s">
        <v>51</v>
      </c>
      <c r="Q1421" s="3">
        <v>0</v>
      </c>
      <c r="R1421" s="3" t="str">
        <f t="shared" si="22"/>
        <v>Not Cancelled</v>
      </c>
      <c r="S1421" s="3" t="s">
        <v>25</v>
      </c>
    </row>
    <row r="1422" spans="1:19" x14ac:dyDescent="0.35">
      <c r="A1422" s="3">
        <v>2421</v>
      </c>
      <c r="B1422" s="3" t="s">
        <v>887</v>
      </c>
      <c r="C1422" s="4">
        <v>45504</v>
      </c>
      <c r="D1422" s="3" t="s">
        <v>94</v>
      </c>
      <c r="E1422" s="4">
        <v>45560</v>
      </c>
      <c r="F1422" s="4">
        <v>45565</v>
      </c>
      <c r="G1422" s="3" t="s">
        <v>45</v>
      </c>
      <c r="H1422" s="3" t="s">
        <v>35</v>
      </c>
      <c r="I1422" s="3" t="s">
        <v>39</v>
      </c>
      <c r="J1422" s="3" t="s">
        <v>46</v>
      </c>
      <c r="K1422" s="3">
        <v>56</v>
      </c>
      <c r="L1422" s="3">
        <v>5</v>
      </c>
      <c r="M1422" s="3">
        <v>7712</v>
      </c>
      <c r="N1422" s="3">
        <v>38560</v>
      </c>
      <c r="O1422" s="3">
        <v>0</v>
      </c>
      <c r="P1422" s="3" t="s">
        <v>24</v>
      </c>
      <c r="Q1422" s="3">
        <v>1</v>
      </c>
      <c r="R1422" s="3" t="str">
        <f t="shared" si="22"/>
        <v>Cancelled</v>
      </c>
      <c r="S1422" s="3" t="s">
        <v>31</v>
      </c>
    </row>
    <row r="1423" spans="1:19" x14ac:dyDescent="0.35">
      <c r="A1423" s="3">
        <v>2422</v>
      </c>
      <c r="B1423" s="3" t="s">
        <v>380</v>
      </c>
      <c r="C1423" s="4">
        <v>45353</v>
      </c>
      <c r="D1423" s="3" t="s">
        <v>111</v>
      </c>
      <c r="E1423" s="4">
        <v>45376</v>
      </c>
      <c r="F1423" s="4">
        <v>45377</v>
      </c>
      <c r="G1423" s="3" t="s">
        <v>34</v>
      </c>
      <c r="H1423" s="3" t="s">
        <v>38</v>
      </c>
      <c r="I1423" s="3" t="s">
        <v>22</v>
      </c>
      <c r="J1423" s="3" t="s">
        <v>30</v>
      </c>
      <c r="K1423" s="3">
        <v>23</v>
      </c>
      <c r="L1423" s="3">
        <v>1</v>
      </c>
      <c r="M1423" s="3">
        <v>2691</v>
      </c>
      <c r="N1423" s="3">
        <v>2691</v>
      </c>
      <c r="O1423" s="3">
        <v>2691</v>
      </c>
      <c r="P1423" s="3" t="s">
        <v>24</v>
      </c>
      <c r="Q1423" s="3">
        <v>0</v>
      </c>
      <c r="R1423" s="3" t="str">
        <f t="shared" si="22"/>
        <v>Not Cancelled</v>
      </c>
      <c r="S1423" s="3" t="s">
        <v>25</v>
      </c>
    </row>
    <row r="1424" spans="1:19" x14ac:dyDescent="0.35">
      <c r="A1424" s="3">
        <v>2423</v>
      </c>
      <c r="B1424" s="3" t="s">
        <v>1004</v>
      </c>
      <c r="C1424" s="4">
        <v>45340</v>
      </c>
      <c r="D1424" s="3" t="s">
        <v>19</v>
      </c>
      <c r="E1424" s="4">
        <v>45362</v>
      </c>
      <c r="F1424" s="4">
        <v>45365</v>
      </c>
      <c r="G1424" s="3" t="s">
        <v>20</v>
      </c>
      <c r="H1424" s="3" t="s">
        <v>35</v>
      </c>
      <c r="I1424" s="3" t="s">
        <v>22</v>
      </c>
      <c r="J1424" s="3" t="s">
        <v>46</v>
      </c>
      <c r="K1424" s="3">
        <v>22</v>
      </c>
      <c r="L1424" s="3">
        <v>3</v>
      </c>
      <c r="M1424" s="3">
        <v>7614</v>
      </c>
      <c r="N1424" s="3">
        <v>22842</v>
      </c>
      <c r="O1424" s="3">
        <v>22842</v>
      </c>
      <c r="P1424" s="3" t="s">
        <v>24</v>
      </c>
      <c r="Q1424" s="3">
        <v>0</v>
      </c>
      <c r="R1424" s="3" t="str">
        <f t="shared" si="22"/>
        <v>Not Cancelled</v>
      </c>
      <c r="S1424" s="3" t="s">
        <v>25</v>
      </c>
    </row>
    <row r="1425" spans="1:19" x14ac:dyDescent="0.35">
      <c r="A1425" s="3">
        <v>2424</v>
      </c>
      <c r="B1425" s="3" t="s">
        <v>1005</v>
      </c>
      <c r="C1425" s="4">
        <v>45418</v>
      </c>
      <c r="D1425" s="3" t="s">
        <v>28</v>
      </c>
      <c r="E1425" s="4">
        <v>45420</v>
      </c>
      <c r="F1425" s="4">
        <v>45425</v>
      </c>
      <c r="G1425" s="3" t="s">
        <v>45</v>
      </c>
      <c r="H1425" s="3" t="s">
        <v>35</v>
      </c>
      <c r="I1425" s="3" t="s">
        <v>22</v>
      </c>
      <c r="J1425" s="3" t="s">
        <v>30</v>
      </c>
      <c r="K1425" s="3">
        <v>2</v>
      </c>
      <c r="L1425" s="3">
        <v>5</v>
      </c>
      <c r="M1425" s="3">
        <v>7722</v>
      </c>
      <c r="N1425" s="3">
        <v>38610</v>
      </c>
      <c r="O1425" s="3">
        <v>38610</v>
      </c>
      <c r="P1425" s="3" t="s">
        <v>51</v>
      </c>
      <c r="Q1425" s="3">
        <v>0</v>
      </c>
      <c r="R1425" s="3" t="str">
        <f t="shared" si="22"/>
        <v>Not Cancelled</v>
      </c>
      <c r="S1425" s="3" t="s">
        <v>25</v>
      </c>
    </row>
    <row r="1426" spans="1:19" x14ac:dyDescent="0.35">
      <c r="A1426" s="3">
        <v>2425</v>
      </c>
      <c r="B1426" s="3" t="s">
        <v>1006</v>
      </c>
      <c r="C1426" s="4">
        <v>45514</v>
      </c>
      <c r="D1426" s="3" t="s">
        <v>48</v>
      </c>
      <c r="E1426" s="4">
        <v>45545</v>
      </c>
      <c r="F1426" s="4">
        <v>45546</v>
      </c>
      <c r="G1426" s="3" t="s">
        <v>34</v>
      </c>
      <c r="H1426" s="3" t="s">
        <v>35</v>
      </c>
      <c r="I1426" s="3" t="s">
        <v>39</v>
      </c>
      <c r="J1426" s="3" t="s">
        <v>46</v>
      </c>
      <c r="K1426" s="3">
        <v>31</v>
      </c>
      <c r="L1426" s="3">
        <v>1</v>
      </c>
      <c r="M1426" s="3">
        <v>2895</v>
      </c>
      <c r="N1426" s="3">
        <v>2895</v>
      </c>
      <c r="O1426" s="3">
        <v>0</v>
      </c>
      <c r="P1426" s="3" t="s">
        <v>51</v>
      </c>
      <c r="Q1426" s="3">
        <v>1</v>
      </c>
      <c r="R1426" s="3" t="str">
        <f t="shared" si="22"/>
        <v>Cancelled</v>
      </c>
      <c r="S1426" s="3" t="s">
        <v>31</v>
      </c>
    </row>
    <row r="1427" spans="1:19" x14ac:dyDescent="0.35">
      <c r="A1427" s="3">
        <v>2426</v>
      </c>
      <c r="B1427" s="3" t="s">
        <v>890</v>
      </c>
      <c r="C1427" s="4">
        <v>45570</v>
      </c>
      <c r="D1427" s="3" t="s">
        <v>113</v>
      </c>
      <c r="E1427" s="4">
        <v>45625</v>
      </c>
      <c r="F1427" s="4">
        <v>45627</v>
      </c>
      <c r="G1427" s="3" t="s">
        <v>28</v>
      </c>
      <c r="H1427" s="3" t="s">
        <v>29</v>
      </c>
      <c r="I1427" s="3" t="s">
        <v>22</v>
      </c>
      <c r="J1427" s="3" t="s">
        <v>30</v>
      </c>
      <c r="K1427" s="3">
        <v>55</v>
      </c>
      <c r="L1427" s="3">
        <v>2</v>
      </c>
      <c r="M1427" s="3">
        <v>7614</v>
      </c>
      <c r="N1427" s="3">
        <v>15228</v>
      </c>
      <c r="O1427" s="3">
        <v>0</v>
      </c>
      <c r="P1427" s="3" t="s">
        <v>51</v>
      </c>
      <c r="Q1427" s="3">
        <v>1</v>
      </c>
      <c r="R1427" s="3" t="str">
        <f t="shared" si="22"/>
        <v>Cancelled</v>
      </c>
      <c r="S1427" s="3" t="s">
        <v>31</v>
      </c>
    </row>
    <row r="1428" spans="1:19" x14ac:dyDescent="0.35">
      <c r="A1428" s="3">
        <v>2427</v>
      </c>
      <c r="B1428" s="3" t="s">
        <v>940</v>
      </c>
      <c r="C1428" s="4">
        <v>45585</v>
      </c>
      <c r="D1428" s="3" t="s">
        <v>75</v>
      </c>
      <c r="E1428" s="4">
        <v>45596</v>
      </c>
      <c r="F1428" s="4">
        <v>45601</v>
      </c>
      <c r="G1428" s="3" t="s">
        <v>45</v>
      </c>
      <c r="H1428" s="3" t="s">
        <v>21</v>
      </c>
      <c r="I1428" s="3" t="s">
        <v>39</v>
      </c>
      <c r="J1428" s="3" t="s">
        <v>23</v>
      </c>
      <c r="K1428" s="3">
        <v>11</v>
      </c>
      <c r="L1428" s="3">
        <v>5</v>
      </c>
      <c r="M1428" s="3">
        <v>7162</v>
      </c>
      <c r="N1428" s="3">
        <v>35810</v>
      </c>
      <c r="O1428" s="3">
        <v>35810</v>
      </c>
      <c r="P1428" s="3" t="s">
        <v>51</v>
      </c>
      <c r="Q1428" s="3">
        <v>0</v>
      </c>
      <c r="R1428" s="3" t="str">
        <f t="shared" si="22"/>
        <v>Not Cancelled</v>
      </c>
      <c r="S1428" s="3" t="s">
        <v>31</v>
      </c>
    </row>
    <row r="1429" spans="1:19" x14ac:dyDescent="0.35">
      <c r="A1429" s="3">
        <v>2428</v>
      </c>
      <c r="B1429" s="3" t="s">
        <v>764</v>
      </c>
      <c r="C1429" s="4">
        <v>45575</v>
      </c>
      <c r="D1429" s="3" t="s">
        <v>82</v>
      </c>
      <c r="E1429" s="4">
        <v>45603</v>
      </c>
      <c r="F1429" s="4">
        <v>45608</v>
      </c>
      <c r="G1429" s="3" t="s">
        <v>45</v>
      </c>
      <c r="H1429" s="3" t="s">
        <v>35</v>
      </c>
      <c r="I1429" s="3" t="s">
        <v>22</v>
      </c>
      <c r="J1429" s="3" t="s">
        <v>23</v>
      </c>
      <c r="K1429" s="3">
        <v>28</v>
      </c>
      <c r="L1429" s="3">
        <v>5</v>
      </c>
      <c r="M1429" s="3">
        <v>6826</v>
      </c>
      <c r="N1429" s="3">
        <v>34130</v>
      </c>
      <c r="O1429" s="3">
        <v>0</v>
      </c>
      <c r="P1429" s="3" t="s">
        <v>51</v>
      </c>
      <c r="Q1429" s="3">
        <v>1</v>
      </c>
      <c r="R1429" s="3" t="str">
        <f t="shared" si="22"/>
        <v>Cancelled</v>
      </c>
      <c r="S1429" s="3" t="s">
        <v>31</v>
      </c>
    </row>
    <row r="1430" spans="1:19" x14ac:dyDescent="0.35">
      <c r="A1430" s="3">
        <v>2429</v>
      </c>
      <c r="B1430" s="3" t="s">
        <v>605</v>
      </c>
      <c r="C1430" s="4">
        <v>45568</v>
      </c>
      <c r="D1430" s="3" t="s">
        <v>41</v>
      </c>
      <c r="E1430" s="4">
        <v>45614</v>
      </c>
      <c r="F1430" s="4">
        <v>45615</v>
      </c>
      <c r="G1430" s="3" t="s">
        <v>34</v>
      </c>
      <c r="H1430" s="3" t="s">
        <v>35</v>
      </c>
      <c r="I1430" s="3" t="s">
        <v>39</v>
      </c>
      <c r="J1430" s="3" t="s">
        <v>30</v>
      </c>
      <c r="K1430" s="3">
        <v>46</v>
      </c>
      <c r="L1430" s="3">
        <v>1</v>
      </c>
      <c r="M1430" s="3">
        <v>3373</v>
      </c>
      <c r="N1430" s="3">
        <v>3373</v>
      </c>
      <c r="O1430" s="3">
        <v>3373</v>
      </c>
      <c r="P1430" s="3" t="s">
        <v>24</v>
      </c>
      <c r="Q1430" s="3">
        <v>0</v>
      </c>
      <c r="R1430" s="3" t="str">
        <f t="shared" si="22"/>
        <v>Not Cancelled</v>
      </c>
      <c r="S1430" s="3" t="s">
        <v>31</v>
      </c>
    </row>
    <row r="1431" spans="1:19" x14ac:dyDescent="0.35">
      <c r="A1431" s="3">
        <v>2430</v>
      </c>
      <c r="B1431" s="3" t="s">
        <v>1007</v>
      </c>
      <c r="C1431" s="4">
        <v>45398</v>
      </c>
      <c r="D1431" s="3" t="s">
        <v>144</v>
      </c>
      <c r="E1431" s="4">
        <v>45430</v>
      </c>
      <c r="F1431" s="4">
        <v>45433</v>
      </c>
      <c r="G1431" s="3" t="s">
        <v>20</v>
      </c>
      <c r="H1431" s="3" t="s">
        <v>38</v>
      </c>
      <c r="I1431" s="3" t="s">
        <v>22</v>
      </c>
      <c r="J1431" s="3" t="s">
        <v>46</v>
      </c>
      <c r="K1431" s="3">
        <v>32</v>
      </c>
      <c r="L1431" s="3">
        <v>3</v>
      </c>
      <c r="M1431" s="3">
        <v>5121</v>
      </c>
      <c r="N1431" s="3">
        <v>15363</v>
      </c>
      <c r="O1431" s="3">
        <v>0</v>
      </c>
      <c r="P1431" s="3" t="s">
        <v>51</v>
      </c>
      <c r="Q1431" s="3">
        <v>1</v>
      </c>
      <c r="R1431" s="3" t="str">
        <f t="shared" si="22"/>
        <v>Cancelled</v>
      </c>
      <c r="S1431" s="3" t="s">
        <v>25</v>
      </c>
    </row>
    <row r="1432" spans="1:19" x14ac:dyDescent="0.35">
      <c r="A1432" s="3">
        <v>2431</v>
      </c>
      <c r="B1432" s="3" t="s">
        <v>851</v>
      </c>
      <c r="C1432" s="4">
        <v>45437</v>
      </c>
      <c r="D1432" s="3" t="s">
        <v>45</v>
      </c>
      <c r="E1432" s="4">
        <v>45442</v>
      </c>
      <c r="F1432" s="4">
        <v>45444</v>
      </c>
      <c r="G1432" s="3" t="s">
        <v>28</v>
      </c>
      <c r="H1432" s="3" t="s">
        <v>38</v>
      </c>
      <c r="I1432" s="3" t="s">
        <v>39</v>
      </c>
      <c r="J1432" s="3" t="s">
        <v>46</v>
      </c>
      <c r="K1432" s="3">
        <v>5</v>
      </c>
      <c r="L1432" s="3">
        <v>2</v>
      </c>
      <c r="M1432" s="3">
        <v>6835</v>
      </c>
      <c r="N1432" s="3">
        <v>13670</v>
      </c>
      <c r="O1432" s="3">
        <v>13670</v>
      </c>
      <c r="P1432" s="3" t="s">
        <v>51</v>
      </c>
      <c r="Q1432" s="3">
        <v>0</v>
      </c>
      <c r="R1432" s="3" t="str">
        <f t="shared" si="22"/>
        <v>Not Cancelled</v>
      </c>
      <c r="S1432" s="3" t="s">
        <v>25</v>
      </c>
    </row>
    <row r="1433" spans="1:19" x14ac:dyDescent="0.35">
      <c r="A1433" s="3">
        <v>2432</v>
      </c>
      <c r="B1433" s="3" t="s">
        <v>891</v>
      </c>
      <c r="C1433" s="4">
        <v>45390</v>
      </c>
      <c r="D1433" s="3" t="s">
        <v>115</v>
      </c>
      <c r="E1433" s="4">
        <v>45428</v>
      </c>
      <c r="F1433" s="4">
        <v>45433</v>
      </c>
      <c r="G1433" s="3" t="s">
        <v>45</v>
      </c>
      <c r="H1433" s="3" t="s">
        <v>60</v>
      </c>
      <c r="I1433" s="3" t="s">
        <v>22</v>
      </c>
      <c r="J1433" s="3" t="s">
        <v>46</v>
      </c>
      <c r="K1433" s="3">
        <v>38</v>
      </c>
      <c r="L1433" s="3">
        <v>5</v>
      </c>
      <c r="M1433" s="3">
        <v>2589</v>
      </c>
      <c r="N1433" s="3">
        <v>12945</v>
      </c>
      <c r="O1433" s="3">
        <v>0</v>
      </c>
      <c r="P1433" s="3" t="s">
        <v>24</v>
      </c>
      <c r="Q1433" s="3">
        <v>1</v>
      </c>
      <c r="R1433" s="3" t="str">
        <f t="shared" si="22"/>
        <v>Cancelled</v>
      </c>
      <c r="S1433" s="3" t="s">
        <v>31</v>
      </c>
    </row>
    <row r="1434" spans="1:19" x14ac:dyDescent="0.35">
      <c r="A1434" s="3">
        <v>2433</v>
      </c>
      <c r="B1434" s="3" t="s">
        <v>551</v>
      </c>
      <c r="C1434" s="4">
        <v>45364</v>
      </c>
      <c r="D1434" s="3" t="s">
        <v>37</v>
      </c>
      <c r="E1434" s="4">
        <v>45374</v>
      </c>
      <c r="F1434" s="4">
        <v>45377</v>
      </c>
      <c r="G1434" s="3" t="s">
        <v>20</v>
      </c>
      <c r="H1434" s="3" t="s">
        <v>60</v>
      </c>
      <c r="I1434" s="3" t="s">
        <v>22</v>
      </c>
      <c r="J1434" s="3" t="s">
        <v>23</v>
      </c>
      <c r="K1434" s="3">
        <v>10</v>
      </c>
      <c r="L1434" s="3">
        <v>3</v>
      </c>
      <c r="M1434" s="3">
        <v>4779</v>
      </c>
      <c r="N1434" s="3">
        <v>14337</v>
      </c>
      <c r="O1434" s="3">
        <v>14337</v>
      </c>
      <c r="P1434" s="3" t="s">
        <v>24</v>
      </c>
      <c r="Q1434" s="3">
        <v>0</v>
      </c>
      <c r="R1434" s="3" t="str">
        <f t="shared" si="22"/>
        <v>Not Cancelled</v>
      </c>
      <c r="S1434" s="3" t="s">
        <v>31</v>
      </c>
    </row>
    <row r="1435" spans="1:19" x14ac:dyDescent="0.35">
      <c r="A1435" s="3">
        <v>2434</v>
      </c>
      <c r="B1435" s="3" t="s">
        <v>279</v>
      </c>
      <c r="C1435" s="4">
        <v>45413</v>
      </c>
      <c r="D1435" s="3" t="s">
        <v>179</v>
      </c>
      <c r="E1435" s="4">
        <v>45453</v>
      </c>
      <c r="F1435" s="4">
        <v>45455</v>
      </c>
      <c r="G1435" s="3" t="s">
        <v>28</v>
      </c>
      <c r="H1435" s="3" t="s">
        <v>38</v>
      </c>
      <c r="I1435" s="3" t="s">
        <v>39</v>
      </c>
      <c r="J1435" s="3" t="s">
        <v>23</v>
      </c>
      <c r="K1435" s="3">
        <v>40</v>
      </c>
      <c r="L1435" s="3">
        <v>2</v>
      </c>
      <c r="M1435" s="3">
        <v>2956</v>
      </c>
      <c r="N1435" s="3">
        <v>5912</v>
      </c>
      <c r="O1435" s="3">
        <v>5912</v>
      </c>
      <c r="P1435" s="3" t="s">
        <v>51</v>
      </c>
      <c r="Q1435" s="3">
        <v>0</v>
      </c>
      <c r="R1435" s="3" t="str">
        <f t="shared" si="22"/>
        <v>Not Cancelled</v>
      </c>
      <c r="S1435" s="3" t="s">
        <v>31</v>
      </c>
    </row>
    <row r="1436" spans="1:19" x14ac:dyDescent="0.35">
      <c r="A1436" s="3">
        <v>2435</v>
      </c>
      <c r="B1436" s="3" t="s">
        <v>312</v>
      </c>
      <c r="C1436" s="4">
        <v>45321</v>
      </c>
      <c r="D1436" s="3" t="s">
        <v>41</v>
      </c>
      <c r="E1436" s="4">
        <v>45367</v>
      </c>
      <c r="F1436" s="4">
        <v>45371</v>
      </c>
      <c r="G1436" s="3" t="s">
        <v>42</v>
      </c>
      <c r="H1436" s="3" t="s">
        <v>21</v>
      </c>
      <c r="I1436" s="3" t="s">
        <v>22</v>
      </c>
      <c r="J1436" s="3" t="s">
        <v>23</v>
      </c>
      <c r="K1436" s="3">
        <v>46</v>
      </c>
      <c r="L1436" s="3">
        <v>4</v>
      </c>
      <c r="M1436" s="3">
        <v>4780</v>
      </c>
      <c r="N1436" s="3">
        <v>19120</v>
      </c>
      <c r="O1436" s="3">
        <v>0</v>
      </c>
      <c r="P1436" s="3" t="s">
        <v>24</v>
      </c>
      <c r="Q1436" s="3">
        <v>1</v>
      </c>
      <c r="R1436" s="3" t="str">
        <f t="shared" si="22"/>
        <v>Cancelled</v>
      </c>
      <c r="S1436" s="3" t="s">
        <v>25</v>
      </c>
    </row>
    <row r="1437" spans="1:19" x14ac:dyDescent="0.35">
      <c r="A1437" s="3">
        <v>2436</v>
      </c>
      <c r="B1437" s="3" t="s">
        <v>1008</v>
      </c>
      <c r="C1437" s="4">
        <v>45479</v>
      </c>
      <c r="D1437" s="3" t="s">
        <v>159</v>
      </c>
      <c r="E1437" s="4">
        <v>45503</v>
      </c>
      <c r="F1437" s="4">
        <v>45507</v>
      </c>
      <c r="G1437" s="3" t="s">
        <v>42</v>
      </c>
      <c r="H1437" s="3" t="s">
        <v>60</v>
      </c>
      <c r="I1437" s="3" t="s">
        <v>22</v>
      </c>
      <c r="J1437" s="3" t="s">
        <v>46</v>
      </c>
      <c r="K1437" s="3">
        <v>24</v>
      </c>
      <c r="L1437" s="3">
        <v>4</v>
      </c>
      <c r="M1437" s="3">
        <v>6949</v>
      </c>
      <c r="N1437" s="3">
        <v>27796</v>
      </c>
      <c r="O1437" s="3">
        <v>0</v>
      </c>
      <c r="P1437" s="3" t="s">
        <v>24</v>
      </c>
      <c r="Q1437" s="3">
        <v>1</v>
      </c>
      <c r="R1437" s="3" t="str">
        <f t="shared" si="22"/>
        <v>Cancelled</v>
      </c>
      <c r="S1437" s="3" t="s">
        <v>31</v>
      </c>
    </row>
    <row r="1438" spans="1:19" x14ac:dyDescent="0.35">
      <c r="A1438" s="3">
        <v>2437</v>
      </c>
      <c r="B1438" s="3" t="s">
        <v>1009</v>
      </c>
      <c r="C1438" s="4">
        <v>45655</v>
      </c>
      <c r="D1438" s="3" t="s">
        <v>91</v>
      </c>
      <c r="E1438" s="4">
        <v>45690</v>
      </c>
      <c r="F1438" s="4">
        <v>45692</v>
      </c>
      <c r="G1438" s="3" t="s">
        <v>28</v>
      </c>
      <c r="H1438" s="3" t="s">
        <v>21</v>
      </c>
      <c r="I1438" s="3" t="s">
        <v>22</v>
      </c>
      <c r="J1438" s="3" t="s">
        <v>46</v>
      </c>
      <c r="K1438" s="3">
        <v>35</v>
      </c>
      <c r="L1438" s="3">
        <v>2</v>
      </c>
      <c r="M1438" s="3">
        <v>3504</v>
      </c>
      <c r="N1438" s="3">
        <v>7008</v>
      </c>
      <c r="O1438" s="3">
        <v>7008</v>
      </c>
      <c r="P1438" s="3" t="s">
        <v>24</v>
      </c>
      <c r="Q1438" s="3">
        <v>0</v>
      </c>
      <c r="R1438" s="3" t="str">
        <f t="shared" si="22"/>
        <v>Not Cancelled</v>
      </c>
      <c r="S1438" s="3" t="s">
        <v>25</v>
      </c>
    </row>
    <row r="1439" spans="1:19" x14ac:dyDescent="0.35">
      <c r="A1439" s="3">
        <v>2438</v>
      </c>
      <c r="B1439" s="3" t="s">
        <v>350</v>
      </c>
      <c r="C1439" s="4">
        <v>45645</v>
      </c>
      <c r="D1439" s="3" t="s">
        <v>62</v>
      </c>
      <c r="E1439" s="4">
        <v>45689</v>
      </c>
      <c r="F1439" s="4">
        <v>45690</v>
      </c>
      <c r="G1439" s="3" t="s">
        <v>34</v>
      </c>
      <c r="H1439" s="3" t="s">
        <v>38</v>
      </c>
      <c r="I1439" s="3" t="s">
        <v>22</v>
      </c>
      <c r="J1439" s="3" t="s">
        <v>46</v>
      </c>
      <c r="K1439" s="3">
        <v>44</v>
      </c>
      <c r="L1439" s="3">
        <v>1</v>
      </c>
      <c r="M1439" s="3">
        <v>7952</v>
      </c>
      <c r="N1439" s="3">
        <v>7952</v>
      </c>
      <c r="O1439" s="3">
        <v>0</v>
      </c>
      <c r="P1439" s="3" t="s">
        <v>51</v>
      </c>
      <c r="Q1439" s="3">
        <v>1</v>
      </c>
      <c r="R1439" s="3" t="str">
        <f t="shared" si="22"/>
        <v>Cancelled</v>
      </c>
      <c r="S1439" s="3" t="s">
        <v>25</v>
      </c>
    </row>
    <row r="1440" spans="1:19" x14ac:dyDescent="0.35">
      <c r="A1440" s="3">
        <v>2439</v>
      </c>
      <c r="B1440" s="3" t="s">
        <v>1010</v>
      </c>
      <c r="C1440" s="4">
        <v>45579</v>
      </c>
      <c r="D1440" s="3" t="s">
        <v>73</v>
      </c>
      <c r="E1440" s="4">
        <v>45627</v>
      </c>
      <c r="F1440" s="4">
        <v>45629</v>
      </c>
      <c r="G1440" s="3" t="s">
        <v>28</v>
      </c>
      <c r="H1440" s="3" t="s">
        <v>60</v>
      </c>
      <c r="I1440" s="3" t="s">
        <v>39</v>
      </c>
      <c r="J1440" s="3" t="s">
        <v>30</v>
      </c>
      <c r="K1440" s="3">
        <v>48</v>
      </c>
      <c r="L1440" s="3">
        <v>2</v>
      </c>
      <c r="M1440" s="3">
        <v>7034</v>
      </c>
      <c r="N1440" s="3">
        <v>14068</v>
      </c>
      <c r="O1440" s="3">
        <v>14068</v>
      </c>
      <c r="P1440" s="3" t="s">
        <v>24</v>
      </c>
      <c r="Q1440" s="3">
        <v>0</v>
      </c>
      <c r="R1440" s="3" t="str">
        <f t="shared" si="22"/>
        <v>Not Cancelled</v>
      </c>
      <c r="S1440" s="3" t="s">
        <v>31</v>
      </c>
    </row>
    <row r="1441" spans="1:19" x14ac:dyDescent="0.35">
      <c r="A1441" s="3">
        <v>2440</v>
      </c>
      <c r="B1441" s="3" t="s">
        <v>724</v>
      </c>
      <c r="C1441" s="4">
        <v>45486</v>
      </c>
      <c r="D1441" s="3" t="s">
        <v>111</v>
      </c>
      <c r="E1441" s="4">
        <v>45509</v>
      </c>
      <c r="F1441" s="4">
        <v>45511</v>
      </c>
      <c r="G1441" s="3" t="s">
        <v>28</v>
      </c>
      <c r="H1441" s="3" t="s">
        <v>35</v>
      </c>
      <c r="I1441" s="3" t="s">
        <v>39</v>
      </c>
      <c r="J1441" s="3" t="s">
        <v>30</v>
      </c>
      <c r="K1441" s="3">
        <v>23</v>
      </c>
      <c r="L1441" s="3">
        <v>2</v>
      </c>
      <c r="M1441" s="3">
        <v>7994</v>
      </c>
      <c r="N1441" s="3">
        <v>15988</v>
      </c>
      <c r="O1441" s="3">
        <v>0</v>
      </c>
      <c r="P1441" s="3" t="s">
        <v>51</v>
      </c>
      <c r="Q1441" s="3">
        <v>1</v>
      </c>
      <c r="R1441" s="3" t="str">
        <f t="shared" si="22"/>
        <v>Cancelled</v>
      </c>
      <c r="S1441" s="3" t="s">
        <v>25</v>
      </c>
    </row>
    <row r="1442" spans="1:19" x14ac:dyDescent="0.35">
      <c r="A1442" s="3">
        <v>2441</v>
      </c>
      <c r="B1442" s="3" t="s">
        <v>947</v>
      </c>
      <c r="C1442" s="4">
        <v>45447</v>
      </c>
      <c r="D1442" s="3" t="s">
        <v>71</v>
      </c>
      <c r="E1442" s="4">
        <v>45464</v>
      </c>
      <c r="F1442" s="4">
        <v>45465</v>
      </c>
      <c r="G1442" s="3" t="s">
        <v>34</v>
      </c>
      <c r="H1442" s="3" t="s">
        <v>38</v>
      </c>
      <c r="I1442" s="3" t="s">
        <v>22</v>
      </c>
      <c r="J1442" s="3" t="s">
        <v>30</v>
      </c>
      <c r="K1442" s="3">
        <v>17</v>
      </c>
      <c r="L1442" s="3">
        <v>1</v>
      </c>
      <c r="M1442" s="3">
        <v>2844</v>
      </c>
      <c r="N1442" s="3">
        <v>2844</v>
      </c>
      <c r="O1442" s="3">
        <v>0</v>
      </c>
      <c r="P1442" s="3" t="s">
        <v>24</v>
      </c>
      <c r="Q1442" s="3">
        <v>1</v>
      </c>
      <c r="R1442" s="3" t="str">
        <f t="shared" si="22"/>
        <v>Cancelled</v>
      </c>
      <c r="S1442" s="3" t="s">
        <v>25</v>
      </c>
    </row>
    <row r="1443" spans="1:19" x14ac:dyDescent="0.35">
      <c r="A1443" s="3">
        <v>2442</v>
      </c>
      <c r="B1443" s="3" t="s">
        <v>802</v>
      </c>
      <c r="C1443" s="4">
        <v>45463</v>
      </c>
      <c r="D1443" s="3" t="s">
        <v>34</v>
      </c>
      <c r="E1443" s="4">
        <v>45464</v>
      </c>
      <c r="F1443" s="4">
        <v>45465</v>
      </c>
      <c r="G1443" s="3" t="s">
        <v>34</v>
      </c>
      <c r="H1443" s="3" t="s">
        <v>60</v>
      </c>
      <c r="I1443" s="3" t="s">
        <v>39</v>
      </c>
      <c r="J1443" s="3" t="s">
        <v>23</v>
      </c>
      <c r="K1443" s="3">
        <v>1</v>
      </c>
      <c r="L1443" s="3">
        <v>1</v>
      </c>
      <c r="M1443" s="3">
        <v>5211</v>
      </c>
      <c r="N1443" s="3">
        <v>5211</v>
      </c>
      <c r="O1443" s="3">
        <v>5211</v>
      </c>
      <c r="P1443" s="3" t="s">
        <v>51</v>
      </c>
      <c r="Q1443" s="3">
        <v>0</v>
      </c>
      <c r="R1443" s="3" t="str">
        <f t="shared" si="22"/>
        <v>Not Cancelled</v>
      </c>
      <c r="S1443" s="3" t="s">
        <v>31</v>
      </c>
    </row>
    <row r="1444" spans="1:19" x14ac:dyDescent="0.35">
      <c r="A1444" s="3">
        <v>2443</v>
      </c>
      <c r="B1444" s="3" t="s">
        <v>275</v>
      </c>
      <c r="C1444" s="4">
        <v>45626</v>
      </c>
      <c r="D1444" s="3" t="s">
        <v>113</v>
      </c>
      <c r="E1444" s="4">
        <v>45681</v>
      </c>
      <c r="F1444" s="4">
        <v>45684</v>
      </c>
      <c r="G1444" s="3" t="s">
        <v>20</v>
      </c>
      <c r="H1444" s="3" t="s">
        <v>21</v>
      </c>
      <c r="I1444" s="3" t="s">
        <v>39</v>
      </c>
      <c r="J1444" s="3" t="s">
        <v>23</v>
      </c>
      <c r="K1444" s="3">
        <v>55</v>
      </c>
      <c r="L1444" s="3">
        <v>3</v>
      </c>
      <c r="M1444" s="3">
        <v>7252</v>
      </c>
      <c r="N1444" s="3">
        <v>21756</v>
      </c>
      <c r="O1444" s="3">
        <v>0</v>
      </c>
      <c r="P1444" s="3" t="s">
        <v>51</v>
      </c>
      <c r="Q1444" s="3">
        <v>1</v>
      </c>
      <c r="R1444" s="3" t="str">
        <f t="shared" si="22"/>
        <v>Cancelled</v>
      </c>
      <c r="S1444" s="3" t="s">
        <v>25</v>
      </c>
    </row>
    <row r="1445" spans="1:19" x14ac:dyDescent="0.35">
      <c r="A1445" s="3">
        <v>2444</v>
      </c>
      <c r="B1445" s="3" t="s">
        <v>1011</v>
      </c>
      <c r="C1445" s="4">
        <v>45332</v>
      </c>
      <c r="D1445" s="3" t="s">
        <v>48</v>
      </c>
      <c r="E1445" s="4">
        <v>45363</v>
      </c>
      <c r="F1445" s="4">
        <v>45366</v>
      </c>
      <c r="G1445" s="3" t="s">
        <v>20</v>
      </c>
      <c r="H1445" s="3" t="s">
        <v>21</v>
      </c>
      <c r="I1445" s="3" t="s">
        <v>39</v>
      </c>
      <c r="J1445" s="3" t="s">
        <v>46</v>
      </c>
      <c r="K1445" s="3">
        <v>31</v>
      </c>
      <c r="L1445" s="3">
        <v>3</v>
      </c>
      <c r="M1445" s="3">
        <v>8773</v>
      </c>
      <c r="N1445" s="3">
        <v>26319</v>
      </c>
      <c r="O1445" s="3">
        <v>26319</v>
      </c>
      <c r="P1445" s="3" t="s">
        <v>51</v>
      </c>
      <c r="Q1445" s="3">
        <v>0</v>
      </c>
      <c r="R1445" s="3" t="str">
        <f t="shared" si="22"/>
        <v>Not Cancelled</v>
      </c>
      <c r="S1445" s="3" t="s">
        <v>31</v>
      </c>
    </row>
    <row r="1446" spans="1:19" x14ac:dyDescent="0.35">
      <c r="A1446" s="3">
        <v>2445</v>
      </c>
      <c r="B1446" s="3" t="s">
        <v>1012</v>
      </c>
      <c r="C1446" s="4">
        <v>45354</v>
      </c>
      <c r="D1446" s="3" t="s">
        <v>48</v>
      </c>
      <c r="E1446" s="4">
        <v>45385</v>
      </c>
      <c r="F1446" s="4">
        <v>45386</v>
      </c>
      <c r="G1446" s="3" t="s">
        <v>34</v>
      </c>
      <c r="H1446" s="3" t="s">
        <v>60</v>
      </c>
      <c r="I1446" s="3" t="s">
        <v>39</v>
      </c>
      <c r="J1446" s="3" t="s">
        <v>30</v>
      </c>
      <c r="K1446" s="3">
        <v>31</v>
      </c>
      <c r="L1446" s="3">
        <v>1</v>
      </c>
      <c r="M1446" s="3">
        <v>8784</v>
      </c>
      <c r="N1446" s="3">
        <v>8784</v>
      </c>
      <c r="O1446" s="3">
        <v>0</v>
      </c>
      <c r="P1446" s="3" t="s">
        <v>24</v>
      </c>
      <c r="Q1446" s="3">
        <v>1</v>
      </c>
      <c r="R1446" s="3" t="str">
        <f t="shared" si="22"/>
        <v>Cancelled</v>
      </c>
      <c r="S1446" s="3" t="s">
        <v>25</v>
      </c>
    </row>
    <row r="1447" spans="1:19" x14ac:dyDescent="0.35">
      <c r="A1447" s="3">
        <v>2446</v>
      </c>
      <c r="B1447" s="3" t="s">
        <v>740</v>
      </c>
      <c r="C1447" s="4">
        <v>45314</v>
      </c>
      <c r="D1447" s="3" t="s">
        <v>140</v>
      </c>
      <c r="E1447" s="4">
        <v>45356</v>
      </c>
      <c r="F1447" s="4">
        <v>45360</v>
      </c>
      <c r="G1447" s="3" t="s">
        <v>42</v>
      </c>
      <c r="H1447" s="3" t="s">
        <v>21</v>
      </c>
      <c r="I1447" s="3" t="s">
        <v>39</v>
      </c>
      <c r="J1447" s="3" t="s">
        <v>46</v>
      </c>
      <c r="K1447" s="3">
        <v>42</v>
      </c>
      <c r="L1447" s="3">
        <v>4</v>
      </c>
      <c r="M1447" s="3">
        <v>4962</v>
      </c>
      <c r="N1447" s="3">
        <v>19848</v>
      </c>
      <c r="O1447" s="3">
        <v>0</v>
      </c>
      <c r="P1447" s="3" t="s">
        <v>24</v>
      </c>
      <c r="Q1447" s="3">
        <v>1</v>
      </c>
      <c r="R1447" s="3" t="str">
        <f t="shared" si="22"/>
        <v>Cancelled</v>
      </c>
      <c r="S1447" s="3" t="s">
        <v>31</v>
      </c>
    </row>
    <row r="1448" spans="1:19" x14ac:dyDescent="0.35">
      <c r="A1448" s="3">
        <v>2447</v>
      </c>
      <c r="B1448" s="3" t="s">
        <v>788</v>
      </c>
      <c r="C1448" s="4">
        <v>45651</v>
      </c>
      <c r="D1448" s="3" t="s">
        <v>100</v>
      </c>
      <c r="E1448" s="4">
        <v>45708</v>
      </c>
      <c r="F1448" s="4">
        <v>45712</v>
      </c>
      <c r="G1448" s="3" t="s">
        <v>42</v>
      </c>
      <c r="H1448" s="3" t="s">
        <v>60</v>
      </c>
      <c r="I1448" s="3" t="s">
        <v>22</v>
      </c>
      <c r="J1448" s="3" t="s">
        <v>30</v>
      </c>
      <c r="K1448" s="3">
        <v>57</v>
      </c>
      <c r="L1448" s="3">
        <v>4</v>
      </c>
      <c r="M1448" s="3">
        <v>3616</v>
      </c>
      <c r="N1448" s="3">
        <v>14464</v>
      </c>
      <c r="O1448" s="3">
        <v>0</v>
      </c>
      <c r="P1448" s="3" t="s">
        <v>24</v>
      </c>
      <c r="Q1448" s="3">
        <v>1</v>
      </c>
      <c r="R1448" s="3" t="str">
        <f t="shared" si="22"/>
        <v>Cancelled</v>
      </c>
      <c r="S1448" s="3" t="s">
        <v>31</v>
      </c>
    </row>
    <row r="1449" spans="1:19" x14ac:dyDescent="0.35">
      <c r="A1449" s="3">
        <v>2448</v>
      </c>
      <c r="B1449" s="3" t="s">
        <v>506</v>
      </c>
      <c r="C1449" s="4">
        <v>45366</v>
      </c>
      <c r="D1449" s="3" t="s">
        <v>113</v>
      </c>
      <c r="E1449" s="4">
        <v>45421</v>
      </c>
      <c r="F1449" s="4">
        <v>45423</v>
      </c>
      <c r="G1449" s="3" t="s">
        <v>28</v>
      </c>
      <c r="H1449" s="3" t="s">
        <v>60</v>
      </c>
      <c r="I1449" s="3" t="s">
        <v>39</v>
      </c>
      <c r="J1449" s="3" t="s">
        <v>30</v>
      </c>
      <c r="K1449" s="3">
        <v>55</v>
      </c>
      <c r="L1449" s="3">
        <v>2</v>
      </c>
      <c r="M1449" s="3">
        <v>3125</v>
      </c>
      <c r="N1449" s="3">
        <v>6250</v>
      </c>
      <c r="O1449" s="3">
        <v>0</v>
      </c>
      <c r="P1449" s="3" t="s">
        <v>51</v>
      </c>
      <c r="Q1449" s="3">
        <v>1</v>
      </c>
      <c r="R1449" s="3" t="str">
        <f t="shared" si="22"/>
        <v>Cancelled</v>
      </c>
      <c r="S1449" s="3" t="s">
        <v>25</v>
      </c>
    </row>
    <row r="1450" spans="1:19" x14ac:dyDescent="0.35">
      <c r="A1450" s="3">
        <v>2449</v>
      </c>
      <c r="B1450" s="3" t="s">
        <v>593</v>
      </c>
      <c r="C1450" s="4">
        <v>45339</v>
      </c>
      <c r="D1450" s="3" t="s">
        <v>140</v>
      </c>
      <c r="E1450" s="4">
        <v>45381</v>
      </c>
      <c r="F1450" s="4">
        <v>45386</v>
      </c>
      <c r="G1450" s="3" t="s">
        <v>45</v>
      </c>
      <c r="H1450" s="3" t="s">
        <v>21</v>
      </c>
      <c r="I1450" s="3" t="s">
        <v>22</v>
      </c>
      <c r="J1450" s="3" t="s">
        <v>46</v>
      </c>
      <c r="K1450" s="3">
        <v>42</v>
      </c>
      <c r="L1450" s="3">
        <v>5</v>
      </c>
      <c r="M1450" s="3">
        <v>6879</v>
      </c>
      <c r="N1450" s="3">
        <v>34395</v>
      </c>
      <c r="O1450" s="3">
        <v>0</v>
      </c>
      <c r="P1450" s="3" t="s">
        <v>24</v>
      </c>
      <c r="Q1450" s="3">
        <v>1</v>
      </c>
      <c r="R1450" s="3" t="str">
        <f t="shared" si="22"/>
        <v>Cancelled</v>
      </c>
      <c r="S1450" s="3" t="s">
        <v>31</v>
      </c>
    </row>
    <row r="1451" spans="1:19" x14ac:dyDescent="0.35">
      <c r="A1451" s="3">
        <v>2450</v>
      </c>
      <c r="B1451" s="3" t="s">
        <v>320</v>
      </c>
      <c r="C1451" s="4">
        <v>45451</v>
      </c>
      <c r="D1451" s="3" t="s">
        <v>133</v>
      </c>
      <c r="E1451" s="4">
        <v>45504</v>
      </c>
      <c r="F1451" s="4">
        <v>45506</v>
      </c>
      <c r="G1451" s="3" t="s">
        <v>28</v>
      </c>
      <c r="H1451" s="3" t="s">
        <v>29</v>
      </c>
      <c r="I1451" s="3" t="s">
        <v>39</v>
      </c>
      <c r="J1451" s="3" t="s">
        <v>46</v>
      </c>
      <c r="K1451" s="3">
        <v>53</v>
      </c>
      <c r="L1451" s="3">
        <v>2</v>
      </c>
      <c r="M1451" s="3">
        <v>4479</v>
      </c>
      <c r="N1451" s="3">
        <v>8958</v>
      </c>
      <c r="O1451" s="3">
        <v>0</v>
      </c>
      <c r="P1451" s="3" t="s">
        <v>24</v>
      </c>
      <c r="Q1451" s="3">
        <v>1</v>
      </c>
      <c r="R1451" s="3" t="str">
        <f t="shared" si="22"/>
        <v>Cancelled</v>
      </c>
      <c r="S1451" s="3" t="s">
        <v>25</v>
      </c>
    </row>
    <row r="1452" spans="1:19" x14ac:dyDescent="0.35">
      <c r="A1452" s="3">
        <v>2451</v>
      </c>
      <c r="B1452" s="3" t="s">
        <v>1013</v>
      </c>
      <c r="C1452" s="4">
        <v>45604</v>
      </c>
      <c r="D1452" s="3" t="s">
        <v>94</v>
      </c>
      <c r="E1452" s="4">
        <v>45660</v>
      </c>
      <c r="F1452" s="4">
        <v>45662</v>
      </c>
      <c r="G1452" s="3" t="s">
        <v>28</v>
      </c>
      <c r="H1452" s="3" t="s">
        <v>35</v>
      </c>
      <c r="I1452" s="3" t="s">
        <v>22</v>
      </c>
      <c r="J1452" s="3" t="s">
        <v>30</v>
      </c>
      <c r="K1452" s="3">
        <v>56</v>
      </c>
      <c r="L1452" s="3">
        <v>2</v>
      </c>
      <c r="M1452" s="3">
        <v>6494</v>
      </c>
      <c r="N1452" s="3">
        <v>12988</v>
      </c>
      <c r="O1452" s="3">
        <v>12988</v>
      </c>
      <c r="P1452" s="3" t="s">
        <v>51</v>
      </c>
      <c r="Q1452" s="3">
        <v>0</v>
      </c>
      <c r="R1452" s="3" t="str">
        <f t="shared" si="22"/>
        <v>Not Cancelled</v>
      </c>
      <c r="S1452" s="3" t="s">
        <v>25</v>
      </c>
    </row>
    <row r="1453" spans="1:19" x14ac:dyDescent="0.35">
      <c r="A1453" s="3">
        <v>2452</v>
      </c>
      <c r="B1453" s="3" t="s">
        <v>110</v>
      </c>
      <c r="C1453" s="4">
        <v>45409</v>
      </c>
      <c r="D1453" s="3" t="s">
        <v>128</v>
      </c>
      <c r="E1453" s="4">
        <v>45443</v>
      </c>
      <c r="F1453" s="4">
        <v>45448</v>
      </c>
      <c r="G1453" s="3" t="s">
        <v>45</v>
      </c>
      <c r="H1453" s="3" t="s">
        <v>38</v>
      </c>
      <c r="I1453" s="3" t="s">
        <v>22</v>
      </c>
      <c r="J1453" s="3" t="s">
        <v>30</v>
      </c>
      <c r="K1453" s="3">
        <v>34</v>
      </c>
      <c r="L1453" s="3">
        <v>5</v>
      </c>
      <c r="M1453" s="3">
        <v>4178</v>
      </c>
      <c r="N1453" s="3">
        <v>20890</v>
      </c>
      <c r="O1453" s="3">
        <v>20890</v>
      </c>
      <c r="P1453" s="3" t="s">
        <v>24</v>
      </c>
      <c r="Q1453" s="3">
        <v>0</v>
      </c>
      <c r="R1453" s="3" t="str">
        <f t="shared" si="22"/>
        <v>Not Cancelled</v>
      </c>
      <c r="S1453" s="3" t="s">
        <v>31</v>
      </c>
    </row>
    <row r="1454" spans="1:19" x14ac:dyDescent="0.35">
      <c r="A1454" s="3">
        <v>2453</v>
      </c>
      <c r="B1454" s="3" t="s">
        <v>104</v>
      </c>
      <c r="C1454" s="4">
        <v>45391</v>
      </c>
      <c r="D1454" s="3" t="s">
        <v>165</v>
      </c>
      <c r="E1454" s="4">
        <v>45400</v>
      </c>
      <c r="F1454" s="4">
        <v>45401</v>
      </c>
      <c r="G1454" s="3" t="s">
        <v>34</v>
      </c>
      <c r="H1454" s="3" t="s">
        <v>35</v>
      </c>
      <c r="I1454" s="3" t="s">
        <v>22</v>
      </c>
      <c r="J1454" s="3" t="s">
        <v>23</v>
      </c>
      <c r="K1454" s="3">
        <v>9</v>
      </c>
      <c r="L1454" s="3">
        <v>1</v>
      </c>
      <c r="M1454" s="3">
        <v>2722</v>
      </c>
      <c r="N1454" s="3">
        <v>2722</v>
      </c>
      <c r="O1454" s="3">
        <v>2722</v>
      </c>
      <c r="P1454" s="3" t="s">
        <v>51</v>
      </c>
      <c r="Q1454" s="3">
        <v>0</v>
      </c>
      <c r="R1454" s="3" t="str">
        <f t="shared" si="22"/>
        <v>Not Cancelled</v>
      </c>
      <c r="S1454" s="3" t="s">
        <v>25</v>
      </c>
    </row>
    <row r="1455" spans="1:19" x14ac:dyDescent="0.35">
      <c r="A1455" s="3">
        <v>2454</v>
      </c>
      <c r="B1455" s="3" t="s">
        <v>786</v>
      </c>
      <c r="C1455" s="4">
        <v>45458</v>
      </c>
      <c r="D1455" s="3" t="s">
        <v>19</v>
      </c>
      <c r="E1455" s="4">
        <v>45480</v>
      </c>
      <c r="F1455" s="4">
        <v>45484</v>
      </c>
      <c r="G1455" s="3" t="s">
        <v>42</v>
      </c>
      <c r="H1455" s="3" t="s">
        <v>38</v>
      </c>
      <c r="I1455" s="3" t="s">
        <v>39</v>
      </c>
      <c r="J1455" s="3" t="s">
        <v>46</v>
      </c>
      <c r="K1455" s="3">
        <v>22</v>
      </c>
      <c r="L1455" s="3">
        <v>4</v>
      </c>
      <c r="M1455" s="3">
        <v>3243</v>
      </c>
      <c r="N1455" s="3">
        <v>12972</v>
      </c>
      <c r="O1455" s="3">
        <v>0</v>
      </c>
      <c r="P1455" s="3" t="s">
        <v>24</v>
      </c>
      <c r="Q1455" s="3">
        <v>1</v>
      </c>
      <c r="R1455" s="3" t="str">
        <f t="shared" si="22"/>
        <v>Cancelled</v>
      </c>
      <c r="S1455" s="3" t="s">
        <v>31</v>
      </c>
    </row>
    <row r="1456" spans="1:19" x14ac:dyDescent="0.35">
      <c r="A1456" s="3">
        <v>2455</v>
      </c>
      <c r="B1456" s="3" t="s">
        <v>1014</v>
      </c>
      <c r="C1456" s="4">
        <v>45581</v>
      </c>
      <c r="D1456" s="3" t="s">
        <v>44</v>
      </c>
      <c r="E1456" s="4">
        <v>45594</v>
      </c>
      <c r="F1456" s="4">
        <v>45596</v>
      </c>
      <c r="G1456" s="3" t="s">
        <v>28</v>
      </c>
      <c r="H1456" s="3" t="s">
        <v>38</v>
      </c>
      <c r="I1456" s="3" t="s">
        <v>39</v>
      </c>
      <c r="J1456" s="3" t="s">
        <v>46</v>
      </c>
      <c r="K1456" s="3">
        <v>13</v>
      </c>
      <c r="L1456" s="3">
        <v>2</v>
      </c>
      <c r="M1456" s="3">
        <v>2962</v>
      </c>
      <c r="N1456" s="3">
        <v>5924</v>
      </c>
      <c r="O1456" s="3">
        <v>5924</v>
      </c>
      <c r="P1456" s="3" t="s">
        <v>51</v>
      </c>
      <c r="Q1456" s="3">
        <v>0</v>
      </c>
      <c r="R1456" s="3" t="str">
        <f t="shared" si="22"/>
        <v>Not Cancelled</v>
      </c>
      <c r="S1456" s="3" t="s">
        <v>25</v>
      </c>
    </row>
    <row r="1457" spans="1:19" x14ac:dyDescent="0.35">
      <c r="A1457" s="3">
        <v>2456</v>
      </c>
      <c r="B1457" s="3" t="s">
        <v>205</v>
      </c>
      <c r="C1457" s="4">
        <v>45447</v>
      </c>
      <c r="D1457" s="3" t="s">
        <v>107</v>
      </c>
      <c r="E1457" s="4">
        <v>45472</v>
      </c>
      <c r="F1457" s="4">
        <v>45477</v>
      </c>
      <c r="G1457" s="3" t="s">
        <v>45</v>
      </c>
      <c r="H1457" s="3" t="s">
        <v>35</v>
      </c>
      <c r="I1457" s="3" t="s">
        <v>22</v>
      </c>
      <c r="J1457" s="3" t="s">
        <v>46</v>
      </c>
      <c r="K1457" s="3">
        <v>25</v>
      </c>
      <c r="L1457" s="3">
        <v>5</v>
      </c>
      <c r="M1457" s="3">
        <v>4068</v>
      </c>
      <c r="N1457" s="3">
        <v>20340</v>
      </c>
      <c r="O1457" s="3">
        <v>20340</v>
      </c>
      <c r="P1457" s="3" t="s">
        <v>51</v>
      </c>
      <c r="Q1457" s="3">
        <v>0</v>
      </c>
      <c r="R1457" s="3" t="str">
        <f t="shared" si="22"/>
        <v>Not Cancelled</v>
      </c>
      <c r="S1457" s="3" t="s">
        <v>25</v>
      </c>
    </row>
    <row r="1458" spans="1:19" x14ac:dyDescent="0.35">
      <c r="A1458" s="3">
        <v>2457</v>
      </c>
      <c r="B1458" s="3" t="s">
        <v>490</v>
      </c>
      <c r="C1458" s="4">
        <v>45298</v>
      </c>
      <c r="D1458" s="3" t="s">
        <v>73</v>
      </c>
      <c r="E1458" s="4">
        <v>45346</v>
      </c>
      <c r="F1458" s="4">
        <v>45349</v>
      </c>
      <c r="G1458" s="3" t="s">
        <v>20</v>
      </c>
      <c r="H1458" s="3" t="s">
        <v>60</v>
      </c>
      <c r="I1458" s="3" t="s">
        <v>22</v>
      </c>
      <c r="J1458" s="3" t="s">
        <v>46</v>
      </c>
      <c r="K1458" s="3">
        <v>48</v>
      </c>
      <c r="L1458" s="3">
        <v>3</v>
      </c>
      <c r="M1458" s="3">
        <v>5847</v>
      </c>
      <c r="N1458" s="3">
        <v>17541</v>
      </c>
      <c r="O1458" s="3">
        <v>17541</v>
      </c>
      <c r="P1458" s="3" t="s">
        <v>24</v>
      </c>
      <c r="Q1458" s="3">
        <v>0</v>
      </c>
      <c r="R1458" s="3" t="str">
        <f t="shared" si="22"/>
        <v>Not Cancelled</v>
      </c>
      <c r="S1458" s="3" t="s">
        <v>31</v>
      </c>
    </row>
    <row r="1459" spans="1:19" x14ac:dyDescent="0.35">
      <c r="A1459" s="3">
        <v>2458</v>
      </c>
      <c r="B1459" s="3" t="s">
        <v>743</v>
      </c>
      <c r="C1459" s="4">
        <v>45487</v>
      </c>
      <c r="D1459" s="3" t="s">
        <v>27</v>
      </c>
      <c r="E1459" s="4">
        <v>45505</v>
      </c>
      <c r="F1459" s="4">
        <v>45507</v>
      </c>
      <c r="G1459" s="3" t="s">
        <v>28</v>
      </c>
      <c r="H1459" s="3" t="s">
        <v>21</v>
      </c>
      <c r="I1459" s="3" t="s">
        <v>39</v>
      </c>
      <c r="J1459" s="3" t="s">
        <v>30</v>
      </c>
      <c r="K1459" s="3">
        <v>18</v>
      </c>
      <c r="L1459" s="3">
        <v>2</v>
      </c>
      <c r="M1459" s="3">
        <v>8301</v>
      </c>
      <c r="N1459" s="3">
        <v>16602</v>
      </c>
      <c r="O1459" s="3">
        <v>0</v>
      </c>
      <c r="P1459" s="3" t="s">
        <v>51</v>
      </c>
      <c r="Q1459" s="3">
        <v>1</v>
      </c>
      <c r="R1459" s="3" t="str">
        <f t="shared" si="22"/>
        <v>Cancelled</v>
      </c>
      <c r="S1459" s="3" t="s">
        <v>25</v>
      </c>
    </row>
    <row r="1460" spans="1:19" x14ac:dyDescent="0.35">
      <c r="A1460" s="3">
        <v>2459</v>
      </c>
      <c r="B1460" s="3" t="s">
        <v>1015</v>
      </c>
      <c r="C1460" s="4">
        <v>45347</v>
      </c>
      <c r="D1460" s="3" t="s">
        <v>124</v>
      </c>
      <c r="E1460" s="4">
        <v>45398</v>
      </c>
      <c r="F1460" s="4">
        <v>45402</v>
      </c>
      <c r="G1460" s="3" t="s">
        <v>42</v>
      </c>
      <c r="H1460" s="3" t="s">
        <v>29</v>
      </c>
      <c r="I1460" s="3" t="s">
        <v>39</v>
      </c>
      <c r="J1460" s="3" t="s">
        <v>23</v>
      </c>
      <c r="K1460" s="3">
        <v>51</v>
      </c>
      <c r="L1460" s="3">
        <v>4</v>
      </c>
      <c r="M1460" s="3">
        <v>7759</v>
      </c>
      <c r="N1460" s="3">
        <v>31036</v>
      </c>
      <c r="O1460" s="3">
        <v>31036</v>
      </c>
      <c r="P1460" s="3" t="s">
        <v>24</v>
      </c>
      <c r="Q1460" s="3">
        <v>0</v>
      </c>
      <c r="R1460" s="3" t="str">
        <f t="shared" si="22"/>
        <v>Not Cancelled</v>
      </c>
      <c r="S1460" s="3" t="s">
        <v>25</v>
      </c>
    </row>
    <row r="1461" spans="1:19" x14ac:dyDescent="0.35">
      <c r="A1461" s="3">
        <v>2460</v>
      </c>
      <c r="B1461" s="3" t="s">
        <v>1016</v>
      </c>
      <c r="C1461" s="4">
        <v>45612</v>
      </c>
      <c r="D1461" s="3" t="s">
        <v>102</v>
      </c>
      <c r="E1461" s="4">
        <v>45624</v>
      </c>
      <c r="F1461" s="4">
        <v>45625</v>
      </c>
      <c r="G1461" s="3" t="s">
        <v>34</v>
      </c>
      <c r="H1461" s="3" t="s">
        <v>29</v>
      </c>
      <c r="I1461" s="3" t="s">
        <v>22</v>
      </c>
      <c r="J1461" s="3" t="s">
        <v>46</v>
      </c>
      <c r="K1461" s="3">
        <v>12</v>
      </c>
      <c r="L1461" s="3">
        <v>1</v>
      </c>
      <c r="M1461" s="3">
        <v>4236</v>
      </c>
      <c r="N1461" s="3">
        <v>4236</v>
      </c>
      <c r="O1461" s="3">
        <v>4236</v>
      </c>
      <c r="P1461" s="3" t="s">
        <v>24</v>
      </c>
      <c r="Q1461" s="3">
        <v>0</v>
      </c>
      <c r="R1461" s="3" t="str">
        <f t="shared" si="22"/>
        <v>Not Cancelled</v>
      </c>
      <c r="S1461" s="3" t="s">
        <v>25</v>
      </c>
    </row>
    <row r="1462" spans="1:19" x14ac:dyDescent="0.35">
      <c r="A1462" s="3">
        <v>2461</v>
      </c>
      <c r="B1462" s="3" t="s">
        <v>170</v>
      </c>
      <c r="C1462" s="4">
        <v>45484</v>
      </c>
      <c r="D1462" s="3" t="s">
        <v>179</v>
      </c>
      <c r="E1462" s="4">
        <v>45524</v>
      </c>
      <c r="F1462" s="4">
        <v>45526</v>
      </c>
      <c r="G1462" s="3" t="s">
        <v>28</v>
      </c>
      <c r="H1462" s="3" t="s">
        <v>29</v>
      </c>
      <c r="I1462" s="3" t="s">
        <v>39</v>
      </c>
      <c r="J1462" s="3" t="s">
        <v>30</v>
      </c>
      <c r="K1462" s="3">
        <v>40</v>
      </c>
      <c r="L1462" s="3">
        <v>2</v>
      </c>
      <c r="M1462" s="3">
        <v>7642</v>
      </c>
      <c r="N1462" s="3">
        <v>15284</v>
      </c>
      <c r="O1462" s="3">
        <v>15284</v>
      </c>
      <c r="P1462" s="3" t="s">
        <v>24</v>
      </c>
      <c r="Q1462" s="3">
        <v>0</v>
      </c>
      <c r="R1462" s="3" t="str">
        <f t="shared" si="22"/>
        <v>Not Cancelled</v>
      </c>
      <c r="S1462" s="3" t="s">
        <v>25</v>
      </c>
    </row>
    <row r="1463" spans="1:19" x14ac:dyDescent="0.35">
      <c r="A1463" s="3">
        <v>2462</v>
      </c>
      <c r="B1463" s="3" t="s">
        <v>995</v>
      </c>
      <c r="C1463" s="4">
        <v>45338</v>
      </c>
      <c r="D1463" s="3" t="s">
        <v>71</v>
      </c>
      <c r="E1463" s="4">
        <v>45355</v>
      </c>
      <c r="F1463" s="4">
        <v>45357</v>
      </c>
      <c r="G1463" s="3" t="s">
        <v>28</v>
      </c>
      <c r="H1463" s="3" t="s">
        <v>35</v>
      </c>
      <c r="I1463" s="3" t="s">
        <v>39</v>
      </c>
      <c r="J1463" s="3" t="s">
        <v>30</v>
      </c>
      <c r="K1463" s="3">
        <v>17</v>
      </c>
      <c r="L1463" s="3">
        <v>2</v>
      </c>
      <c r="M1463" s="3">
        <v>6539</v>
      </c>
      <c r="N1463" s="3">
        <v>13078</v>
      </c>
      <c r="O1463" s="3">
        <v>0</v>
      </c>
      <c r="P1463" s="3" t="s">
        <v>24</v>
      </c>
      <c r="Q1463" s="3">
        <v>1</v>
      </c>
      <c r="R1463" s="3" t="str">
        <f t="shared" si="22"/>
        <v>Cancelled</v>
      </c>
      <c r="S1463" s="3" t="s">
        <v>25</v>
      </c>
    </row>
    <row r="1464" spans="1:19" x14ac:dyDescent="0.35">
      <c r="A1464" s="3">
        <v>2463</v>
      </c>
      <c r="B1464" s="3" t="s">
        <v>689</v>
      </c>
      <c r="C1464" s="4">
        <v>45439</v>
      </c>
      <c r="D1464" s="3" t="s">
        <v>277</v>
      </c>
      <c r="E1464" s="4">
        <v>45454</v>
      </c>
      <c r="F1464" s="4">
        <v>45459</v>
      </c>
      <c r="G1464" s="3" t="s">
        <v>45</v>
      </c>
      <c r="H1464" s="3" t="s">
        <v>35</v>
      </c>
      <c r="I1464" s="3" t="s">
        <v>39</v>
      </c>
      <c r="J1464" s="3" t="s">
        <v>30</v>
      </c>
      <c r="K1464" s="3">
        <v>15</v>
      </c>
      <c r="L1464" s="3">
        <v>5</v>
      </c>
      <c r="M1464" s="3">
        <v>6451</v>
      </c>
      <c r="N1464" s="3">
        <v>32255</v>
      </c>
      <c r="O1464" s="3">
        <v>0</v>
      </c>
      <c r="P1464" s="3" t="s">
        <v>51</v>
      </c>
      <c r="Q1464" s="3">
        <v>1</v>
      </c>
      <c r="R1464" s="3" t="str">
        <f t="shared" si="22"/>
        <v>Cancelled</v>
      </c>
      <c r="S1464" s="3" t="s">
        <v>25</v>
      </c>
    </row>
    <row r="1465" spans="1:19" x14ac:dyDescent="0.35">
      <c r="A1465" s="3">
        <v>2464</v>
      </c>
      <c r="B1465" s="3" t="s">
        <v>754</v>
      </c>
      <c r="C1465" s="4">
        <v>45566</v>
      </c>
      <c r="D1465" s="3" t="s">
        <v>140</v>
      </c>
      <c r="E1465" s="4">
        <v>45608</v>
      </c>
      <c r="F1465" s="4">
        <v>45611</v>
      </c>
      <c r="G1465" s="3" t="s">
        <v>20</v>
      </c>
      <c r="H1465" s="3" t="s">
        <v>60</v>
      </c>
      <c r="I1465" s="3" t="s">
        <v>39</v>
      </c>
      <c r="J1465" s="3" t="s">
        <v>30</v>
      </c>
      <c r="K1465" s="3">
        <v>42</v>
      </c>
      <c r="L1465" s="3">
        <v>3</v>
      </c>
      <c r="M1465" s="3">
        <v>3164</v>
      </c>
      <c r="N1465" s="3">
        <v>9492</v>
      </c>
      <c r="O1465" s="3">
        <v>0</v>
      </c>
      <c r="P1465" s="3" t="s">
        <v>51</v>
      </c>
      <c r="Q1465" s="3">
        <v>1</v>
      </c>
      <c r="R1465" s="3" t="str">
        <f t="shared" si="22"/>
        <v>Cancelled</v>
      </c>
      <c r="S1465" s="3" t="s">
        <v>25</v>
      </c>
    </row>
    <row r="1466" spans="1:19" x14ac:dyDescent="0.35">
      <c r="A1466" s="3">
        <v>2465</v>
      </c>
      <c r="B1466" s="3" t="s">
        <v>921</v>
      </c>
      <c r="C1466" s="4">
        <v>45448</v>
      </c>
      <c r="D1466" s="3" t="s">
        <v>277</v>
      </c>
      <c r="E1466" s="4">
        <v>45463</v>
      </c>
      <c r="F1466" s="4">
        <v>45466</v>
      </c>
      <c r="G1466" s="3" t="s">
        <v>20</v>
      </c>
      <c r="H1466" s="3" t="s">
        <v>29</v>
      </c>
      <c r="I1466" s="3" t="s">
        <v>39</v>
      </c>
      <c r="J1466" s="3" t="s">
        <v>30</v>
      </c>
      <c r="K1466" s="3">
        <v>15</v>
      </c>
      <c r="L1466" s="3">
        <v>3</v>
      </c>
      <c r="M1466" s="3">
        <v>3856</v>
      </c>
      <c r="N1466" s="3">
        <v>11568</v>
      </c>
      <c r="O1466" s="3">
        <v>0</v>
      </c>
      <c r="P1466" s="3" t="s">
        <v>51</v>
      </c>
      <c r="Q1466" s="3">
        <v>1</v>
      </c>
      <c r="R1466" s="3" t="str">
        <f t="shared" si="22"/>
        <v>Cancelled</v>
      </c>
      <c r="S1466" s="3" t="s">
        <v>25</v>
      </c>
    </row>
    <row r="1467" spans="1:19" x14ac:dyDescent="0.35">
      <c r="A1467" s="3">
        <v>2466</v>
      </c>
      <c r="B1467" s="3" t="s">
        <v>993</v>
      </c>
      <c r="C1467" s="4">
        <v>45493</v>
      </c>
      <c r="D1467" s="3" t="s">
        <v>277</v>
      </c>
      <c r="E1467" s="4">
        <v>45508</v>
      </c>
      <c r="F1467" s="4">
        <v>45509</v>
      </c>
      <c r="G1467" s="3" t="s">
        <v>34</v>
      </c>
      <c r="H1467" s="3" t="s">
        <v>60</v>
      </c>
      <c r="I1467" s="3" t="s">
        <v>39</v>
      </c>
      <c r="J1467" s="3" t="s">
        <v>46</v>
      </c>
      <c r="K1467" s="3">
        <v>15</v>
      </c>
      <c r="L1467" s="3">
        <v>1</v>
      </c>
      <c r="M1467" s="3">
        <v>3514</v>
      </c>
      <c r="N1467" s="3">
        <v>3514</v>
      </c>
      <c r="O1467" s="3">
        <v>3514</v>
      </c>
      <c r="P1467" s="3" t="s">
        <v>24</v>
      </c>
      <c r="Q1467" s="3">
        <v>0</v>
      </c>
      <c r="R1467" s="3" t="str">
        <f t="shared" si="22"/>
        <v>Not Cancelled</v>
      </c>
      <c r="S1467" s="3" t="s">
        <v>31</v>
      </c>
    </row>
    <row r="1468" spans="1:19" x14ac:dyDescent="0.35">
      <c r="A1468" s="3">
        <v>2467</v>
      </c>
      <c r="B1468" s="3" t="s">
        <v>797</v>
      </c>
      <c r="C1468" s="4">
        <v>45417</v>
      </c>
      <c r="D1468" s="3" t="s">
        <v>113</v>
      </c>
      <c r="E1468" s="4">
        <v>45472</v>
      </c>
      <c r="F1468" s="4">
        <v>45476</v>
      </c>
      <c r="G1468" s="3" t="s">
        <v>42</v>
      </c>
      <c r="H1468" s="3" t="s">
        <v>29</v>
      </c>
      <c r="I1468" s="3" t="s">
        <v>22</v>
      </c>
      <c r="J1468" s="3" t="s">
        <v>46</v>
      </c>
      <c r="K1468" s="3">
        <v>55</v>
      </c>
      <c r="L1468" s="3">
        <v>4</v>
      </c>
      <c r="M1468" s="3">
        <v>4632</v>
      </c>
      <c r="N1468" s="3">
        <v>18528</v>
      </c>
      <c r="O1468" s="3">
        <v>0</v>
      </c>
      <c r="P1468" s="3" t="s">
        <v>24</v>
      </c>
      <c r="Q1468" s="3">
        <v>1</v>
      </c>
      <c r="R1468" s="3" t="str">
        <f t="shared" si="22"/>
        <v>Cancelled</v>
      </c>
      <c r="S1468" s="3" t="s">
        <v>25</v>
      </c>
    </row>
    <row r="1469" spans="1:19" x14ac:dyDescent="0.35">
      <c r="A1469" s="3">
        <v>2468</v>
      </c>
      <c r="B1469" s="3" t="s">
        <v>417</v>
      </c>
      <c r="C1469" s="4">
        <v>45596</v>
      </c>
      <c r="D1469" s="3" t="s">
        <v>153</v>
      </c>
      <c r="E1469" s="4">
        <v>45635</v>
      </c>
      <c r="F1469" s="4">
        <v>45636</v>
      </c>
      <c r="G1469" s="3" t="s">
        <v>34</v>
      </c>
      <c r="H1469" s="3" t="s">
        <v>35</v>
      </c>
      <c r="I1469" s="3" t="s">
        <v>22</v>
      </c>
      <c r="J1469" s="3" t="s">
        <v>23</v>
      </c>
      <c r="K1469" s="3">
        <v>39</v>
      </c>
      <c r="L1469" s="3">
        <v>1</v>
      </c>
      <c r="M1469" s="3">
        <v>5168</v>
      </c>
      <c r="N1469" s="3">
        <v>5168</v>
      </c>
      <c r="O1469" s="3">
        <v>0</v>
      </c>
      <c r="P1469" s="3" t="s">
        <v>51</v>
      </c>
      <c r="Q1469" s="3">
        <v>1</v>
      </c>
      <c r="R1469" s="3" t="str">
        <f t="shared" si="22"/>
        <v>Cancelled</v>
      </c>
      <c r="S1469" s="3" t="s">
        <v>25</v>
      </c>
    </row>
    <row r="1470" spans="1:19" x14ac:dyDescent="0.35">
      <c r="A1470" s="3">
        <v>2469</v>
      </c>
      <c r="B1470" s="3" t="s">
        <v>67</v>
      </c>
      <c r="C1470" s="4">
        <v>45585</v>
      </c>
      <c r="D1470" s="3" t="s">
        <v>44</v>
      </c>
      <c r="E1470" s="4">
        <v>45598</v>
      </c>
      <c r="F1470" s="4">
        <v>45600</v>
      </c>
      <c r="G1470" s="3" t="s">
        <v>28</v>
      </c>
      <c r="H1470" s="3" t="s">
        <v>21</v>
      </c>
      <c r="I1470" s="3" t="s">
        <v>22</v>
      </c>
      <c r="J1470" s="3" t="s">
        <v>46</v>
      </c>
      <c r="K1470" s="3">
        <v>13</v>
      </c>
      <c r="L1470" s="3">
        <v>2</v>
      </c>
      <c r="M1470" s="3">
        <v>3554</v>
      </c>
      <c r="N1470" s="3">
        <v>7108</v>
      </c>
      <c r="O1470" s="3">
        <v>0</v>
      </c>
      <c r="P1470" s="3" t="s">
        <v>51</v>
      </c>
      <c r="Q1470" s="3">
        <v>1</v>
      </c>
      <c r="R1470" s="3" t="str">
        <f t="shared" si="22"/>
        <v>Cancelled</v>
      </c>
      <c r="S1470" s="3" t="s">
        <v>31</v>
      </c>
    </row>
    <row r="1471" spans="1:19" x14ac:dyDescent="0.35">
      <c r="A1471" s="3">
        <v>2470</v>
      </c>
      <c r="B1471" s="3" t="s">
        <v>643</v>
      </c>
      <c r="C1471" s="4">
        <v>45355</v>
      </c>
      <c r="D1471" s="3" t="s">
        <v>71</v>
      </c>
      <c r="E1471" s="4">
        <v>45372</v>
      </c>
      <c r="F1471" s="4">
        <v>45374</v>
      </c>
      <c r="G1471" s="3" t="s">
        <v>28</v>
      </c>
      <c r="H1471" s="3" t="s">
        <v>21</v>
      </c>
      <c r="I1471" s="3" t="s">
        <v>22</v>
      </c>
      <c r="J1471" s="3" t="s">
        <v>30</v>
      </c>
      <c r="K1471" s="3">
        <v>17</v>
      </c>
      <c r="L1471" s="3">
        <v>2</v>
      </c>
      <c r="M1471" s="3">
        <v>4264</v>
      </c>
      <c r="N1471" s="3">
        <v>8528</v>
      </c>
      <c r="O1471" s="3">
        <v>0</v>
      </c>
      <c r="P1471" s="3" t="s">
        <v>24</v>
      </c>
      <c r="Q1471" s="3">
        <v>1</v>
      </c>
      <c r="R1471" s="3" t="str">
        <f t="shared" si="22"/>
        <v>Cancelled</v>
      </c>
      <c r="S1471" s="3" t="s">
        <v>31</v>
      </c>
    </row>
    <row r="1472" spans="1:19" x14ac:dyDescent="0.35">
      <c r="A1472" s="3">
        <v>2471</v>
      </c>
      <c r="B1472" s="3" t="s">
        <v>1017</v>
      </c>
      <c r="C1472" s="4">
        <v>45616</v>
      </c>
      <c r="D1472" s="3" t="s">
        <v>144</v>
      </c>
      <c r="E1472" s="4">
        <v>45648</v>
      </c>
      <c r="F1472" s="4">
        <v>45651</v>
      </c>
      <c r="G1472" s="3" t="s">
        <v>20</v>
      </c>
      <c r="H1472" s="3" t="s">
        <v>21</v>
      </c>
      <c r="I1472" s="3" t="s">
        <v>22</v>
      </c>
      <c r="J1472" s="3" t="s">
        <v>23</v>
      </c>
      <c r="K1472" s="3">
        <v>32</v>
      </c>
      <c r="L1472" s="3">
        <v>3</v>
      </c>
      <c r="M1472" s="3">
        <v>8883</v>
      </c>
      <c r="N1472" s="3">
        <v>26649</v>
      </c>
      <c r="O1472" s="3">
        <v>0</v>
      </c>
      <c r="P1472" s="3" t="s">
        <v>24</v>
      </c>
      <c r="Q1472" s="3">
        <v>1</v>
      </c>
      <c r="R1472" s="3" t="str">
        <f t="shared" si="22"/>
        <v>Cancelled</v>
      </c>
      <c r="S1472" s="3" t="s">
        <v>31</v>
      </c>
    </row>
    <row r="1473" spans="1:19" x14ac:dyDescent="0.35">
      <c r="A1473" s="3">
        <v>2472</v>
      </c>
      <c r="B1473" s="3" t="s">
        <v>842</v>
      </c>
      <c r="C1473" s="4">
        <v>45467</v>
      </c>
      <c r="D1473" s="3" t="s">
        <v>165</v>
      </c>
      <c r="E1473" s="4">
        <v>45476</v>
      </c>
      <c r="F1473" s="4">
        <v>45480</v>
      </c>
      <c r="G1473" s="3" t="s">
        <v>42</v>
      </c>
      <c r="H1473" s="3" t="s">
        <v>21</v>
      </c>
      <c r="I1473" s="3" t="s">
        <v>22</v>
      </c>
      <c r="J1473" s="3" t="s">
        <v>30</v>
      </c>
      <c r="K1473" s="3">
        <v>9</v>
      </c>
      <c r="L1473" s="3">
        <v>4</v>
      </c>
      <c r="M1473" s="3">
        <v>8509</v>
      </c>
      <c r="N1473" s="3">
        <v>34036</v>
      </c>
      <c r="O1473" s="3">
        <v>34036</v>
      </c>
      <c r="P1473" s="3" t="s">
        <v>24</v>
      </c>
      <c r="Q1473" s="3">
        <v>0</v>
      </c>
      <c r="R1473" s="3" t="str">
        <f t="shared" si="22"/>
        <v>Not Cancelled</v>
      </c>
      <c r="S1473" s="3" t="s">
        <v>25</v>
      </c>
    </row>
    <row r="1474" spans="1:19" x14ac:dyDescent="0.35">
      <c r="A1474" s="3">
        <v>2473</v>
      </c>
      <c r="B1474" s="3" t="s">
        <v>491</v>
      </c>
      <c r="C1474" s="4">
        <v>45407</v>
      </c>
      <c r="D1474" s="3" t="s">
        <v>179</v>
      </c>
      <c r="E1474" s="4">
        <v>45447</v>
      </c>
      <c r="F1474" s="4">
        <v>45452</v>
      </c>
      <c r="G1474" s="3" t="s">
        <v>45</v>
      </c>
      <c r="H1474" s="3" t="s">
        <v>38</v>
      </c>
      <c r="I1474" s="3" t="s">
        <v>39</v>
      </c>
      <c r="J1474" s="3" t="s">
        <v>30</v>
      </c>
      <c r="K1474" s="3">
        <v>40</v>
      </c>
      <c r="L1474" s="3">
        <v>5</v>
      </c>
      <c r="M1474" s="3">
        <v>6958</v>
      </c>
      <c r="N1474" s="3">
        <v>34790</v>
      </c>
      <c r="O1474" s="3">
        <v>0</v>
      </c>
      <c r="P1474" s="3" t="s">
        <v>51</v>
      </c>
      <c r="Q1474" s="3">
        <v>1</v>
      </c>
      <c r="R1474" s="3" t="str">
        <f t="shared" si="22"/>
        <v>Cancelled</v>
      </c>
      <c r="S1474" s="3" t="s">
        <v>31</v>
      </c>
    </row>
    <row r="1475" spans="1:19" x14ac:dyDescent="0.35">
      <c r="A1475" s="3">
        <v>2474</v>
      </c>
      <c r="B1475" s="3" t="s">
        <v>1018</v>
      </c>
      <c r="C1475" s="4">
        <v>45495</v>
      </c>
      <c r="D1475" s="3" t="s">
        <v>157</v>
      </c>
      <c r="E1475" s="4">
        <v>45515</v>
      </c>
      <c r="F1475" s="4">
        <v>45519</v>
      </c>
      <c r="G1475" s="3" t="s">
        <v>42</v>
      </c>
      <c r="H1475" s="3" t="s">
        <v>29</v>
      </c>
      <c r="I1475" s="3" t="s">
        <v>39</v>
      </c>
      <c r="J1475" s="3" t="s">
        <v>46</v>
      </c>
      <c r="K1475" s="3">
        <v>20</v>
      </c>
      <c r="L1475" s="3">
        <v>4</v>
      </c>
      <c r="M1475" s="3">
        <v>5369</v>
      </c>
      <c r="N1475" s="3">
        <v>21476</v>
      </c>
      <c r="O1475" s="3">
        <v>0</v>
      </c>
      <c r="P1475" s="3" t="s">
        <v>24</v>
      </c>
      <c r="Q1475" s="3">
        <v>1</v>
      </c>
      <c r="R1475" s="3" t="str">
        <f t="shared" ref="R1475:R1538" si="23">IF(Q1475=0,"Not Cancelled","Cancelled")</f>
        <v>Cancelled</v>
      </c>
      <c r="S1475" s="3" t="s">
        <v>31</v>
      </c>
    </row>
    <row r="1476" spans="1:19" x14ac:dyDescent="0.35">
      <c r="A1476" s="3">
        <v>2475</v>
      </c>
      <c r="B1476" s="3" t="s">
        <v>1019</v>
      </c>
      <c r="C1476" s="4">
        <v>45612</v>
      </c>
      <c r="D1476" s="3" t="s">
        <v>98</v>
      </c>
      <c r="E1476" s="4">
        <v>45638</v>
      </c>
      <c r="F1476" s="4">
        <v>45640</v>
      </c>
      <c r="G1476" s="3" t="s">
        <v>28</v>
      </c>
      <c r="H1476" s="3" t="s">
        <v>21</v>
      </c>
      <c r="I1476" s="3" t="s">
        <v>22</v>
      </c>
      <c r="J1476" s="3" t="s">
        <v>30</v>
      </c>
      <c r="K1476" s="3">
        <v>26</v>
      </c>
      <c r="L1476" s="3">
        <v>2</v>
      </c>
      <c r="M1476" s="3">
        <v>3912</v>
      </c>
      <c r="N1476" s="3">
        <v>7824</v>
      </c>
      <c r="O1476" s="3">
        <v>0</v>
      </c>
      <c r="P1476" s="3" t="s">
        <v>51</v>
      </c>
      <c r="Q1476" s="3">
        <v>1</v>
      </c>
      <c r="R1476" s="3" t="str">
        <f t="shared" si="23"/>
        <v>Cancelled</v>
      </c>
      <c r="S1476" s="3" t="s">
        <v>25</v>
      </c>
    </row>
    <row r="1477" spans="1:19" x14ac:dyDescent="0.35">
      <c r="A1477" s="3">
        <v>2476</v>
      </c>
      <c r="B1477" s="3" t="s">
        <v>762</v>
      </c>
      <c r="C1477" s="4">
        <v>45322</v>
      </c>
      <c r="D1477" s="3" t="s">
        <v>185</v>
      </c>
      <c r="E1477" s="4">
        <v>45349</v>
      </c>
      <c r="F1477" s="4">
        <v>45354</v>
      </c>
      <c r="G1477" s="3" t="s">
        <v>45</v>
      </c>
      <c r="H1477" s="3" t="s">
        <v>38</v>
      </c>
      <c r="I1477" s="3" t="s">
        <v>22</v>
      </c>
      <c r="J1477" s="3" t="s">
        <v>46</v>
      </c>
      <c r="K1477" s="3">
        <v>27</v>
      </c>
      <c r="L1477" s="3">
        <v>5</v>
      </c>
      <c r="M1477" s="3">
        <v>3167</v>
      </c>
      <c r="N1477" s="3">
        <v>15835</v>
      </c>
      <c r="O1477" s="3">
        <v>0</v>
      </c>
      <c r="P1477" s="3" t="s">
        <v>24</v>
      </c>
      <c r="Q1477" s="3">
        <v>1</v>
      </c>
      <c r="R1477" s="3" t="str">
        <f t="shared" si="23"/>
        <v>Cancelled</v>
      </c>
      <c r="S1477" s="3" t="s">
        <v>25</v>
      </c>
    </row>
    <row r="1478" spans="1:19" x14ac:dyDescent="0.35">
      <c r="A1478" s="3">
        <v>2477</v>
      </c>
      <c r="B1478" s="3" t="s">
        <v>1020</v>
      </c>
      <c r="C1478" s="4">
        <v>45404</v>
      </c>
      <c r="D1478" s="3" t="s">
        <v>175</v>
      </c>
      <c r="E1478" s="4">
        <v>45425</v>
      </c>
      <c r="F1478" s="4">
        <v>45429</v>
      </c>
      <c r="G1478" s="3" t="s">
        <v>42</v>
      </c>
      <c r="H1478" s="3" t="s">
        <v>38</v>
      </c>
      <c r="I1478" s="3" t="s">
        <v>22</v>
      </c>
      <c r="J1478" s="3" t="s">
        <v>30</v>
      </c>
      <c r="K1478" s="3">
        <v>21</v>
      </c>
      <c r="L1478" s="3">
        <v>4</v>
      </c>
      <c r="M1478" s="3">
        <v>5870</v>
      </c>
      <c r="N1478" s="3">
        <v>23480</v>
      </c>
      <c r="O1478" s="3">
        <v>0</v>
      </c>
      <c r="P1478" s="3" t="s">
        <v>51</v>
      </c>
      <c r="Q1478" s="3">
        <v>1</v>
      </c>
      <c r="R1478" s="3" t="str">
        <f t="shared" si="23"/>
        <v>Cancelled</v>
      </c>
      <c r="S1478" s="3" t="s">
        <v>31</v>
      </c>
    </row>
    <row r="1479" spans="1:19" x14ac:dyDescent="0.35">
      <c r="A1479" s="3">
        <v>2478</v>
      </c>
      <c r="B1479" s="3" t="s">
        <v>1021</v>
      </c>
      <c r="C1479" s="4">
        <v>45656</v>
      </c>
      <c r="D1479" s="3" t="s">
        <v>27</v>
      </c>
      <c r="E1479" s="4">
        <v>45674</v>
      </c>
      <c r="F1479" s="4">
        <v>45678</v>
      </c>
      <c r="G1479" s="3" t="s">
        <v>42</v>
      </c>
      <c r="H1479" s="3" t="s">
        <v>38</v>
      </c>
      <c r="I1479" s="3" t="s">
        <v>39</v>
      </c>
      <c r="J1479" s="3" t="s">
        <v>23</v>
      </c>
      <c r="K1479" s="3">
        <v>18</v>
      </c>
      <c r="L1479" s="3">
        <v>4</v>
      </c>
      <c r="M1479" s="3">
        <v>8476</v>
      </c>
      <c r="N1479" s="3">
        <v>33904</v>
      </c>
      <c r="O1479" s="3">
        <v>33904</v>
      </c>
      <c r="P1479" s="3" t="s">
        <v>24</v>
      </c>
      <c r="Q1479" s="3">
        <v>0</v>
      </c>
      <c r="R1479" s="3" t="str">
        <f t="shared" si="23"/>
        <v>Not Cancelled</v>
      </c>
      <c r="S1479" s="3" t="s">
        <v>31</v>
      </c>
    </row>
    <row r="1480" spans="1:19" x14ac:dyDescent="0.35">
      <c r="A1480" s="3">
        <v>2479</v>
      </c>
      <c r="B1480" s="3" t="s">
        <v>1022</v>
      </c>
      <c r="C1480" s="4">
        <v>45616</v>
      </c>
      <c r="D1480" s="3" t="s">
        <v>44</v>
      </c>
      <c r="E1480" s="4">
        <v>45629</v>
      </c>
      <c r="F1480" s="4">
        <v>45634</v>
      </c>
      <c r="G1480" s="3" t="s">
        <v>45</v>
      </c>
      <c r="H1480" s="3" t="s">
        <v>60</v>
      </c>
      <c r="I1480" s="3" t="s">
        <v>39</v>
      </c>
      <c r="J1480" s="3" t="s">
        <v>30</v>
      </c>
      <c r="K1480" s="3">
        <v>13</v>
      </c>
      <c r="L1480" s="3">
        <v>5</v>
      </c>
      <c r="M1480" s="3">
        <v>3894</v>
      </c>
      <c r="N1480" s="3">
        <v>19470</v>
      </c>
      <c r="O1480" s="3">
        <v>19470</v>
      </c>
      <c r="P1480" s="3" t="s">
        <v>51</v>
      </c>
      <c r="Q1480" s="3">
        <v>0</v>
      </c>
      <c r="R1480" s="3" t="str">
        <f t="shared" si="23"/>
        <v>Not Cancelled</v>
      </c>
      <c r="S1480" s="3" t="s">
        <v>25</v>
      </c>
    </row>
    <row r="1481" spans="1:19" x14ac:dyDescent="0.35">
      <c r="A1481" s="3">
        <v>2480</v>
      </c>
      <c r="B1481" s="3" t="s">
        <v>358</v>
      </c>
      <c r="C1481" s="4">
        <v>45635</v>
      </c>
      <c r="D1481" s="3" t="s">
        <v>88</v>
      </c>
      <c r="E1481" s="4">
        <v>45651</v>
      </c>
      <c r="F1481" s="4">
        <v>45653</v>
      </c>
      <c r="G1481" s="3" t="s">
        <v>28</v>
      </c>
      <c r="H1481" s="3" t="s">
        <v>60</v>
      </c>
      <c r="I1481" s="3" t="s">
        <v>39</v>
      </c>
      <c r="J1481" s="3" t="s">
        <v>46</v>
      </c>
      <c r="K1481" s="3">
        <v>16</v>
      </c>
      <c r="L1481" s="3">
        <v>2</v>
      </c>
      <c r="M1481" s="3">
        <v>2598</v>
      </c>
      <c r="N1481" s="3">
        <v>5196</v>
      </c>
      <c r="O1481" s="3">
        <v>5196</v>
      </c>
      <c r="P1481" s="3" t="s">
        <v>51</v>
      </c>
      <c r="Q1481" s="3">
        <v>0</v>
      </c>
      <c r="R1481" s="3" t="str">
        <f t="shared" si="23"/>
        <v>Not Cancelled</v>
      </c>
      <c r="S1481" s="3" t="s">
        <v>25</v>
      </c>
    </row>
    <row r="1482" spans="1:19" x14ac:dyDescent="0.35">
      <c r="A1482" s="3">
        <v>2481</v>
      </c>
      <c r="B1482" s="3" t="s">
        <v>995</v>
      </c>
      <c r="C1482" s="4">
        <v>45358</v>
      </c>
      <c r="D1482" s="3" t="s">
        <v>165</v>
      </c>
      <c r="E1482" s="4">
        <v>45367</v>
      </c>
      <c r="F1482" s="4">
        <v>45371</v>
      </c>
      <c r="G1482" s="3" t="s">
        <v>42</v>
      </c>
      <c r="H1482" s="3" t="s">
        <v>38</v>
      </c>
      <c r="I1482" s="3" t="s">
        <v>39</v>
      </c>
      <c r="J1482" s="3" t="s">
        <v>30</v>
      </c>
      <c r="K1482" s="3">
        <v>9</v>
      </c>
      <c r="L1482" s="3">
        <v>4</v>
      </c>
      <c r="M1482" s="3">
        <v>8690</v>
      </c>
      <c r="N1482" s="3">
        <v>34760</v>
      </c>
      <c r="O1482" s="3">
        <v>34760</v>
      </c>
      <c r="P1482" s="3" t="s">
        <v>51</v>
      </c>
      <c r="Q1482" s="3">
        <v>0</v>
      </c>
      <c r="R1482" s="3" t="str">
        <f t="shared" si="23"/>
        <v>Not Cancelled</v>
      </c>
      <c r="S1482" s="3" t="s">
        <v>25</v>
      </c>
    </row>
    <row r="1483" spans="1:19" x14ac:dyDescent="0.35">
      <c r="A1483" s="3">
        <v>2482</v>
      </c>
      <c r="B1483" s="3" t="s">
        <v>965</v>
      </c>
      <c r="C1483" s="4">
        <v>45366</v>
      </c>
      <c r="D1483" s="3" t="s">
        <v>102</v>
      </c>
      <c r="E1483" s="4">
        <v>45378</v>
      </c>
      <c r="F1483" s="4">
        <v>45383</v>
      </c>
      <c r="G1483" s="3" t="s">
        <v>45</v>
      </c>
      <c r="H1483" s="3" t="s">
        <v>21</v>
      </c>
      <c r="I1483" s="3" t="s">
        <v>22</v>
      </c>
      <c r="J1483" s="3" t="s">
        <v>46</v>
      </c>
      <c r="K1483" s="3">
        <v>12</v>
      </c>
      <c r="L1483" s="3">
        <v>5</v>
      </c>
      <c r="M1483" s="3">
        <v>6570</v>
      </c>
      <c r="N1483" s="3">
        <v>32850</v>
      </c>
      <c r="O1483" s="3">
        <v>0</v>
      </c>
      <c r="P1483" s="3" t="s">
        <v>24</v>
      </c>
      <c r="Q1483" s="3">
        <v>1</v>
      </c>
      <c r="R1483" s="3" t="str">
        <f t="shared" si="23"/>
        <v>Cancelled</v>
      </c>
      <c r="S1483" s="3" t="s">
        <v>25</v>
      </c>
    </row>
    <row r="1484" spans="1:19" x14ac:dyDescent="0.35">
      <c r="A1484" s="3">
        <v>2483</v>
      </c>
      <c r="B1484" s="3" t="s">
        <v>533</v>
      </c>
      <c r="C1484" s="4">
        <v>45336</v>
      </c>
      <c r="D1484" s="3" t="s">
        <v>62</v>
      </c>
      <c r="E1484" s="4">
        <v>45380</v>
      </c>
      <c r="F1484" s="4">
        <v>45382</v>
      </c>
      <c r="G1484" s="3" t="s">
        <v>28</v>
      </c>
      <c r="H1484" s="3" t="s">
        <v>29</v>
      </c>
      <c r="I1484" s="3" t="s">
        <v>22</v>
      </c>
      <c r="J1484" s="3" t="s">
        <v>46</v>
      </c>
      <c r="K1484" s="3">
        <v>44</v>
      </c>
      <c r="L1484" s="3">
        <v>2</v>
      </c>
      <c r="M1484" s="3">
        <v>2921</v>
      </c>
      <c r="N1484" s="3">
        <v>5842</v>
      </c>
      <c r="O1484" s="3">
        <v>5842</v>
      </c>
      <c r="P1484" s="3" t="s">
        <v>51</v>
      </c>
      <c r="Q1484" s="3">
        <v>0</v>
      </c>
      <c r="R1484" s="3" t="str">
        <f t="shared" si="23"/>
        <v>Not Cancelled</v>
      </c>
      <c r="S1484" s="3" t="s">
        <v>25</v>
      </c>
    </row>
    <row r="1485" spans="1:19" x14ac:dyDescent="0.35">
      <c r="A1485" s="3">
        <v>2484</v>
      </c>
      <c r="B1485" s="3" t="s">
        <v>933</v>
      </c>
      <c r="C1485" s="4">
        <v>45551</v>
      </c>
      <c r="D1485" s="3" t="s">
        <v>115</v>
      </c>
      <c r="E1485" s="4">
        <v>45589</v>
      </c>
      <c r="F1485" s="4">
        <v>45594</v>
      </c>
      <c r="G1485" s="3" t="s">
        <v>45</v>
      </c>
      <c r="H1485" s="3" t="s">
        <v>35</v>
      </c>
      <c r="I1485" s="3" t="s">
        <v>22</v>
      </c>
      <c r="J1485" s="3" t="s">
        <v>23</v>
      </c>
      <c r="K1485" s="3">
        <v>38</v>
      </c>
      <c r="L1485" s="3">
        <v>5</v>
      </c>
      <c r="M1485" s="3">
        <v>8099</v>
      </c>
      <c r="N1485" s="3">
        <v>40495</v>
      </c>
      <c r="O1485" s="3">
        <v>40495</v>
      </c>
      <c r="P1485" s="3" t="s">
        <v>51</v>
      </c>
      <c r="Q1485" s="3">
        <v>0</v>
      </c>
      <c r="R1485" s="3" t="str">
        <f t="shared" si="23"/>
        <v>Not Cancelled</v>
      </c>
      <c r="S1485" s="3" t="s">
        <v>31</v>
      </c>
    </row>
    <row r="1486" spans="1:19" x14ac:dyDescent="0.35">
      <c r="A1486" s="3">
        <v>2485</v>
      </c>
      <c r="B1486" s="3" t="s">
        <v>883</v>
      </c>
      <c r="C1486" s="4">
        <v>45445</v>
      </c>
      <c r="D1486" s="3" t="s">
        <v>109</v>
      </c>
      <c r="E1486" s="4">
        <v>45464</v>
      </c>
      <c r="F1486" s="4">
        <v>45469</v>
      </c>
      <c r="G1486" s="3" t="s">
        <v>45</v>
      </c>
      <c r="H1486" s="3" t="s">
        <v>60</v>
      </c>
      <c r="I1486" s="3" t="s">
        <v>22</v>
      </c>
      <c r="J1486" s="3" t="s">
        <v>46</v>
      </c>
      <c r="K1486" s="3">
        <v>19</v>
      </c>
      <c r="L1486" s="3">
        <v>5</v>
      </c>
      <c r="M1486" s="3">
        <v>6150</v>
      </c>
      <c r="N1486" s="3">
        <v>30750</v>
      </c>
      <c r="O1486" s="3">
        <v>30750</v>
      </c>
      <c r="P1486" s="3" t="s">
        <v>24</v>
      </c>
      <c r="Q1486" s="3">
        <v>0</v>
      </c>
      <c r="R1486" s="3" t="str">
        <f t="shared" si="23"/>
        <v>Not Cancelled</v>
      </c>
      <c r="S1486" s="3" t="s">
        <v>25</v>
      </c>
    </row>
    <row r="1487" spans="1:19" x14ac:dyDescent="0.35">
      <c r="A1487" s="3">
        <v>2486</v>
      </c>
      <c r="B1487" s="3" t="s">
        <v>607</v>
      </c>
      <c r="C1487" s="4">
        <v>45446</v>
      </c>
      <c r="D1487" s="3" t="s">
        <v>209</v>
      </c>
      <c r="E1487" s="4">
        <v>45453</v>
      </c>
      <c r="F1487" s="4">
        <v>45457</v>
      </c>
      <c r="G1487" s="3" t="s">
        <v>42</v>
      </c>
      <c r="H1487" s="3" t="s">
        <v>21</v>
      </c>
      <c r="I1487" s="3" t="s">
        <v>39</v>
      </c>
      <c r="J1487" s="3" t="s">
        <v>23</v>
      </c>
      <c r="K1487" s="3">
        <v>7</v>
      </c>
      <c r="L1487" s="3">
        <v>4</v>
      </c>
      <c r="M1487" s="3">
        <v>6657</v>
      </c>
      <c r="N1487" s="3">
        <v>26628</v>
      </c>
      <c r="O1487" s="3">
        <v>0</v>
      </c>
      <c r="P1487" s="3" t="s">
        <v>51</v>
      </c>
      <c r="Q1487" s="3">
        <v>1</v>
      </c>
      <c r="R1487" s="3" t="str">
        <f t="shared" si="23"/>
        <v>Cancelled</v>
      </c>
      <c r="S1487" s="3" t="s">
        <v>25</v>
      </c>
    </row>
    <row r="1488" spans="1:19" x14ac:dyDescent="0.35">
      <c r="A1488" s="3">
        <v>2487</v>
      </c>
      <c r="B1488" s="3" t="s">
        <v>914</v>
      </c>
      <c r="C1488" s="4">
        <v>45654</v>
      </c>
      <c r="D1488" s="3" t="s">
        <v>100</v>
      </c>
      <c r="E1488" s="4">
        <v>45711</v>
      </c>
      <c r="F1488" s="4">
        <v>45713</v>
      </c>
      <c r="G1488" s="3" t="s">
        <v>28</v>
      </c>
      <c r="H1488" s="3" t="s">
        <v>21</v>
      </c>
      <c r="I1488" s="3" t="s">
        <v>39</v>
      </c>
      <c r="J1488" s="3" t="s">
        <v>23</v>
      </c>
      <c r="K1488" s="3">
        <v>57</v>
      </c>
      <c r="L1488" s="3">
        <v>2</v>
      </c>
      <c r="M1488" s="3">
        <v>3632</v>
      </c>
      <c r="N1488" s="3">
        <v>7264</v>
      </c>
      <c r="O1488" s="3">
        <v>7264</v>
      </c>
      <c r="P1488" s="3" t="s">
        <v>51</v>
      </c>
      <c r="Q1488" s="3">
        <v>0</v>
      </c>
      <c r="R1488" s="3" t="str">
        <f t="shared" si="23"/>
        <v>Not Cancelled</v>
      </c>
      <c r="S1488" s="3" t="s">
        <v>25</v>
      </c>
    </row>
    <row r="1489" spans="1:19" x14ac:dyDescent="0.35">
      <c r="A1489" s="3">
        <v>2488</v>
      </c>
      <c r="B1489" s="3" t="s">
        <v>145</v>
      </c>
      <c r="C1489" s="4">
        <v>45525</v>
      </c>
      <c r="D1489" s="3" t="s">
        <v>91</v>
      </c>
      <c r="E1489" s="4">
        <v>45560</v>
      </c>
      <c r="F1489" s="4">
        <v>45564</v>
      </c>
      <c r="G1489" s="3" t="s">
        <v>42</v>
      </c>
      <c r="H1489" s="3" t="s">
        <v>35</v>
      </c>
      <c r="I1489" s="3" t="s">
        <v>22</v>
      </c>
      <c r="J1489" s="3" t="s">
        <v>30</v>
      </c>
      <c r="K1489" s="3">
        <v>35</v>
      </c>
      <c r="L1489" s="3">
        <v>4</v>
      </c>
      <c r="M1489" s="3">
        <v>4202</v>
      </c>
      <c r="N1489" s="3">
        <v>16808</v>
      </c>
      <c r="O1489" s="3">
        <v>16808</v>
      </c>
      <c r="P1489" s="3" t="s">
        <v>24</v>
      </c>
      <c r="Q1489" s="3">
        <v>0</v>
      </c>
      <c r="R1489" s="3" t="str">
        <f t="shared" si="23"/>
        <v>Not Cancelled</v>
      </c>
      <c r="S1489" s="3" t="s">
        <v>25</v>
      </c>
    </row>
    <row r="1490" spans="1:19" x14ac:dyDescent="0.35">
      <c r="A1490" s="3">
        <v>2489</v>
      </c>
      <c r="B1490" s="3" t="s">
        <v>681</v>
      </c>
      <c r="C1490" s="4">
        <v>45342</v>
      </c>
      <c r="D1490" s="3" t="s">
        <v>73</v>
      </c>
      <c r="E1490" s="4">
        <v>45390</v>
      </c>
      <c r="F1490" s="4">
        <v>45391</v>
      </c>
      <c r="G1490" s="3" t="s">
        <v>34</v>
      </c>
      <c r="H1490" s="3" t="s">
        <v>35</v>
      </c>
      <c r="I1490" s="3" t="s">
        <v>39</v>
      </c>
      <c r="J1490" s="3" t="s">
        <v>23</v>
      </c>
      <c r="K1490" s="3">
        <v>48</v>
      </c>
      <c r="L1490" s="3">
        <v>1</v>
      </c>
      <c r="M1490" s="3">
        <v>6120</v>
      </c>
      <c r="N1490" s="3">
        <v>6120</v>
      </c>
      <c r="O1490" s="3">
        <v>6120</v>
      </c>
      <c r="P1490" s="3" t="s">
        <v>51</v>
      </c>
      <c r="Q1490" s="3">
        <v>0</v>
      </c>
      <c r="R1490" s="3" t="str">
        <f t="shared" si="23"/>
        <v>Not Cancelled</v>
      </c>
      <c r="S1490" s="3" t="s">
        <v>25</v>
      </c>
    </row>
    <row r="1491" spans="1:19" x14ac:dyDescent="0.35">
      <c r="A1491" s="3">
        <v>2490</v>
      </c>
      <c r="B1491" s="3" t="s">
        <v>101</v>
      </c>
      <c r="C1491" s="4">
        <v>45597</v>
      </c>
      <c r="D1491" s="3" t="s">
        <v>27</v>
      </c>
      <c r="E1491" s="4">
        <v>45615</v>
      </c>
      <c r="F1491" s="4">
        <v>45616</v>
      </c>
      <c r="G1491" s="3" t="s">
        <v>34</v>
      </c>
      <c r="H1491" s="3" t="s">
        <v>21</v>
      </c>
      <c r="I1491" s="3" t="s">
        <v>39</v>
      </c>
      <c r="J1491" s="3" t="s">
        <v>46</v>
      </c>
      <c r="K1491" s="3">
        <v>18</v>
      </c>
      <c r="L1491" s="3">
        <v>1</v>
      </c>
      <c r="M1491" s="3">
        <v>5690</v>
      </c>
      <c r="N1491" s="3">
        <v>5690</v>
      </c>
      <c r="O1491" s="3">
        <v>0</v>
      </c>
      <c r="P1491" s="3" t="s">
        <v>24</v>
      </c>
      <c r="Q1491" s="3">
        <v>1</v>
      </c>
      <c r="R1491" s="3" t="str">
        <f t="shared" si="23"/>
        <v>Cancelled</v>
      </c>
      <c r="S1491" s="3" t="s">
        <v>31</v>
      </c>
    </row>
    <row r="1492" spans="1:19" x14ac:dyDescent="0.35">
      <c r="A1492" s="3">
        <v>2491</v>
      </c>
      <c r="B1492" s="3" t="s">
        <v>269</v>
      </c>
      <c r="C1492" s="4">
        <v>45553</v>
      </c>
      <c r="D1492" s="3" t="s">
        <v>88</v>
      </c>
      <c r="E1492" s="4">
        <v>45569</v>
      </c>
      <c r="F1492" s="4">
        <v>45571</v>
      </c>
      <c r="G1492" s="3" t="s">
        <v>28</v>
      </c>
      <c r="H1492" s="3" t="s">
        <v>35</v>
      </c>
      <c r="I1492" s="3" t="s">
        <v>39</v>
      </c>
      <c r="J1492" s="3" t="s">
        <v>46</v>
      </c>
      <c r="K1492" s="3">
        <v>16</v>
      </c>
      <c r="L1492" s="3">
        <v>2</v>
      </c>
      <c r="M1492" s="3">
        <v>3097</v>
      </c>
      <c r="N1492" s="3">
        <v>6194</v>
      </c>
      <c r="O1492" s="3">
        <v>6194</v>
      </c>
      <c r="P1492" s="3" t="s">
        <v>51</v>
      </c>
      <c r="Q1492" s="3">
        <v>0</v>
      </c>
      <c r="R1492" s="3" t="str">
        <f t="shared" si="23"/>
        <v>Not Cancelled</v>
      </c>
      <c r="S1492" s="3" t="s">
        <v>25</v>
      </c>
    </row>
    <row r="1493" spans="1:19" x14ac:dyDescent="0.35">
      <c r="A1493" s="3">
        <v>2492</v>
      </c>
      <c r="B1493" s="3" t="s">
        <v>1023</v>
      </c>
      <c r="C1493" s="4">
        <v>45606</v>
      </c>
      <c r="D1493" s="3" t="s">
        <v>113</v>
      </c>
      <c r="E1493" s="4">
        <v>45661</v>
      </c>
      <c r="F1493" s="4">
        <v>45666</v>
      </c>
      <c r="G1493" s="3" t="s">
        <v>45</v>
      </c>
      <c r="H1493" s="3" t="s">
        <v>21</v>
      </c>
      <c r="I1493" s="3" t="s">
        <v>39</v>
      </c>
      <c r="J1493" s="3" t="s">
        <v>23</v>
      </c>
      <c r="K1493" s="3">
        <v>55</v>
      </c>
      <c r="L1493" s="3">
        <v>5</v>
      </c>
      <c r="M1493" s="3">
        <v>2891</v>
      </c>
      <c r="N1493" s="3">
        <v>14455</v>
      </c>
      <c r="O1493" s="3">
        <v>14455</v>
      </c>
      <c r="P1493" s="3" t="s">
        <v>24</v>
      </c>
      <c r="Q1493" s="3">
        <v>0</v>
      </c>
      <c r="R1493" s="3" t="str">
        <f t="shared" si="23"/>
        <v>Not Cancelled</v>
      </c>
      <c r="S1493" s="3" t="s">
        <v>31</v>
      </c>
    </row>
    <row r="1494" spans="1:19" x14ac:dyDescent="0.35">
      <c r="A1494" s="3">
        <v>2493</v>
      </c>
      <c r="B1494" s="3" t="s">
        <v>1024</v>
      </c>
      <c r="C1494" s="4">
        <v>45416</v>
      </c>
      <c r="D1494" s="3" t="s">
        <v>153</v>
      </c>
      <c r="E1494" s="4">
        <v>45455</v>
      </c>
      <c r="F1494" s="4">
        <v>45459</v>
      </c>
      <c r="G1494" s="3" t="s">
        <v>42</v>
      </c>
      <c r="H1494" s="3" t="s">
        <v>35</v>
      </c>
      <c r="I1494" s="3" t="s">
        <v>22</v>
      </c>
      <c r="J1494" s="3" t="s">
        <v>30</v>
      </c>
      <c r="K1494" s="3">
        <v>39</v>
      </c>
      <c r="L1494" s="3">
        <v>4</v>
      </c>
      <c r="M1494" s="3">
        <v>3575</v>
      </c>
      <c r="N1494" s="3">
        <v>14300</v>
      </c>
      <c r="O1494" s="3">
        <v>14300</v>
      </c>
      <c r="P1494" s="3" t="s">
        <v>51</v>
      </c>
      <c r="Q1494" s="3">
        <v>0</v>
      </c>
      <c r="R1494" s="3" t="str">
        <f t="shared" si="23"/>
        <v>Not Cancelled</v>
      </c>
      <c r="S1494" s="3" t="s">
        <v>25</v>
      </c>
    </row>
    <row r="1495" spans="1:19" x14ac:dyDescent="0.35">
      <c r="A1495" s="3">
        <v>2494</v>
      </c>
      <c r="B1495" s="3" t="s">
        <v>1025</v>
      </c>
      <c r="C1495" s="4">
        <v>45536</v>
      </c>
      <c r="D1495" s="3" t="s">
        <v>42</v>
      </c>
      <c r="E1495" s="4">
        <v>45540</v>
      </c>
      <c r="F1495" s="4">
        <v>45544</v>
      </c>
      <c r="G1495" s="3" t="s">
        <v>42</v>
      </c>
      <c r="H1495" s="3" t="s">
        <v>35</v>
      </c>
      <c r="I1495" s="3" t="s">
        <v>39</v>
      </c>
      <c r="J1495" s="3" t="s">
        <v>23</v>
      </c>
      <c r="K1495" s="3">
        <v>4</v>
      </c>
      <c r="L1495" s="3">
        <v>4</v>
      </c>
      <c r="M1495" s="3">
        <v>5150</v>
      </c>
      <c r="N1495" s="3">
        <v>20600</v>
      </c>
      <c r="O1495" s="3">
        <v>20600</v>
      </c>
      <c r="P1495" s="3" t="s">
        <v>51</v>
      </c>
      <c r="Q1495" s="3">
        <v>0</v>
      </c>
      <c r="R1495" s="3" t="str">
        <f t="shared" si="23"/>
        <v>Not Cancelled</v>
      </c>
      <c r="S1495" s="3" t="s">
        <v>31</v>
      </c>
    </row>
    <row r="1496" spans="1:19" x14ac:dyDescent="0.35">
      <c r="A1496" s="3">
        <v>2495</v>
      </c>
      <c r="B1496" s="3" t="s">
        <v>281</v>
      </c>
      <c r="C1496" s="4">
        <v>45321</v>
      </c>
      <c r="D1496" s="3" t="s">
        <v>96</v>
      </c>
      <c r="E1496" s="4">
        <v>45380</v>
      </c>
      <c r="F1496" s="4">
        <v>45382</v>
      </c>
      <c r="G1496" s="3" t="s">
        <v>28</v>
      </c>
      <c r="H1496" s="3" t="s">
        <v>21</v>
      </c>
      <c r="I1496" s="3" t="s">
        <v>22</v>
      </c>
      <c r="J1496" s="3" t="s">
        <v>23</v>
      </c>
      <c r="K1496" s="3">
        <v>59</v>
      </c>
      <c r="L1496" s="3">
        <v>2</v>
      </c>
      <c r="M1496" s="3">
        <v>7908</v>
      </c>
      <c r="N1496" s="3">
        <v>15816</v>
      </c>
      <c r="O1496" s="3">
        <v>15816</v>
      </c>
      <c r="P1496" s="3" t="s">
        <v>51</v>
      </c>
      <c r="Q1496" s="3">
        <v>0</v>
      </c>
      <c r="R1496" s="3" t="str">
        <f t="shared" si="23"/>
        <v>Not Cancelled</v>
      </c>
      <c r="S1496" s="3" t="s">
        <v>31</v>
      </c>
    </row>
    <row r="1497" spans="1:19" x14ac:dyDescent="0.35">
      <c r="A1497" s="3">
        <v>2496</v>
      </c>
      <c r="B1497" s="3" t="s">
        <v>321</v>
      </c>
      <c r="C1497" s="4">
        <v>45413</v>
      </c>
      <c r="D1497" s="3" t="s">
        <v>107</v>
      </c>
      <c r="E1497" s="4">
        <v>45438</v>
      </c>
      <c r="F1497" s="4">
        <v>45440</v>
      </c>
      <c r="G1497" s="3" t="s">
        <v>28</v>
      </c>
      <c r="H1497" s="3" t="s">
        <v>38</v>
      </c>
      <c r="I1497" s="3" t="s">
        <v>39</v>
      </c>
      <c r="J1497" s="3" t="s">
        <v>46</v>
      </c>
      <c r="K1497" s="3">
        <v>25</v>
      </c>
      <c r="L1497" s="3">
        <v>2</v>
      </c>
      <c r="M1497" s="3">
        <v>8625</v>
      </c>
      <c r="N1497" s="3">
        <v>17250</v>
      </c>
      <c r="O1497" s="3">
        <v>0</v>
      </c>
      <c r="P1497" s="3" t="s">
        <v>24</v>
      </c>
      <c r="Q1497" s="3">
        <v>1</v>
      </c>
      <c r="R1497" s="3" t="str">
        <f t="shared" si="23"/>
        <v>Cancelled</v>
      </c>
      <c r="S1497" s="3" t="s">
        <v>25</v>
      </c>
    </row>
    <row r="1498" spans="1:19" x14ac:dyDescent="0.35">
      <c r="A1498" s="3">
        <v>2497</v>
      </c>
      <c r="B1498" s="3" t="s">
        <v>458</v>
      </c>
      <c r="C1498" s="4">
        <v>45416</v>
      </c>
      <c r="D1498" s="3" t="s">
        <v>144</v>
      </c>
      <c r="E1498" s="4">
        <v>45448</v>
      </c>
      <c r="F1498" s="4">
        <v>45449</v>
      </c>
      <c r="G1498" s="3" t="s">
        <v>34</v>
      </c>
      <c r="H1498" s="3" t="s">
        <v>21</v>
      </c>
      <c r="I1498" s="3" t="s">
        <v>39</v>
      </c>
      <c r="J1498" s="3" t="s">
        <v>30</v>
      </c>
      <c r="K1498" s="3">
        <v>32</v>
      </c>
      <c r="L1498" s="3">
        <v>1</v>
      </c>
      <c r="M1498" s="3">
        <v>4884</v>
      </c>
      <c r="N1498" s="3">
        <v>4884</v>
      </c>
      <c r="O1498" s="3">
        <v>4884</v>
      </c>
      <c r="P1498" s="3" t="s">
        <v>51</v>
      </c>
      <c r="Q1498" s="3">
        <v>0</v>
      </c>
      <c r="R1498" s="3" t="str">
        <f t="shared" si="23"/>
        <v>Not Cancelled</v>
      </c>
      <c r="S1498" s="3" t="s">
        <v>25</v>
      </c>
    </row>
    <row r="1499" spans="1:19" x14ac:dyDescent="0.35">
      <c r="A1499" s="3">
        <v>2498</v>
      </c>
      <c r="B1499" s="3" t="s">
        <v>407</v>
      </c>
      <c r="C1499" s="4">
        <v>45328</v>
      </c>
      <c r="D1499" s="3" t="s">
        <v>179</v>
      </c>
      <c r="E1499" s="4">
        <v>45368</v>
      </c>
      <c r="F1499" s="4">
        <v>45371</v>
      </c>
      <c r="G1499" s="3" t="s">
        <v>20</v>
      </c>
      <c r="H1499" s="3" t="s">
        <v>29</v>
      </c>
      <c r="I1499" s="3" t="s">
        <v>22</v>
      </c>
      <c r="J1499" s="3" t="s">
        <v>30</v>
      </c>
      <c r="K1499" s="3">
        <v>40</v>
      </c>
      <c r="L1499" s="3">
        <v>3</v>
      </c>
      <c r="M1499" s="3">
        <v>3309</v>
      </c>
      <c r="N1499" s="3">
        <v>9927</v>
      </c>
      <c r="O1499" s="3">
        <v>0</v>
      </c>
      <c r="P1499" s="3" t="s">
        <v>51</v>
      </c>
      <c r="Q1499" s="3">
        <v>1</v>
      </c>
      <c r="R1499" s="3" t="str">
        <f t="shared" si="23"/>
        <v>Cancelled</v>
      </c>
      <c r="S1499" s="3" t="s">
        <v>25</v>
      </c>
    </row>
    <row r="1500" spans="1:19" x14ac:dyDescent="0.35">
      <c r="A1500" s="3">
        <v>2499</v>
      </c>
      <c r="B1500" s="3" t="s">
        <v>948</v>
      </c>
      <c r="C1500" s="4">
        <v>45461</v>
      </c>
      <c r="D1500" s="3" t="s">
        <v>44</v>
      </c>
      <c r="E1500" s="4">
        <v>45474</v>
      </c>
      <c r="F1500" s="4">
        <v>45476</v>
      </c>
      <c r="G1500" s="3" t="s">
        <v>28</v>
      </c>
      <c r="H1500" s="3" t="s">
        <v>35</v>
      </c>
      <c r="I1500" s="3" t="s">
        <v>22</v>
      </c>
      <c r="J1500" s="3" t="s">
        <v>30</v>
      </c>
      <c r="K1500" s="3">
        <v>13</v>
      </c>
      <c r="L1500" s="3">
        <v>2</v>
      </c>
      <c r="M1500" s="3">
        <v>5809</v>
      </c>
      <c r="N1500" s="3">
        <v>11618</v>
      </c>
      <c r="O1500" s="3">
        <v>11618</v>
      </c>
      <c r="P1500" s="3" t="s">
        <v>24</v>
      </c>
      <c r="Q1500" s="3">
        <v>0</v>
      </c>
      <c r="R1500" s="3" t="str">
        <f t="shared" si="23"/>
        <v>Not Cancelled</v>
      </c>
      <c r="S1500" s="3" t="s">
        <v>25</v>
      </c>
    </row>
    <row r="1501" spans="1:19" x14ac:dyDescent="0.35">
      <c r="A1501" s="3">
        <v>2500</v>
      </c>
      <c r="B1501" s="3" t="s">
        <v>518</v>
      </c>
      <c r="C1501" s="4">
        <v>45415</v>
      </c>
      <c r="D1501" s="3" t="s">
        <v>64</v>
      </c>
      <c r="E1501" s="4">
        <v>45460</v>
      </c>
      <c r="F1501" s="4">
        <v>45463</v>
      </c>
      <c r="G1501" s="3" t="s">
        <v>20</v>
      </c>
      <c r="H1501" s="3" t="s">
        <v>60</v>
      </c>
      <c r="I1501" s="3" t="s">
        <v>39</v>
      </c>
      <c r="J1501" s="3" t="s">
        <v>30</v>
      </c>
      <c r="K1501" s="3">
        <v>45</v>
      </c>
      <c r="L1501" s="3">
        <v>3</v>
      </c>
      <c r="M1501" s="3">
        <v>8001</v>
      </c>
      <c r="N1501" s="3">
        <v>24003</v>
      </c>
      <c r="O1501" s="3">
        <v>0</v>
      </c>
      <c r="P1501" s="3" t="s">
        <v>24</v>
      </c>
      <c r="Q1501" s="3">
        <v>1</v>
      </c>
      <c r="R1501" s="3" t="str">
        <f t="shared" si="23"/>
        <v>Cancelled</v>
      </c>
      <c r="S1501" s="3" t="s">
        <v>25</v>
      </c>
    </row>
    <row r="1502" spans="1:19" x14ac:dyDescent="0.35">
      <c r="A1502" s="3">
        <v>2501</v>
      </c>
      <c r="B1502" s="3" t="s">
        <v>1026</v>
      </c>
      <c r="C1502" s="4">
        <v>45648</v>
      </c>
      <c r="D1502" s="3" t="s">
        <v>71</v>
      </c>
      <c r="E1502" s="4">
        <v>45665</v>
      </c>
      <c r="F1502" s="4">
        <v>45667</v>
      </c>
      <c r="G1502" s="3" t="s">
        <v>28</v>
      </c>
      <c r="H1502" s="3" t="s">
        <v>35</v>
      </c>
      <c r="I1502" s="3" t="s">
        <v>39</v>
      </c>
      <c r="J1502" s="3" t="s">
        <v>46</v>
      </c>
      <c r="K1502" s="3">
        <v>17</v>
      </c>
      <c r="L1502" s="3">
        <v>2</v>
      </c>
      <c r="M1502" s="3">
        <v>6238</v>
      </c>
      <c r="N1502" s="3">
        <v>12476</v>
      </c>
      <c r="O1502" s="3">
        <v>12476</v>
      </c>
      <c r="P1502" s="3" t="s">
        <v>24</v>
      </c>
      <c r="Q1502" s="3">
        <v>0</v>
      </c>
      <c r="R1502" s="3" t="str">
        <f t="shared" si="23"/>
        <v>Not Cancelled</v>
      </c>
      <c r="S1502" s="3" t="s">
        <v>31</v>
      </c>
    </row>
    <row r="1503" spans="1:19" x14ac:dyDescent="0.35">
      <c r="A1503" s="3">
        <v>2502</v>
      </c>
      <c r="B1503" s="3" t="s">
        <v>301</v>
      </c>
      <c r="C1503" s="4">
        <v>45326</v>
      </c>
      <c r="D1503" s="3" t="s">
        <v>211</v>
      </c>
      <c r="E1503" s="4">
        <v>45375</v>
      </c>
      <c r="F1503" s="4">
        <v>45380</v>
      </c>
      <c r="G1503" s="3" t="s">
        <v>45</v>
      </c>
      <c r="H1503" s="3" t="s">
        <v>29</v>
      </c>
      <c r="I1503" s="3" t="s">
        <v>22</v>
      </c>
      <c r="J1503" s="3" t="s">
        <v>30</v>
      </c>
      <c r="K1503" s="3">
        <v>49</v>
      </c>
      <c r="L1503" s="3">
        <v>5</v>
      </c>
      <c r="M1503" s="3">
        <v>3659</v>
      </c>
      <c r="N1503" s="3">
        <v>18295</v>
      </c>
      <c r="O1503" s="3">
        <v>0</v>
      </c>
      <c r="P1503" s="3" t="s">
        <v>51</v>
      </c>
      <c r="Q1503" s="3">
        <v>1</v>
      </c>
      <c r="R1503" s="3" t="str">
        <f t="shared" si="23"/>
        <v>Cancelled</v>
      </c>
      <c r="S1503" s="3" t="s">
        <v>25</v>
      </c>
    </row>
    <row r="1504" spans="1:19" x14ac:dyDescent="0.35">
      <c r="A1504" s="3">
        <v>2503</v>
      </c>
      <c r="B1504" s="3" t="s">
        <v>398</v>
      </c>
      <c r="C1504" s="4">
        <v>45378</v>
      </c>
      <c r="D1504" s="3" t="s">
        <v>105</v>
      </c>
      <c r="E1504" s="4">
        <v>45415</v>
      </c>
      <c r="F1504" s="4">
        <v>45420</v>
      </c>
      <c r="G1504" s="3" t="s">
        <v>45</v>
      </c>
      <c r="H1504" s="3" t="s">
        <v>60</v>
      </c>
      <c r="I1504" s="3" t="s">
        <v>39</v>
      </c>
      <c r="J1504" s="3" t="s">
        <v>30</v>
      </c>
      <c r="K1504" s="3">
        <v>37</v>
      </c>
      <c r="L1504" s="3">
        <v>5</v>
      </c>
      <c r="M1504" s="3">
        <v>4031</v>
      </c>
      <c r="N1504" s="3">
        <v>20155</v>
      </c>
      <c r="O1504" s="3">
        <v>20155</v>
      </c>
      <c r="P1504" s="3" t="s">
        <v>51</v>
      </c>
      <c r="Q1504" s="3">
        <v>0</v>
      </c>
      <c r="R1504" s="3" t="str">
        <f t="shared" si="23"/>
        <v>Not Cancelled</v>
      </c>
      <c r="S1504" s="3" t="s">
        <v>25</v>
      </c>
    </row>
    <row r="1505" spans="1:19" x14ac:dyDescent="0.35">
      <c r="A1505" s="3">
        <v>2504</v>
      </c>
      <c r="B1505" s="3" t="s">
        <v>249</v>
      </c>
      <c r="C1505" s="4">
        <v>45425</v>
      </c>
      <c r="D1505" s="3" t="s">
        <v>55</v>
      </c>
      <c r="E1505" s="4">
        <v>45431</v>
      </c>
      <c r="F1505" s="4">
        <v>45432</v>
      </c>
      <c r="G1505" s="3" t="s">
        <v>34</v>
      </c>
      <c r="H1505" s="3" t="s">
        <v>60</v>
      </c>
      <c r="I1505" s="3" t="s">
        <v>39</v>
      </c>
      <c r="J1505" s="3" t="s">
        <v>30</v>
      </c>
      <c r="K1505" s="3">
        <v>6</v>
      </c>
      <c r="L1505" s="3">
        <v>1</v>
      </c>
      <c r="M1505" s="3">
        <v>7981</v>
      </c>
      <c r="N1505" s="3">
        <v>7981</v>
      </c>
      <c r="O1505" s="3">
        <v>7981</v>
      </c>
      <c r="P1505" s="3" t="s">
        <v>51</v>
      </c>
      <c r="Q1505" s="3">
        <v>0</v>
      </c>
      <c r="R1505" s="3" t="str">
        <f t="shared" si="23"/>
        <v>Not Cancelled</v>
      </c>
      <c r="S1505" s="3" t="s">
        <v>31</v>
      </c>
    </row>
    <row r="1506" spans="1:19" x14ac:dyDescent="0.35">
      <c r="A1506" s="3">
        <v>2505</v>
      </c>
      <c r="B1506" s="3" t="s">
        <v>708</v>
      </c>
      <c r="C1506" s="4">
        <v>45487</v>
      </c>
      <c r="D1506" s="3" t="s">
        <v>109</v>
      </c>
      <c r="E1506" s="4">
        <v>45506</v>
      </c>
      <c r="F1506" s="4">
        <v>45507</v>
      </c>
      <c r="G1506" s="3" t="s">
        <v>34</v>
      </c>
      <c r="H1506" s="3" t="s">
        <v>21</v>
      </c>
      <c r="I1506" s="3" t="s">
        <v>22</v>
      </c>
      <c r="J1506" s="3" t="s">
        <v>46</v>
      </c>
      <c r="K1506" s="3">
        <v>19</v>
      </c>
      <c r="L1506" s="3">
        <v>1</v>
      </c>
      <c r="M1506" s="3">
        <v>7476</v>
      </c>
      <c r="N1506" s="3">
        <v>7476</v>
      </c>
      <c r="O1506" s="3">
        <v>7476</v>
      </c>
      <c r="P1506" s="3" t="s">
        <v>24</v>
      </c>
      <c r="Q1506" s="3">
        <v>0</v>
      </c>
      <c r="R1506" s="3" t="str">
        <f t="shared" si="23"/>
        <v>Not Cancelled</v>
      </c>
      <c r="S1506" s="3" t="s">
        <v>25</v>
      </c>
    </row>
    <row r="1507" spans="1:19" x14ac:dyDescent="0.35">
      <c r="A1507" s="3">
        <v>2506</v>
      </c>
      <c r="B1507" s="3" t="s">
        <v>867</v>
      </c>
      <c r="C1507" s="4">
        <v>45565</v>
      </c>
      <c r="D1507" s="3" t="s">
        <v>44</v>
      </c>
      <c r="E1507" s="4">
        <v>45578</v>
      </c>
      <c r="F1507" s="4">
        <v>45581</v>
      </c>
      <c r="G1507" s="3" t="s">
        <v>20</v>
      </c>
      <c r="H1507" s="3" t="s">
        <v>38</v>
      </c>
      <c r="I1507" s="3" t="s">
        <v>39</v>
      </c>
      <c r="J1507" s="3" t="s">
        <v>46</v>
      </c>
      <c r="K1507" s="3">
        <v>13</v>
      </c>
      <c r="L1507" s="3">
        <v>3</v>
      </c>
      <c r="M1507" s="3">
        <v>8195</v>
      </c>
      <c r="N1507" s="3">
        <v>24585</v>
      </c>
      <c r="O1507" s="3">
        <v>24585</v>
      </c>
      <c r="P1507" s="3" t="s">
        <v>24</v>
      </c>
      <c r="Q1507" s="3">
        <v>0</v>
      </c>
      <c r="R1507" s="3" t="str">
        <f t="shared" si="23"/>
        <v>Not Cancelled</v>
      </c>
      <c r="S1507" s="3" t="s">
        <v>31</v>
      </c>
    </row>
    <row r="1508" spans="1:19" x14ac:dyDescent="0.35">
      <c r="A1508" s="3">
        <v>2507</v>
      </c>
      <c r="B1508" s="3" t="s">
        <v>1027</v>
      </c>
      <c r="C1508" s="4">
        <v>45492</v>
      </c>
      <c r="D1508" s="3" t="s">
        <v>100</v>
      </c>
      <c r="E1508" s="4">
        <v>45549</v>
      </c>
      <c r="F1508" s="4">
        <v>45551</v>
      </c>
      <c r="G1508" s="3" t="s">
        <v>28</v>
      </c>
      <c r="H1508" s="3" t="s">
        <v>21</v>
      </c>
      <c r="I1508" s="3" t="s">
        <v>39</v>
      </c>
      <c r="J1508" s="3" t="s">
        <v>30</v>
      </c>
      <c r="K1508" s="3">
        <v>57</v>
      </c>
      <c r="L1508" s="3">
        <v>2</v>
      </c>
      <c r="M1508" s="3">
        <v>5182</v>
      </c>
      <c r="N1508" s="3">
        <v>10364</v>
      </c>
      <c r="O1508" s="3">
        <v>0</v>
      </c>
      <c r="P1508" s="3" t="s">
        <v>51</v>
      </c>
      <c r="Q1508" s="3">
        <v>1</v>
      </c>
      <c r="R1508" s="3" t="str">
        <f t="shared" si="23"/>
        <v>Cancelled</v>
      </c>
      <c r="S1508" s="3" t="s">
        <v>25</v>
      </c>
    </row>
    <row r="1509" spans="1:19" x14ac:dyDescent="0.35">
      <c r="A1509" s="3">
        <v>2508</v>
      </c>
      <c r="B1509" s="3" t="s">
        <v>1028</v>
      </c>
      <c r="C1509" s="4">
        <v>45576</v>
      </c>
      <c r="D1509" s="3" t="s">
        <v>98</v>
      </c>
      <c r="E1509" s="4">
        <v>45602</v>
      </c>
      <c r="F1509" s="4">
        <v>45606</v>
      </c>
      <c r="G1509" s="3" t="s">
        <v>42</v>
      </c>
      <c r="H1509" s="3" t="s">
        <v>60</v>
      </c>
      <c r="I1509" s="3" t="s">
        <v>39</v>
      </c>
      <c r="J1509" s="3" t="s">
        <v>46</v>
      </c>
      <c r="K1509" s="3">
        <v>26</v>
      </c>
      <c r="L1509" s="3">
        <v>4</v>
      </c>
      <c r="M1509" s="3">
        <v>2753</v>
      </c>
      <c r="N1509" s="3">
        <v>11012</v>
      </c>
      <c r="O1509" s="3">
        <v>0</v>
      </c>
      <c r="P1509" s="3" t="s">
        <v>51</v>
      </c>
      <c r="Q1509" s="3">
        <v>1</v>
      </c>
      <c r="R1509" s="3" t="str">
        <f t="shared" si="23"/>
        <v>Cancelled</v>
      </c>
      <c r="S1509" s="3" t="s">
        <v>31</v>
      </c>
    </row>
    <row r="1510" spans="1:19" x14ac:dyDescent="0.35">
      <c r="A1510" s="3">
        <v>2509</v>
      </c>
      <c r="B1510" s="3" t="s">
        <v>1029</v>
      </c>
      <c r="C1510" s="4">
        <v>45368</v>
      </c>
      <c r="D1510" s="3" t="s">
        <v>33</v>
      </c>
      <c r="E1510" s="4">
        <v>45382</v>
      </c>
      <c r="F1510" s="4">
        <v>45383</v>
      </c>
      <c r="G1510" s="3" t="s">
        <v>34</v>
      </c>
      <c r="H1510" s="3" t="s">
        <v>60</v>
      </c>
      <c r="I1510" s="3" t="s">
        <v>39</v>
      </c>
      <c r="J1510" s="3" t="s">
        <v>23</v>
      </c>
      <c r="K1510" s="3">
        <v>14</v>
      </c>
      <c r="L1510" s="3">
        <v>1</v>
      </c>
      <c r="M1510" s="3">
        <v>6048</v>
      </c>
      <c r="N1510" s="3">
        <v>6048</v>
      </c>
      <c r="O1510" s="3">
        <v>0</v>
      </c>
      <c r="P1510" s="3" t="s">
        <v>24</v>
      </c>
      <c r="Q1510" s="3">
        <v>1</v>
      </c>
      <c r="R1510" s="3" t="str">
        <f t="shared" si="23"/>
        <v>Cancelled</v>
      </c>
      <c r="S1510" s="3" t="s">
        <v>25</v>
      </c>
    </row>
    <row r="1511" spans="1:19" x14ac:dyDescent="0.35">
      <c r="A1511" s="3">
        <v>2510</v>
      </c>
      <c r="B1511" s="3" t="s">
        <v>673</v>
      </c>
      <c r="C1511" s="4">
        <v>45350</v>
      </c>
      <c r="D1511" s="3" t="s">
        <v>48</v>
      </c>
      <c r="E1511" s="4">
        <v>45381</v>
      </c>
      <c r="F1511" s="4">
        <v>45385</v>
      </c>
      <c r="G1511" s="3" t="s">
        <v>42</v>
      </c>
      <c r="H1511" s="3" t="s">
        <v>38</v>
      </c>
      <c r="I1511" s="3" t="s">
        <v>39</v>
      </c>
      <c r="J1511" s="3" t="s">
        <v>30</v>
      </c>
      <c r="K1511" s="3">
        <v>31</v>
      </c>
      <c r="L1511" s="3">
        <v>4</v>
      </c>
      <c r="M1511" s="3">
        <v>5685</v>
      </c>
      <c r="N1511" s="3">
        <v>22740</v>
      </c>
      <c r="O1511" s="3">
        <v>0</v>
      </c>
      <c r="P1511" s="3" t="s">
        <v>24</v>
      </c>
      <c r="Q1511" s="3">
        <v>1</v>
      </c>
      <c r="R1511" s="3" t="str">
        <f t="shared" si="23"/>
        <v>Cancelled</v>
      </c>
      <c r="S1511" s="3" t="s">
        <v>31</v>
      </c>
    </row>
    <row r="1512" spans="1:19" x14ac:dyDescent="0.35">
      <c r="A1512" s="3">
        <v>2511</v>
      </c>
      <c r="B1512" s="3" t="s">
        <v>366</v>
      </c>
      <c r="C1512" s="4">
        <v>45417</v>
      </c>
      <c r="D1512" s="3" t="s">
        <v>117</v>
      </c>
      <c r="E1512" s="4">
        <v>45471</v>
      </c>
      <c r="F1512" s="4">
        <v>45475</v>
      </c>
      <c r="G1512" s="3" t="s">
        <v>42</v>
      </c>
      <c r="H1512" s="3" t="s">
        <v>35</v>
      </c>
      <c r="I1512" s="3" t="s">
        <v>22</v>
      </c>
      <c r="J1512" s="3" t="s">
        <v>46</v>
      </c>
      <c r="K1512" s="3">
        <v>54</v>
      </c>
      <c r="L1512" s="3">
        <v>4</v>
      </c>
      <c r="M1512" s="3">
        <v>8663</v>
      </c>
      <c r="N1512" s="3">
        <v>34652</v>
      </c>
      <c r="O1512" s="3">
        <v>0</v>
      </c>
      <c r="P1512" s="3" t="s">
        <v>24</v>
      </c>
      <c r="Q1512" s="3">
        <v>1</v>
      </c>
      <c r="R1512" s="3" t="str">
        <f t="shared" si="23"/>
        <v>Cancelled</v>
      </c>
      <c r="S1512" s="3" t="s">
        <v>31</v>
      </c>
    </row>
    <row r="1513" spans="1:19" x14ac:dyDescent="0.35">
      <c r="A1513" s="3">
        <v>2512</v>
      </c>
      <c r="B1513" s="3" t="s">
        <v>690</v>
      </c>
      <c r="C1513" s="4">
        <v>45400</v>
      </c>
      <c r="D1513" s="3" t="s">
        <v>42</v>
      </c>
      <c r="E1513" s="4">
        <v>45404</v>
      </c>
      <c r="F1513" s="4">
        <v>45406</v>
      </c>
      <c r="G1513" s="3" t="s">
        <v>28</v>
      </c>
      <c r="H1513" s="3" t="s">
        <v>38</v>
      </c>
      <c r="I1513" s="3" t="s">
        <v>39</v>
      </c>
      <c r="J1513" s="3" t="s">
        <v>30</v>
      </c>
      <c r="K1513" s="3">
        <v>4</v>
      </c>
      <c r="L1513" s="3">
        <v>2</v>
      </c>
      <c r="M1513" s="3">
        <v>7764</v>
      </c>
      <c r="N1513" s="3">
        <v>15528</v>
      </c>
      <c r="O1513" s="3">
        <v>15528</v>
      </c>
      <c r="P1513" s="3" t="s">
        <v>51</v>
      </c>
      <c r="Q1513" s="3">
        <v>0</v>
      </c>
      <c r="R1513" s="3" t="str">
        <f t="shared" si="23"/>
        <v>Not Cancelled</v>
      </c>
      <c r="S1513" s="3" t="s">
        <v>25</v>
      </c>
    </row>
    <row r="1514" spans="1:19" x14ac:dyDescent="0.35">
      <c r="A1514" s="3">
        <v>2513</v>
      </c>
      <c r="B1514" s="3" t="s">
        <v>437</v>
      </c>
      <c r="C1514" s="4">
        <v>45515</v>
      </c>
      <c r="D1514" s="3" t="s">
        <v>153</v>
      </c>
      <c r="E1514" s="4">
        <v>45554</v>
      </c>
      <c r="F1514" s="4">
        <v>45557</v>
      </c>
      <c r="G1514" s="3" t="s">
        <v>20</v>
      </c>
      <c r="H1514" s="3" t="s">
        <v>21</v>
      </c>
      <c r="I1514" s="3" t="s">
        <v>22</v>
      </c>
      <c r="J1514" s="3" t="s">
        <v>30</v>
      </c>
      <c r="K1514" s="3">
        <v>39</v>
      </c>
      <c r="L1514" s="3">
        <v>3</v>
      </c>
      <c r="M1514" s="3">
        <v>3731</v>
      </c>
      <c r="N1514" s="3">
        <v>11193</v>
      </c>
      <c r="O1514" s="3">
        <v>11193</v>
      </c>
      <c r="P1514" s="3" t="s">
        <v>24</v>
      </c>
      <c r="Q1514" s="3">
        <v>0</v>
      </c>
      <c r="R1514" s="3" t="str">
        <f t="shared" si="23"/>
        <v>Not Cancelled</v>
      </c>
      <c r="S1514" s="3" t="s">
        <v>25</v>
      </c>
    </row>
    <row r="1515" spans="1:19" x14ac:dyDescent="0.35">
      <c r="A1515" s="3">
        <v>2514</v>
      </c>
      <c r="B1515" s="3" t="s">
        <v>1030</v>
      </c>
      <c r="C1515" s="4">
        <v>45569</v>
      </c>
      <c r="D1515" s="3" t="s">
        <v>59</v>
      </c>
      <c r="E1515" s="4">
        <v>45577</v>
      </c>
      <c r="F1515" s="4">
        <v>45579</v>
      </c>
      <c r="G1515" s="3" t="s">
        <v>28</v>
      </c>
      <c r="H1515" s="3" t="s">
        <v>35</v>
      </c>
      <c r="I1515" s="3" t="s">
        <v>22</v>
      </c>
      <c r="J1515" s="3" t="s">
        <v>46</v>
      </c>
      <c r="K1515" s="3">
        <v>8</v>
      </c>
      <c r="L1515" s="3">
        <v>2</v>
      </c>
      <c r="M1515" s="3">
        <v>4923</v>
      </c>
      <c r="N1515" s="3">
        <v>9846</v>
      </c>
      <c r="O1515" s="3">
        <v>0</v>
      </c>
      <c r="P1515" s="3" t="s">
        <v>24</v>
      </c>
      <c r="Q1515" s="3">
        <v>1</v>
      </c>
      <c r="R1515" s="3" t="str">
        <f t="shared" si="23"/>
        <v>Cancelled</v>
      </c>
      <c r="S1515" s="3" t="s">
        <v>25</v>
      </c>
    </row>
    <row r="1516" spans="1:19" x14ac:dyDescent="0.35">
      <c r="A1516" s="3">
        <v>2515</v>
      </c>
      <c r="B1516" s="3" t="s">
        <v>512</v>
      </c>
      <c r="C1516" s="4">
        <v>45359</v>
      </c>
      <c r="D1516" s="3" t="s">
        <v>107</v>
      </c>
      <c r="E1516" s="4">
        <v>45384</v>
      </c>
      <c r="F1516" s="4">
        <v>45385</v>
      </c>
      <c r="G1516" s="3" t="s">
        <v>34</v>
      </c>
      <c r="H1516" s="3" t="s">
        <v>21</v>
      </c>
      <c r="I1516" s="3" t="s">
        <v>39</v>
      </c>
      <c r="J1516" s="3" t="s">
        <v>23</v>
      </c>
      <c r="K1516" s="3">
        <v>25</v>
      </c>
      <c r="L1516" s="3">
        <v>1</v>
      </c>
      <c r="M1516" s="3">
        <v>6075</v>
      </c>
      <c r="N1516" s="3">
        <v>6075</v>
      </c>
      <c r="O1516" s="3">
        <v>0</v>
      </c>
      <c r="P1516" s="3" t="s">
        <v>24</v>
      </c>
      <c r="Q1516" s="3">
        <v>1</v>
      </c>
      <c r="R1516" s="3" t="str">
        <f t="shared" si="23"/>
        <v>Cancelled</v>
      </c>
      <c r="S1516" s="3" t="s">
        <v>31</v>
      </c>
    </row>
    <row r="1517" spans="1:19" x14ac:dyDescent="0.35">
      <c r="A1517" s="3">
        <v>2516</v>
      </c>
      <c r="B1517" s="3" t="s">
        <v>715</v>
      </c>
      <c r="C1517" s="4">
        <v>45360</v>
      </c>
      <c r="D1517" s="3" t="s">
        <v>44</v>
      </c>
      <c r="E1517" s="4">
        <v>45373</v>
      </c>
      <c r="F1517" s="4">
        <v>45377</v>
      </c>
      <c r="G1517" s="3" t="s">
        <v>42</v>
      </c>
      <c r="H1517" s="3" t="s">
        <v>38</v>
      </c>
      <c r="I1517" s="3" t="s">
        <v>22</v>
      </c>
      <c r="J1517" s="3" t="s">
        <v>30</v>
      </c>
      <c r="K1517" s="3">
        <v>13</v>
      </c>
      <c r="L1517" s="3">
        <v>4</v>
      </c>
      <c r="M1517" s="3">
        <v>6761</v>
      </c>
      <c r="N1517" s="3">
        <v>27044</v>
      </c>
      <c r="O1517" s="3">
        <v>27044</v>
      </c>
      <c r="P1517" s="3" t="s">
        <v>24</v>
      </c>
      <c r="Q1517" s="3">
        <v>0</v>
      </c>
      <c r="R1517" s="3" t="str">
        <f t="shared" si="23"/>
        <v>Not Cancelled</v>
      </c>
      <c r="S1517" s="3" t="s">
        <v>31</v>
      </c>
    </row>
    <row r="1518" spans="1:19" x14ac:dyDescent="0.35">
      <c r="A1518" s="3">
        <v>2517</v>
      </c>
      <c r="B1518" s="3" t="s">
        <v>1031</v>
      </c>
      <c r="C1518" s="4">
        <v>45456</v>
      </c>
      <c r="D1518" s="3" t="s">
        <v>144</v>
      </c>
      <c r="E1518" s="4">
        <v>45488</v>
      </c>
      <c r="F1518" s="4">
        <v>45490</v>
      </c>
      <c r="G1518" s="3" t="s">
        <v>28</v>
      </c>
      <c r="H1518" s="3" t="s">
        <v>35</v>
      </c>
      <c r="I1518" s="3" t="s">
        <v>39</v>
      </c>
      <c r="J1518" s="3" t="s">
        <v>23</v>
      </c>
      <c r="K1518" s="3">
        <v>32</v>
      </c>
      <c r="L1518" s="3">
        <v>2</v>
      </c>
      <c r="M1518" s="3">
        <v>4073</v>
      </c>
      <c r="N1518" s="3">
        <v>8146</v>
      </c>
      <c r="O1518" s="3">
        <v>8146</v>
      </c>
      <c r="P1518" s="3" t="s">
        <v>51</v>
      </c>
      <c r="Q1518" s="3">
        <v>0</v>
      </c>
      <c r="R1518" s="3" t="str">
        <f t="shared" si="23"/>
        <v>Not Cancelled</v>
      </c>
      <c r="S1518" s="3" t="s">
        <v>31</v>
      </c>
    </row>
    <row r="1519" spans="1:19" x14ac:dyDescent="0.35">
      <c r="A1519" s="3">
        <v>2518</v>
      </c>
      <c r="B1519" s="3" t="s">
        <v>588</v>
      </c>
      <c r="C1519" s="4">
        <v>45596</v>
      </c>
      <c r="D1519" s="3" t="s">
        <v>96</v>
      </c>
      <c r="E1519" s="4">
        <v>45655</v>
      </c>
      <c r="F1519" s="4">
        <v>45657</v>
      </c>
      <c r="G1519" s="3" t="s">
        <v>28</v>
      </c>
      <c r="H1519" s="3" t="s">
        <v>38</v>
      </c>
      <c r="I1519" s="3" t="s">
        <v>22</v>
      </c>
      <c r="J1519" s="3" t="s">
        <v>46</v>
      </c>
      <c r="K1519" s="3">
        <v>59</v>
      </c>
      <c r="L1519" s="3">
        <v>2</v>
      </c>
      <c r="M1519" s="3">
        <v>5408</v>
      </c>
      <c r="N1519" s="3">
        <v>10816</v>
      </c>
      <c r="O1519" s="3">
        <v>0</v>
      </c>
      <c r="P1519" s="3" t="s">
        <v>24</v>
      </c>
      <c r="Q1519" s="3">
        <v>1</v>
      </c>
      <c r="R1519" s="3" t="str">
        <f t="shared" si="23"/>
        <v>Cancelled</v>
      </c>
      <c r="S1519" s="3" t="s">
        <v>25</v>
      </c>
    </row>
    <row r="1520" spans="1:19" x14ac:dyDescent="0.35">
      <c r="A1520" s="3">
        <v>2519</v>
      </c>
      <c r="B1520" s="3" t="s">
        <v>1032</v>
      </c>
      <c r="C1520" s="4">
        <v>45453</v>
      </c>
      <c r="D1520" s="3" t="s">
        <v>115</v>
      </c>
      <c r="E1520" s="4">
        <v>45491</v>
      </c>
      <c r="F1520" s="4">
        <v>45493</v>
      </c>
      <c r="G1520" s="3" t="s">
        <v>28</v>
      </c>
      <c r="H1520" s="3" t="s">
        <v>29</v>
      </c>
      <c r="I1520" s="3" t="s">
        <v>22</v>
      </c>
      <c r="J1520" s="3" t="s">
        <v>30</v>
      </c>
      <c r="K1520" s="3">
        <v>38</v>
      </c>
      <c r="L1520" s="3">
        <v>2</v>
      </c>
      <c r="M1520" s="3">
        <v>7212</v>
      </c>
      <c r="N1520" s="3">
        <v>14424</v>
      </c>
      <c r="O1520" s="3">
        <v>14424</v>
      </c>
      <c r="P1520" s="3" t="s">
        <v>51</v>
      </c>
      <c r="Q1520" s="3">
        <v>0</v>
      </c>
      <c r="R1520" s="3" t="str">
        <f t="shared" si="23"/>
        <v>Not Cancelled</v>
      </c>
      <c r="S1520" s="3" t="s">
        <v>25</v>
      </c>
    </row>
    <row r="1521" spans="1:19" x14ac:dyDescent="0.35">
      <c r="A1521" s="3">
        <v>2520</v>
      </c>
      <c r="B1521" s="3" t="s">
        <v>156</v>
      </c>
      <c r="C1521" s="4">
        <v>45656</v>
      </c>
      <c r="D1521" s="3" t="s">
        <v>115</v>
      </c>
      <c r="E1521" s="4">
        <v>45694</v>
      </c>
      <c r="F1521" s="4">
        <v>45695</v>
      </c>
      <c r="G1521" s="3" t="s">
        <v>34</v>
      </c>
      <c r="H1521" s="3" t="s">
        <v>60</v>
      </c>
      <c r="I1521" s="3" t="s">
        <v>22</v>
      </c>
      <c r="J1521" s="3" t="s">
        <v>46</v>
      </c>
      <c r="K1521" s="3">
        <v>38</v>
      </c>
      <c r="L1521" s="3">
        <v>1</v>
      </c>
      <c r="M1521" s="3">
        <v>4125</v>
      </c>
      <c r="N1521" s="3">
        <v>4125</v>
      </c>
      <c r="O1521" s="3">
        <v>4125</v>
      </c>
      <c r="P1521" s="3" t="s">
        <v>51</v>
      </c>
      <c r="Q1521" s="3">
        <v>0</v>
      </c>
      <c r="R1521" s="3" t="str">
        <f t="shared" si="23"/>
        <v>Not Cancelled</v>
      </c>
      <c r="S1521" s="3" t="s">
        <v>31</v>
      </c>
    </row>
    <row r="1522" spans="1:19" x14ac:dyDescent="0.35">
      <c r="A1522" s="3">
        <v>2521</v>
      </c>
      <c r="B1522" s="3" t="s">
        <v>807</v>
      </c>
      <c r="C1522" s="4">
        <v>45633</v>
      </c>
      <c r="D1522" s="3" t="s">
        <v>94</v>
      </c>
      <c r="E1522" s="4">
        <v>45689</v>
      </c>
      <c r="F1522" s="4">
        <v>45692</v>
      </c>
      <c r="G1522" s="3" t="s">
        <v>20</v>
      </c>
      <c r="H1522" s="3" t="s">
        <v>35</v>
      </c>
      <c r="I1522" s="3" t="s">
        <v>39</v>
      </c>
      <c r="J1522" s="3" t="s">
        <v>46</v>
      </c>
      <c r="K1522" s="3">
        <v>56</v>
      </c>
      <c r="L1522" s="3">
        <v>3</v>
      </c>
      <c r="M1522" s="3">
        <v>6498</v>
      </c>
      <c r="N1522" s="3">
        <v>19494</v>
      </c>
      <c r="O1522" s="3">
        <v>0</v>
      </c>
      <c r="P1522" s="3" t="s">
        <v>24</v>
      </c>
      <c r="Q1522" s="3">
        <v>1</v>
      </c>
      <c r="R1522" s="3" t="str">
        <f t="shared" si="23"/>
        <v>Cancelled</v>
      </c>
      <c r="S1522" s="3" t="s">
        <v>25</v>
      </c>
    </row>
    <row r="1523" spans="1:19" x14ac:dyDescent="0.35">
      <c r="A1523" s="3">
        <v>2522</v>
      </c>
      <c r="B1523" s="3" t="s">
        <v>1033</v>
      </c>
      <c r="C1523" s="4">
        <v>45600</v>
      </c>
      <c r="D1523" s="3" t="s">
        <v>82</v>
      </c>
      <c r="E1523" s="4">
        <v>45628</v>
      </c>
      <c r="F1523" s="4">
        <v>45630</v>
      </c>
      <c r="G1523" s="3" t="s">
        <v>28</v>
      </c>
      <c r="H1523" s="3" t="s">
        <v>60</v>
      </c>
      <c r="I1523" s="3" t="s">
        <v>22</v>
      </c>
      <c r="J1523" s="3" t="s">
        <v>46</v>
      </c>
      <c r="K1523" s="3">
        <v>28</v>
      </c>
      <c r="L1523" s="3">
        <v>2</v>
      </c>
      <c r="M1523" s="3">
        <v>6383</v>
      </c>
      <c r="N1523" s="3">
        <v>12766</v>
      </c>
      <c r="O1523" s="3">
        <v>12766</v>
      </c>
      <c r="P1523" s="3" t="s">
        <v>24</v>
      </c>
      <c r="Q1523" s="3">
        <v>0</v>
      </c>
      <c r="R1523" s="3" t="str">
        <f t="shared" si="23"/>
        <v>Not Cancelled</v>
      </c>
      <c r="S1523" s="3" t="s">
        <v>31</v>
      </c>
    </row>
    <row r="1524" spans="1:19" x14ac:dyDescent="0.35">
      <c r="A1524" s="3">
        <v>2523</v>
      </c>
      <c r="B1524" s="3" t="s">
        <v>563</v>
      </c>
      <c r="C1524" s="4">
        <v>45634</v>
      </c>
      <c r="D1524" s="3" t="s">
        <v>133</v>
      </c>
      <c r="E1524" s="4">
        <v>45687</v>
      </c>
      <c r="F1524" s="4">
        <v>45688</v>
      </c>
      <c r="G1524" s="3" t="s">
        <v>34</v>
      </c>
      <c r="H1524" s="3" t="s">
        <v>29</v>
      </c>
      <c r="I1524" s="3" t="s">
        <v>22</v>
      </c>
      <c r="J1524" s="3" t="s">
        <v>46</v>
      </c>
      <c r="K1524" s="3">
        <v>53</v>
      </c>
      <c r="L1524" s="3">
        <v>1</v>
      </c>
      <c r="M1524" s="3">
        <v>6015</v>
      </c>
      <c r="N1524" s="3">
        <v>6015</v>
      </c>
      <c r="O1524" s="3">
        <v>0</v>
      </c>
      <c r="P1524" s="3" t="s">
        <v>51</v>
      </c>
      <c r="Q1524" s="3">
        <v>1</v>
      </c>
      <c r="R1524" s="3" t="str">
        <f t="shared" si="23"/>
        <v>Cancelled</v>
      </c>
      <c r="S1524" s="3" t="s">
        <v>25</v>
      </c>
    </row>
    <row r="1525" spans="1:19" x14ac:dyDescent="0.35">
      <c r="A1525" s="3">
        <v>2524</v>
      </c>
      <c r="B1525" s="3" t="s">
        <v>882</v>
      </c>
      <c r="C1525" s="4">
        <v>45333</v>
      </c>
      <c r="D1525" s="3" t="s">
        <v>50</v>
      </c>
      <c r="E1525" s="4">
        <v>45363</v>
      </c>
      <c r="F1525" s="4">
        <v>45367</v>
      </c>
      <c r="G1525" s="3" t="s">
        <v>42</v>
      </c>
      <c r="H1525" s="3" t="s">
        <v>35</v>
      </c>
      <c r="I1525" s="3" t="s">
        <v>22</v>
      </c>
      <c r="J1525" s="3" t="s">
        <v>30</v>
      </c>
      <c r="K1525" s="3">
        <v>30</v>
      </c>
      <c r="L1525" s="3">
        <v>4</v>
      </c>
      <c r="M1525" s="3">
        <v>5903</v>
      </c>
      <c r="N1525" s="3">
        <v>23612</v>
      </c>
      <c r="O1525" s="3">
        <v>23612</v>
      </c>
      <c r="P1525" s="3" t="s">
        <v>24</v>
      </c>
      <c r="Q1525" s="3">
        <v>0</v>
      </c>
      <c r="R1525" s="3" t="str">
        <f t="shared" si="23"/>
        <v>Not Cancelled</v>
      </c>
      <c r="S1525" s="3" t="s">
        <v>25</v>
      </c>
    </row>
    <row r="1526" spans="1:19" x14ac:dyDescent="0.35">
      <c r="A1526" s="3">
        <v>2525</v>
      </c>
      <c r="B1526" s="3" t="s">
        <v>1034</v>
      </c>
      <c r="C1526" s="4">
        <v>45645</v>
      </c>
      <c r="D1526" s="3" t="s">
        <v>20</v>
      </c>
      <c r="E1526" s="4">
        <v>45648</v>
      </c>
      <c r="F1526" s="4">
        <v>45653</v>
      </c>
      <c r="G1526" s="3" t="s">
        <v>45</v>
      </c>
      <c r="H1526" s="3" t="s">
        <v>60</v>
      </c>
      <c r="I1526" s="3" t="s">
        <v>39</v>
      </c>
      <c r="J1526" s="3" t="s">
        <v>23</v>
      </c>
      <c r="K1526" s="3">
        <v>3</v>
      </c>
      <c r="L1526" s="3">
        <v>5</v>
      </c>
      <c r="M1526" s="3">
        <v>7098</v>
      </c>
      <c r="N1526" s="3">
        <v>35490</v>
      </c>
      <c r="O1526" s="3">
        <v>35490</v>
      </c>
      <c r="P1526" s="3" t="s">
        <v>51</v>
      </c>
      <c r="Q1526" s="3">
        <v>0</v>
      </c>
      <c r="R1526" s="3" t="str">
        <f t="shared" si="23"/>
        <v>Not Cancelled</v>
      </c>
      <c r="S1526" s="3" t="s">
        <v>31</v>
      </c>
    </row>
    <row r="1527" spans="1:19" x14ac:dyDescent="0.35">
      <c r="A1527" s="3">
        <v>2526</v>
      </c>
      <c r="B1527" s="3" t="s">
        <v>1032</v>
      </c>
      <c r="C1527" s="4">
        <v>45400</v>
      </c>
      <c r="D1527" s="3" t="s">
        <v>82</v>
      </c>
      <c r="E1527" s="4">
        <v>45428</v>
      </c>
      <c r="F1527" s="4">
        <v>45429</v>
      </c>
      <c r="G1527" s="3" t="s">
        <v>34</v>
      </c>
      <c r="H1527" s="3" t="s">
        <v>60</v>
      </c>
      <c r="I1527" s="3" t="s">
        <v>39</v>
      </c>
      <c r="J1527" s="3" t="s">
        <v>23</v>
      </c>
      <c r="K1527" s="3">
        <v>28</v>
      </c>
      <c r="L1527" s="3">
        <v>1</v>
      </c>
      <c r="M1527" s="3">
        <v>7508</v>
      </c>
      <c r="N1527" s="3">
        <v>7508</v>
      </c>
      <c r="O1527" s="3">
        <v>0</v>
      </c>
      <c r="P1527" s="3" t="s">
        <v>24</v>
      </c>
      <c r="Q1527" s="3">
        <v>1</v>
      </c>
      <c r="R1527" s="3" t="str">
        <f t="shared" si="23"/>
        <v>Cancelled</v>
      </c>
      <c r="S1527" s="3" t="s">
        <v>25</v>
      </c>
    </row>
    <row r="1528" spans="1:19" x14ac:dyDescent="0.35">
      <c r="A1528" s="3">
        <v>2527</v>
      </c>
      <c r="B1528" s="3" t="s">
        <v>1035</v>
      </c>
      <c r="C1528" s="4">
        <v>45342</v>
      </c>
      <c r="D1528" s="3" t="s">
        <v>20</v>
      </c>
      <c r="E1528" s="4">
        <v>45345</v>
      </c>
      <c r="F1528" s="4">
        <v>45350</v>
      </c>
      <c r="G1528" s="3" t="s">
        <v>45</v>
      </c>
      <c r="H1528" s="3" t="s">
        <v>35</v>
      </c>
      <c r="I1528" s="3" t="s">
        <v>22</v>
      </c>
      <c r="J1528" s="3" t="s">
        <v>30</v>
      </c>
      <c r="K1528" s="3">
        <v>3</v>
      </c>
      <c r="L1528" s="3">
        <v>5</v>
      </c>
      <c r="M1528" s="3">
        <v>8722</v>
      </c>
      <c r="N1528" s="3">
        <v>43610</v>
      </c>
      <c r="O1528" s="3">
        <v>43610</v>
      </c>
      <c r="P1528" s="3" t="s">
        <v>51</v>
      </c>
      <c r="Q1528" s="3">
        <v>0</v>
      </c>
      <c r="R1528" s="3" t="str">
        <f t="shared" si="23"/>
        <v>Not Cancelled</v>
      </c>
      <c r="S1528" s="3" t="s">
        <v>25</v>
      </c>
    </row>
    <row r="1529" spans="1:19" x14ac:dyDescent="0.35">
      <c r="A1529" s="3">
        <v>2528</v>
      </c>
      <c r="B1529" s="3" t="s">
        <v>180</v>
      </c>
      <c r="C1529" s="4">
        <v>45541</v>
      </c>
      <c r="D1529" s="3" t="s">
        <v>64</v>
      </c>
      <c r="E1529" s="4">
        <v>45586</v>
      </c>
      <c r="F1529" s="4">
        <v>45588</v>
      </c>
      <c r="G1529" s="3" t="s">
        <v>28</v>
      </c>
      <c r="H1529" s="3" t="s">
        <v>60</v>
      </c>
      <c r="I1529" s="3" t="s">
        <v>22</v>
      </c>
      <c r="J1529" s="3" t="s">
        <v>30</v>
      </c>
      <c r="K1529" s="3">
        <v>45</v>
      </c>
      <c r="L1529" s="3">
        <v>2</v>
      </c>
      <c r="M1529" s="3">
        <v>7180</v>
      </c>
      <c r="N1529" s="3">
        <v>14360</v>
      </c>
      <c r="O1529" s="3">
        <v>0</v>
      </c>
      <c r="P1529" s="3" t="s">
        <v>51</v>
      </c>
      <c r="Q1529" s="3">
        <v>1</v>
      </c>
      <c r="R1529" s="3" t="str">
        <f t="shared" si="23"/>
        <v>Cancelled</v>
      </c>
      <c r="S1529" s="3" t="s">
        <v>25</v>
      </c>
    </row>
    <row r="1530" spans="1:19" x14ac:dyDescent="0.35">
      <c r="A1530" s="3">
        <v>2529</v>
      </c>
      <c r="B1530" s="3" t="s">
        <v>1036</v>
      </c>
      <c r="C1530" s="4">
        <v>45632</v>
      </c>
      <c r="D1530" s="3" t="s">
        <v>117</v>
      </c>
      <c r="E1530" s="4">
        <v>45686</v>
      </c>
      <c r="F1530" s="4">
        <v>45688</v>
      </c>
      <c r="G1530" s="3" t="s">
        <v>28</v>
      </c>
      <c r="H1530" s="3" t="s">
        <v>60</v>
      </c>
      <c r="I1530" s="3" t="s">
        <v>22</v>
      </c>
      <c r="J1530" s="3" t="s">
        <v>23</v>
      </c>
      <c r="K1530" s="3">
        <v>54</v>
      </c>
      <c r="L1530" s="3">
        <v>2</v>
      </c>
      <c r="M1530" s="3">
        <v>4458</v>
      </c>
      <c r="N1530" s="3">
        <v>8916</v>
      </c>
      <c r="O1530" s="3">
        <v>0</v>
      </c>
      <c r="P1530" s="3" t="s">
        <v>51</v>
      </c>
      <c r="Q1530" s="3">
        <v>1</v>
      </c>
      <c r="R1530" s="3" t="str">
        <f t="shared" si="23"/>
        <v>Cancelled</v>
      </c>
      <c r="S1530" s="3" t="s">
        <v>25</v>
      </c>
    </row>
    <row r="1531" spans="1:19" x14ac:dyDescent="0.35">
      <c r="A1531" s="3">
        <v>2530</v>
      </c>
      <c r="B1531" s="3" t="s">
        <v>67</v>
      </c>
      <c r="C1531" s="4">
        <v>45312</v>
      </c>
      <c r="D1531" s="3" t="s">
        <v>128</v>
      </c>
      <c r="E1531" s="4">
        <v>45346</v>
      </c>
      <c r="F1531" s="4">
        <v>45347</v>
      </c>
      <c r="G1531" s="3" t="s">
        <v>34</v>
      </c>
      <c r="H1531" s="3" t="s">
        <v>35</v>
      </c>
      <c r="I1531" s="3" t="s">
        <v>22</v>
      </c>
      <c r="J1531" s="3" t="s">
        <v>23</v>
      </c>
      <c r="K1531" s="3">
        <v>34</v>
      </c>
      <c r="L1531" s="3">
        <v>1</v>
      </c>
      <c r="M1531" s="3">
        <v>6509</v>
      </c>
      <c r="N1531" s="3">
        <v>6509</v>
      </c>
      <c r="O1531" s="3">
        <v>0</v>
      </c>
      <c r="P1531" s="3" t="s">
        <v>24</v>
      </c>
      <c r="Q1531" s="3">
        <v>1</v>
      </c>
      <c r="R1531" s="3" t="str">
        <f t="shared" si="23"/>
        <v>Cancelled</v>
      </c>
      <c r="S1531" s="3" t="s">
        <v>25</v>
      </c>
    </row>
    <row r="1532" spans="1:19" x14ac:dyDescent="0.35">
      <c r="A1532" s="3">
        <v>2531</v>
      </c>
      <c r="B1532" s="3" t="s">
        <v>214</v>
      </c>
      <c r="C1532" s="4">
        <v>45591</v>
      </c>
      <c r="D1532" s="3" t="s">
        <v>88</v>
      </c>
      <c r="E1532" s="4">
        <v>45607</v>
      </c>
      <c r="F1532" s="4">
        <v>45612</v>
      </c>
      <c r="G1532" s="3" t="s">
        <v>45</v>
      </c>
      <c r="H1532" s="3" t="s">
        <v>60</v>
      </c>
      <c r="I1532" s="3" t="s">
        <v>39</v>
      </c>
      <c r="J1532" s="3" t="s">
        <v>30</v>
      </c>
      <c r="K1532" s="3">
        <v>16</v>
      </c>
      <c r="L1532" s="3">
        <v>5</v>
      </c>
      <c r="M1532" s="3">
        <v>5235</v>
      </c>
      <c r="N1532" s="3">
        <v>26175</v>
      </c>
      <c r="O1532" s="3">
        <v>0</v>
      </c>
      <c r="P1532" s="3" t="s">
        <v>51</v>
      </c>
      <c r="Q1532" s="3">
        <v>1</v>
      </c>
      <c r="R1532" s="3" t="str">
        <f t="shared" si="23"/>
        <v>Cancelled</v>
      </c>
      <c r="S1532" s="3" t="s">
        <v>31</v>
      </c>
    </row>
    <row r="1533" spans="1:19" x14ac:dyDescent="0.35">
      <c r="A1533" s="3">
        <v>2532</v>
      </c>
      <c r="B1533" s="3" t="s">
        <v>243</v>
      </c>
      <c r="C1533" s="4">
        <v>45430</v>
      </c>
      <c r="D1533" s="3" t="s">
        <v>19</v>
      </c>
      <c r="E1533" s="4">
        <v>45452</v>
      </c>
      <c r="F1533" s="4">
        <v>45454</v>
      </c>
      <c r="G1533" s="3" t="s">
        <v>28</v>
      </c>
      <c r="H1533" s="3" t="s">
        <v>60</v>
      </c>
      <c r="I1533" s="3" t="s">
        <v>39</v>
      </c>
      <c r="J1533" s="3" t="s">
        <v>46</v>
      </c>
      <c r="K1533" s="3">
        <v>22</v>
      </c>
      <c r="L1533" s="3">
        <v>2</v>
      </c>
      <c r="M1533" s="3">
        <v>6991</v>
      </c>
      <c r="N1533" s="3">
        <v>13982</v>
      </c>
      <c r="O1533" s="3">
        <v>0</v>
      </c>
      <c r="P1533" s="3" t="s">
        <v>51</v>
      </c>
      <c r="Q1533" s="3">
        <v>1</v>
      </c>
      <c r="R1533" s="3" t="str">
        <f t="shared" si="23"/>
        <v>Cancelled</v>
      </c>
      <c r="S1533" s="3" t="s">
        <v>25</v>
      </c>
    </row>
    <row r="1534" spans="1:19" x14ac:dyDescent="0.35">
      <c r="A1534" s="3">
        <v>2533</v>
      </c>
      <c r="B1534" s="3" t="s">
        <v>461</v>
      </c>
      <c r="C1534" s="4">
        <v>45650</v>
      </c>
      <c r="D1534" s="3" t="s">
        <v>144</v>
      </c>
      <c r="E1534" s="4">
        <v>45682</v>
      </c>
      <c r="F1534" s="4">
        <v>45686</v>
      </c>
      <c r="G1534" s="3" t="s">
        <v>42</v>
      </c>
      <c r="H1534" s="3" t="s">
        <v>21</v>
      </c>
      <c r="I1534" s="3" t="s">
        <v>39</v>
      </c>
      <c r="J1534" s="3" t="s">
        <v>30</v>
      </c>
      <c r="K1534" s="3">
        <v>32</v>
      </c>
      <c r="L1534" s="3">
        <v>4</v>
      </c>
      <c r="M1534" s="3">
        <v>8227</v>
      </c>
      <c r="N1534" s="3">
        <v>32908</v>
      </c>
      <c r="O1534" s="3">
        <v>0</v>
      </c>
      <c r="P1534" s="3" t="s">
        <v>24</v>
      </c>
      <c r="Q1534" s="3">
        <v>1</v>
      </c>
      <c r="R1534" s="3" t="str">
        <f t="shared" si="23"/>
        <v>Cancelled</v>
      </c>
      <c r="S1534" s="3" t="s">
        <v>31</v>
      </c>
    </row>
    <row r="1535" spans="1:19" x14ac:dyDescent="0.35">
      <c r="A1535" s="3">
        <v>2534</v>
      </c>
      <c r="B1535" s="3" t="s">
        <v>1037</v>
      </c>
      <c r="C1535" s="4">
        <v>45615</v>
      </c>
      <c r="D1535" s="3" t="s">
        <v>115</v>
      </c>
      <c r="E1535" s="4">
        <v>45653</v>
      </c>
      <c r="F1535" s="4">
        <v>45656</v>
      </c>
      <c r="G1535" s="3" t="s">
        <v>20</v>
      </c>
      <c r="H1535" s="3" t="s">
        <v>21</v>
      </c>
      <c r="I1535" s="3" t="s">
        <v>22</v>
      </c>
      <c r="J1535" s="3" t="s">
        <v>23</v>
      </c>
      <c r="K1535" s="3">
        <v>38</v>
      </c>
      <c r="L1535" s="3">
        <v>3</v>
      </c>
      <c r="M1535" s="3">
        <v>8476</v>
      </c>
      <c r="N1535" s="3">
        <v>25428</v>
      </c>
      <c r="O1535" s="3">
        <v>25428</v>
      </c>
      <c r="P1535" s="3" t="s">
        <v>24</v>
      </c>
      <c r="Q1535" s="3">
        <v>0</v>
      </c>
      <c r="R1535" s="3" t="str">
        <f t="shared" si="23"/>
        <v>Not Cancelled</v>
      </c>
      <c r="S1535" s="3" t="s">
        <v>25</v>
      </c>
    </row>
    <row r="1536" spans="1:19" x14ac:dyDescent="0.35">
      <c r="A1536" s="3">
        <v>2535</v>
      </c>
      <c r="B1536" s="3" t="s">
        <v>1038</v>
      </c>
      <c r="C1536" s="4">
        <v>45383</v>
      </c>
      <c r="D1536" s="3" t="s">
        <v>59</v>
      </c>
      <c r="E1536" s="4">
        <v>45391</v>
      </c>
      <c r="F1536" s="4">
        <v>45394</v>
      </c>
      <c r="G1536" s="3" t="s">
        <v>20</v>
      </c>
      <c r="H1536" s="3" t="s">
        <v>29</v>
      </c>
      <c r="I1536" s="3" t="s">
        <v>39</v>
      </c>
      <c r="J1536" s="3" t="s">
        <v>46</v>
      </c>
      <c r="K1536" s="3">
        <v>8</v>
      </c>
      <c r="L1536" s="3">
        <v>3</v>
      </c>
      <c r="M1536" s="3">
        <v>5674</v>
      </c>
      <c r="N1536" s="3">
        <v>17022</v>
      </c>
      <c r="O1536" s="3">
        <v>17022</v>
      </c>
      <c r="P1536" s="3" t="s">
        <v>51</v>
      </c>
      <c r="Q1536" s="3">
        <v>0</v>
      </c>
      <c r="R1536" s="3" t="str">
        <f t="shared" si="23"/>
        <v>Not Cancelled</v>
      </c>
      <c r="S1536" s="3" t="s">
        <v>25</v>
      </c>
    </row>
    <row r="1537" spans="1:19" x14ac:dyDescent="0.35">
      <c r="A1537" s="3">
        <v>2536</v>
      </c>
      <c r="B1537" s="3" t="s">
        <v>910</v>
      </c>
      <c r="C1537" s="4">
        <v>45571</v>
      </c>
      <c r="D1537" s="3" t="s">
        <v>113</v>
      </c>
      <c r="E1537" s="4">
        <v>45626</v>
      </c>
      <c r="F1537" s="4">
        <v>45628</v>
      </c>
      <c r="G1537" s="3" t="s">
        <v>28</v>
      </c>
      <c r="H1537" s="3" t="s">
        <v>21</v>
      </c>
      <c r="I1537" s="3" t="s">
        <v>22</v>
      </c>
      <c r="J1537" s="3" t="s">
        <v>23</v>
      </c>
      <c r="K1537" s="3">
        <v>55</v>
      </c>
      <c r="L1537" s="3">
        <v>2</v>
      </c>
      <c r="M1537" s="3">
        <v>2901</v>
      </c>
      <c r="N1537" s="3">
        <v>5802</v>
      </c>
      <c r="O1537" s="3">
        <v>0</v>
      </c>
      <c r="P1537" s="3" t="s">
        <v>51</v>
      </c>
      <c r="Q1537" s="3">
        <v>1</v>
      </c>
      <c r="R1537" s="3" t="str">
        <f t="shared" si="23"/>
        <v>Cancelled</v>
      </c>
      <c r="S1537" s="3" t="s">
        <v>31</v>
      </c>
    </row>
    <row r="1538" spans="1:19" x14ac:dyDescent="0.35">
      <c r="A1538" s="3">
        <v>2537</v>
      </c>
      <c r="B1538" s="3" t="s">
        <v>1039</v>
      </c>
      <c r="C1538" s="4">
        <v>45416</v>
      </c>
      <c r="D1538" s="3" t="s">
        <v>59</v>
      </c>
      <c r="E1538" s="4">
        <v>45424</v>
      </c>
      <c r="F1538" s="4">
        <v>45429</v>
      </c>
      <c r="G1538" s="3" t="s">
        <v>45</v>
      </c>
      <c r="H1538" s="3" t="s">
        <v>21</v>
      </c>
      <c r="I1538" s="3" t="s">
        <v>22</v>
      </c>
      <c r="J1538" s="3" t="s">
        <v>46</v>
      </c>
      <c r="K1538" s="3">
        <v>8</v>
      </c>
      <c r="L1538" s="3">
        <v>5</v>
      </c>
      <c r="M1538" s="3">
        <v>3474</v>
      </c>
      <c r="N1538" s="3">
        <v>17370</v>
      </c>
      <c r="O1538" s="3">
        <v>17370</v>
      </c>
      <c r="P1538" s="3" t="s">
        <v>24</v>
      </c>
      <c r="Q1538" s="3">
        <v>0</v>
      </c>
      <c r="R1538" s="3" t="str">
        <f t="shared" si="23"/>
        <v>Not Cancelled</v>
      </c>
      <c r="S1538" s="3" t="s">
        <v>31</v>
      </c>
    </row>
    <row r="1539" spans="1:19" x14ac:dyDescent="0.35">
      <c r="A1539" s="3">
        <v>2538</v>
      </c>
      <c r="B1539" s="3" t="s">
        <v>617</v>
      </c>
      <c r="C1539" s="4">
        <v>45402</v>
      </c>
      <c r="D1539" s="3" t="s">
        <v>100</v>
      </c>
      <c r="E1539" s="4">
        <v>45459</v>
      </c>
      <c r="F1539" s="4">
        <v>45461</v>
      </c>
      <c r="G1539" s="3" t="s">
        <v>28</v>
      </c>
      <c r="H1539" s="3" t="s">
        <v>29</v>
      </c>
      <c r="I1539" s="3" t="s">
        <v>22</v>
      </c>
      <c r="J1539" s="3" t="s">
        <v>23</v>
      </c>
      <c r="K1539" s="3">
        <v>57</v>
      </c>
      <c r="L1539" s="3">
        <v>2</v>
      </c>
      <c r="M1539" s="3">
        <v>2723</v>
      </c>
      <c r="N1539" s="3">
        <v>5446</v>
      </c>
      <c r="O1539" s="3">
        <v>0</v>
      </c>
      <c r="P1539" s="3" t="s">
        <v>51</v>
      </c>
      <c r="Q1539" s="3">
        <v>1</v>
      </c>
      <c r="R1539" s="3" t="str">
        <f t="shared" ref="R1539:R1602" si="24">IF(Q1539=0,"Not Cancelled","Cancelled")</f>
        <v>Cancelled</v>
      </c>
      <c r="S1539" s="3" t="s">
        <v>25</v>
      </c>
    </row>
    <row r="1540" spans="1:19" x14ac:dyDescent="0.35">
      <c r="A1540" s="3">
        <v>2539</v>
      </c>
      <c r="B1540" s="3" t="s">
        <v>391</v>
      </c>
      <c r="C1540" s="4">
        <v>45645</v>
      </c>
      <c r="D1540" s="3" t="s">
        <v>55</v>
      </c>
      <c r="E1540" s="4">
        <v>45651</v>
      </c>
      <c r="F1540" s="4">
        <v>45656</v>
      </c>
      <c r="G1540" s="3" t="s">
        <v>45</v>
      </c>
      <c r="H1540" s="3" t="s">
        <v>60</v>
      </c>
      <c r="I1540" s="3" t="s">
        <v>39</v>
      </c>
      <c r="J1540" s="3" t="s">
        <v>46</v>
      </c>
      <c r="K1540" s="3">
        <v>6</v>
      </c>
      <c r="L1540" s="3">
        <v>5</v>
      </c>
      <c r="M1540" s="3">
        <v>7113</v>
      </c>
      <c r="N1540" s="3">
        <v>35565</v>
      </c>
      <c r="O1540" s="3">
        <v>35565</v>
      </c>
      <c r="P1540" s="3" t="s">
        <v>24</v>
      </c>
      <c r="Q1540" s="3">
        <v>0</v>
      </c>
      <c r="R1540" s="3" t="str">
        <f t="shared" si="24"/>
        <v>Not Cancelled</v>
      </c>
      <c r="S1540" s="3" t="s">
        <v>25</v>
      </c>
    </row>
    <row r="1541" spans="1:19" x14ac:dyDescent="0.35">
      <c r="A1541" s="3">
        <v>2540</v>
      </c>
      <c r="B1541" s="3" t="s">
        <v>315</v>
      </c>
      <c r="C1541" s="4">
        <v>45430</v>
      </c>
      <c r="D1541" s="3" t="s">
        <v>33</v>
      </c>
      <c r="E1541" s="4">
        <v>45444</v>
      </c>
      <c r="F1541" s="4">
        <v>45448</v>
      </c>
      <c r="G1541" s="3" t="s">
        <v>42</v>
      </c>
      <c r="H1541" s="3" t="s">
        <v>60</v>
      </c>
      <c r="I1541" s="3" t="s">
        <v>22</v>
      </c>
      <c r="J1541" s="3" t="s">
        <v>30</v>
      </c>
      <c r="K1541" s="3">
        <v>14</v>
      </c>
      <c r="L1541" s="3">
        <v>4</v>
      </c>
      <c r="M1541" s="3">
        <v>2735</v>
      </c>
      <c r="N1541" s="3">
        <v>10940</v>
      </c>
      <c r="O1541" s="3">
        <v>10940</v>
      </c>
      <c r="P1541" s="3" t="s">
        <v>24</v>
      </c>
      <c r="Q1541" s="3">
        <v>0</v>
      </c>
      <c r="R1541" s="3" t="str">
        <f t="shared" si="24"/>
        <v>Not Cancelled</v>
      </c>
      <c r="S1541" s="3" t="s">
        <v>31</v>
      </c>
    </row>
    <row r="1542" spans="1:19" x14ac:dyDescent="0.35">
      <c r="A1542" s="3">
        <v>2541</v>
      </c>
      <c r="B1542" s="3" t="s">
        <v>306</v>
      </c>
      <c r="C1542" s="4">
        <v>45564</v>
      </c>
      <c r="D1542" s="3" t="s">
        <v>144</v>
      </c>
      <c r="E1542" s="4">
        <v>45596</v>
      </c>
      <c r="F1542" s="4">
        <v>45601</v>
      </c>
      <c r="G1542" s="3" t="s">
        <v>45</v>
      </c>
      <c r="H1542" s="3" t="s">
        <v>21</v>
      </c>
      <c r="I1542" s="3" t="s">
        <v>39</v>
      </c>
      <c r="J1542" s="3" t="s">
        <v>30</v>
      </c>
      <c r="K1542" s="3">
        <v>32</v>
      </c>
      <c r="L1542" s="3">
        <v>5</v>
      </c>
      <c r="M1542" s="3">
        <v>5998</v>
      </c>
      <c r="N1542" s="3">
        <v>29990</v>
      </c>
      <c r="O1542" s="3">
        <v>0</v>
      </c>
      <c r="P1542" s="3" t="s">
        <v>24</v>
      </c>
      <c r="Q1542" s="3">
        <v>1</v>
      </c>
      <c r="R1542" s="3" t="str">
        <f t="shared" si="24"/>
        <v>Cancelled</v>
      </c>
      <c r="S1542" s="3" t="s">
        <v>31</v>
      </c>
    </row>
    <row r="1543" spans="1:19" x14ac:dyDescent="0.35">
      <c r="A1543" s="3">
        <v>2542</v>
      </c>
      <c r="B1543" s="3" t="s">
        <v>420</v>
      </c>
      <c r="C1543" s="4">
        <v>45390</v>
      </c>
      <c r="D1543" s="3" t="s">
        <v>91</v>
      </c>
      <c r="E1543" s="4">
        <v>45425</v>
      </c>
      <c r="F1543" s="4">
        <v>45427</v>
      </c>
      <c r="G1543" s="3" t="s">
        <v>28</v>
      </c>
      <c r="H1543" s="3" t="s">
        <v>29</v>
      </c>
      <c r="I1543" s="3" t="s">
        <v>22</v>
      </c>
      <c r="J1543" s="3" t="s">
        <v>46</v>
      </c>
      <c r="K1543" s="3">
        <v>35</v>
      </c>
      <c r="L1543" s="3">
        <v>2</v>
      </c>
      <c r="M1543" s="3">
        <v>6711</v>
      </c>
      <c r="N1543" s="3">
        <v>13422</v>
      </c>
      <c r="O1543" s="3">
        <v>0</v>
      </c>
      <c r="P1543" s="3" t="s">
        <v>51</v>
      </c>
      <c r="Q1543" s="3">
        <v>1</v>
      </c>
      <c r="R1543" s="3" t="str">
        <f t="shared" si="24"/>
        <v>Cancelled</v>
      </c>
      <c r="S1543" s="3" t="s">
        <v>31</v>
      </c>
    </row>
    <row r="1544" spans="1:19" x14ac:dyDescent="0.35">
      <c r="A1544" s="3">
        <v>2543</v>
      </c>
      <c r="B1544" s="3" t="s">
        <v>1040</v>
      </c>
      <c r="C1544" s="4">
        <v>45543</v>
      </c>
      <c r="D1544" s="3" t="s">
        <v>37</v>
      </c>
      <c r="E1544" s="4">
        <v>45553</v>
      </c>
      <c r="F1544" s="4">
        <v>45557</v>
      </c>
      <c r="G1544" s="3" t="s">
        <v>42</v>
      </c>
      <c r="H1544" s="3" t="s">
        <v>60</v>
      </c>
      <c r="I1544" s="3" t="s">
        <v>39</v>
      </c>
      <c r="J1544" s="3" t="s">
        <v>46</v>
      </c>
      <c r="K1544" s="3">
        <v>10</v>
      </c>
      <c r="L1544" s="3">
        <v>4</v>
      </c>
      <c r="M1544" s="3">
        <v>5734</v>
      </c>
      <c r="N1544" s="3">
        <v>22936</v>
      </c>
      <c r="O1544" s="3">
        <v>0</v>
      </c>
      <c r="P1544" s="3" t="s">
        <v>24</v>
      </c>
      <c r="Q1544" s="3">
        <v>1</v>
      </c>
      <c r="R1544" s="3" t="str">
        <f t="shared" si="24"/>
        <v>Cancelled</v>
      </c>
      <c r="S1544" s="3" t="s">
        <v>31</v>
      </c>
    </row>
    <row r="1545" spans="1:19" x14ac:dyDescent="0.35">
      <c r="A1545" s="3">
        <v>2544</v>
      </c>
      <c r="B1545" s="3" t="s">
        <v>1041</v>
      </c>
      <c r="C1545" s="4">
        <v>45629</v>
      </c>
      <c r="D1545" s="3" t="s">
        <v>20</v>
      </c>
      <c r="E1545" s="4">
        <v>45632</v>
      </c>
      <c r="F1545" s="4">
        <v>45633</v>
      </c>
      <c r="G1545" s="3" t="s">
        <v>34</v>
      </c>
      <c r="H1545" s="3" t="s">
        <v>38</v>
      </c>
      <c r="I1545" s="3" t="s">
        <v>22</v>
      </c>
      <c r="J1545" s="3" t="s">
        <v>30</v>
      </c>
      <c r="K1545" s="3">
        <v>3</v>
      </c>
      <c r="L1545" s="3">
        <v>1</v>
      </c>
      <c r="M1545" s="3">
        <v>2725</v>
      </c>
      <c r="N1545" s="3">
        <v>2725</v>
      </c>
      <c r="O1545" s="3">
        <v>2725</v>
      </c>
      <c r="P1545" s="3" t="s">
        <v>51</v>
      </c>
      <c r="Q1545" s="3">
        <v>0</v>
      </c>
      <c r="R1545" s="3" t="str">
        <f t="shared" si="24"/>
        <v>Not Cancelled</v>
      </c>
      <c r="S1545" s="3" t="s">
        <v>25</v>
      </c>
    </row>
    <row r="1546" spans="1:19" x14ac:dyDescent="0.35">
      <c r="A1546" s="3">
        <v>2545</v>
      </c>
      <c r="B1546" s="3" t="s">
        <v>83</v>
      </c>
      <c r="C1546" s="4">
        <v>45395</v>
      </c>
      <c r="D1546" s="3" t="s">
        <v>96</v>
      </c>
      <c r="E1546" s="4">
        <v>45454</v>
      </c>
      <c r="F1546" s="4">
        <v>45457</v>
      </c>
      <c r="G1546" s="3" t="s">
        <v>20</v>
      </c>
      <c r="H1546" s="3" t="s">
        <v>35</v>
      </c>
      <c r="I1546" s="3" t="s">
        <v>39</v>
      </c>
      <c r="J1546" s="3" t="s">
        <v>30</v>
      </c>
      <c r="K1546" s="3">
        <v>59</v>
      </c>
      <c r="L1546" s="3">
        <v>3</v>
      </c>
      <c r="M1546" s="3">
        <v>4777</v>
      </c>
      <c r="N1546" s="3">
        <v>14331</v>
      </c>
      <c r="O1546" s="3">
        <v>0</v>
      </c>
      <c r="P1546" s="3" t="s">
        <v>51</v>
      </c>
      <c r="Q1546" s="3">
        <v>1</v>
      </c>
      <c r="R1546" s="3" t="str">
        <f t="shared" si="24"/>
        <v>Cancelled</v>
      </c>
      <c r="S1546" s="3" t="s">
        <v>25</v>
      </c>
    </row>
    <row r="1547" spans="1:19" x14ac:dyDescent="0.35">
      <c r="A1547" s="3">
        <v>2546</v>
      </c>
      <c r="B1547" s="3" t="s">
        <v>1042</v>
      </c>
      <c r="C1547" s="4">
        <v>45505</v>
      </c>
      <c r="D1547" s="3" t="s">
        <v>102</v>
      </c>
      <c r="E1547" s="4">
        <v>45517</v>
      </c>
      <c r="F1547" s="4">
        <v>45519</v>
      </c>
      <c r="G1547" s="3" t="s">
        <v>28</v>
      </c>
      <c r="H1547" s="3" t="s">
        <v>35</v>
      </c>
      <c r="I1547" s="3" t="s">
        <v>22</v>
      </c>
      <c r="J1547" s="3" t="s">
        <v>46</v>
      </c>
      <c r="K1547" s="3">
        <v>12</v>
      </c>
      <c r="L1547" s="3">
        <v>2</v>
      </c>
      <c r="M1547" s="3">
        <v>6777</v>
      </c>
      <c r="N1547" s="3">
        <v>13554</v>
      </c>
      <c r="O1547" s="3">
        <v>13554</v>
      </c>
      <c r="P1547" s="3" t="s">
        <v>24</v>
      </c>
      <c r="Q1547" s="3">
        <v>0</v>
      </c>
      <c r="R1547" s="3" t="str">
        <f t="shared" si="24"/>
        <v>Not Cancelled</v>
      </c>
      <c r="S1547" s="3" t="s">
        <v>25</v>
      </c>
    </row>
    <row r="1548" spans="1:19" x14ac:dyDescent="0.35">
      <c r="A1548" s="3">
        <v>2547</v>
      </c>
      <c r="B1548" s="3" t="s">
        <v>182</v>
      </c>
      <c r="C1548" s="4">
        <v>45540</v>
      </c>
      <c r="D1548" s="3" t="s">
        <v>211</v>
      </c>
      <c r="E1548" s="4">
        <v>45589</v>
      </c>
      <c r="F1548" s="4">
        <v>45591</v>
      </c>
      <c r="G1548" s="3" t="s">
        <v>28</v>
      </c>
      <c r="H1548" s="3" t="s">
        <v>35</v>
      </c>
      <c r="I1548" s="3" t="s">
        <v>39</v>
      </c>
      <c r="J1548" s="3" t="s">
        <v>46</v>
      </c>
      <c r="K1548" s="3">
        <v>49</v>
      </c>
      <c r="L1548" s="3">
        <v>2</v>
      </c>
      <c r="M1548" s="3">
        <v>3841</v>
      </c>
      <c r="N1548" s="3">
        <v>7682</v>
      </c>
      <c r="O1548" s="3">
        <v>0</v>
      </c>
      <c r="P1548" s="3" t="s">
        <v>24</v>
      </c>
      <c r="Q1548" s="3">
        <v>1</v>
      </c>
      <c r="R1548" s="3" t="str">
        <f t="shared" si="24"/>
        <v>Cancelled</v>
      </c>
      <c r="S1548" s="3" t="s">
        <v>25</v>
      </c>
    </row>
    <row r="1549" spans="1:19" x14ac:dyDescent="0.35">
      <c r="A1549" s="3">
        <v>2548</v>
      </c>
      <c r="B1549" s="3" t="s">
        <v>1043</v>
      </c>
      <c r="C1549" s="4">
        <v>45443</v>
      </c>
      <c r="D1549" s="3" t="s">
        <v>96</v>
      </c>
      <c r="E1549" s="4">
        <v>45502</v>
      </c>
      <c r="F1549" s="4">
        <v>45504</v>
      </c>
      <c r="G1549" s="3" t="s">
        <v>28</v>
      </c>
      <c r="H1549" s="3" t="s">
        <v>21</v>
      </c>
      <c r="I1549" s="3" t="s">
        <v>22</v>
      </c>
      <c r="J1549" s="3" t="s">
        <v>30</v>
      </c>
      <c r="K1549" s="3">
        <v>59</v>
      </c>
      <c r="L1549" s="3">
        <v>2</v>
      </c>
      <c r="M1549" s="3">
        <v>6536</v>
      </c>
      <c r="N1549" s="3">
        <v>13072</v>
      </c>
      <c r="O1549" s="3">
        <v>0</v>
      </c>
      <c r="P1549" s="3" t="s">
        <v>24</v>
      </c>
      <c r="Q1549" s="3">
        <v>1</v>
      </c>
      <c r="R1549" s="3" t="str">
        <f t="shared" si="24"/>
        <v>Cancelled</v>
      </c>
      <c r="S1549" s="3" t="s">
        <v>25</v>
      </c>
    </row>
    <row r="1550" spans="1:19" x14ac:dyDescent="0.35">
      <c r="A1550" s="3">
        <v>2549</v>
      </c>
      <c r="B1550" s="3" t="s">
        <v>1044</v>
      </c>
      <c r="C1550" s="4">
        <v>45541</v>
      </c>
      <c r="D1550" s="3" t="s">
        <v>48</v>
      </c>
      <c r="E1550" s="4">
        <v>45572</v>
      </c>
      <c r="F1550" s="4">
        <v>45576</v>
      </c>
      <c r="G1550" s="3" t="s">
        <v>42</v>
      </c>
      <c r="H1550" s="3" t="s">
        <v>35</v>
      </c>
      <c r="I1550" s="3" t="s">
        <v>22</v>
      </c>
      <c r="J1550" s="3" t="s">
        <v>23</v>
      </c>
      <c r="K1550" s="3">
        <v>31</v>
      </c>
      <c r="L1550" s="3">
        <v>4</v>
      </c>
      <c r="M1550" s="3">
        <v>2709</v>
      </c>
      <c r="N1550" s="3">
        <v>10836</v>
      </c>
      <c r="O1550" s="3">
        <v>10836</v>
      </c>
      <c r="P1550" s="3" t="s">
        <v>24</v>
      </c>
      <c r="Q1550" s="3">
        <v>0</v>
      </c>
      <c r="R1550" s="3" t="str">
        <f t="shared" si="24"/>
        <v>Not Cancelled</v>
      </c>
      <c r="S1550" s="3" t="s">
        <v>31</v>
      </c>
    </row>
    <row r="1551" spans="1:19" x14ac:dyDescent="0.35">
      <c r="A1551" s="3">
        <v>2550</v>
      </c>
      <c r="B1551" s="3" t="s">
        <v>1045</v>
      </c>
      <c r="C1551" s="4">
        <v>45566</v>
      </c>
      <c r="D1551" s="3" t="s">
        <v>57</v>
      </c>
      <c r="E1551" s="4">
        <v>45595</v>
      </c>
      <c r="F1551" s="4">
        <v>45596</v>
      </c>
      <c r="G1551" s="3" t="s">
        <v>34</v>
      </c>
      <c r="H1551" s="3" t="s">
        <v>35</v>
      </c>
      <c r="I1551" s="3" t="s">
        <v>22</v>
      </c>
      <c r="J1551" s="3" t="s">
        <v>30</v>
      </c>
      <c r="K1551" s="3">
        <v>29</v>
      </c>
      <c r="L1551" s="3">
        <v>1</v>
      </c>
      <c r="M1551" s="3">
        <v>6227</v>
      </c>
      <c r="N1551" s="3">
        <v>6227</v>
      </c>
      <c r="O1551" s="3">
        <v>0</v>
      </c>
      <c r="P1551" s="3" t="s">
        <v>51</v>
      </c>
      <c r="Q1551" s="3">
        <v>1</v>
      </c>
      <c r="R1551" s="3" t="str">
        <f t="shared" si="24"/>
        <v>Cancelled</v>
      </c>
      <c r="S1551" s="3" t="s">
        <v>31</v>
      </c>
    </row>
    <row r="1552" spans="1:19" x14ac:dyDescent="0.35">
      <c r="A1552" s="3">
        <v>2551</v>
      </c>
      <c r="B1552" s="3" t="s">
        <v>743</v>
      </c>
      <c r="C1552" s="4">
        <v>45456</v>
      </c>
      <c r="D1552" s="3" t="s">
        <v>45</v>
      </c>
      <c r="E1552" s="4">
        <v>45461</v>
      </c>
      <c r="F1552" s="4">
        <v>45466</v>
      </c>
      <c r="G1552" s="3" t="s">
        <v>45</v>
      </c>
      <c r="H1552" s="3" t="s">
        <v>38</v>
      </c>
      <c r="I1552" s="3" t="s">
        <v>39</v>
      </c>
      <c r="J1552" s="3" t="s">
        <v>46</v>
      </c>
      <c r="K1552" s="3">
        <v>5</v>
      </c>
      <c r="L1552" s="3">
        <v>5</v>
      </c>
      <c r="M1552" s="3">
        <v>8011</v>
      </c>
      <c r="N1552" s="3">
        <v>40055</v>
      </c>
      <c r="O1552" s="3">
        <v>0</v>
      </c>
      <c r="P1552" s="3" t="s">
        <v>51</v>
      </c>
      <c r="Q1552" s="3">
        <v>1</v>
      </c>
      <c r="R1552" s="3" t="str">
        <f t="shared" si="24"/>
        <v>Cancelled</v>
      </c>
      <c r="S1552" s="3" t="s">
        <v>31</v>
      </c>
    </row>
    <row r="1553" spans="1:19" x14ac:dyDescent="0.35">
      <c r="A1553" s="3">
        <v>2552</v>
      </c>
      <c r="B1553" s="3" t="s">
        <v>1046</v>
      </c>
      <c r="C1553" s="4">
        <v>45632</v>
      </c>
      <c r="D1553" s="3" t="s">
        <v>226</v>
      </c>
      <c r="E1553" s="4">
        <v>45684</v>
      </c>
      <c r="F1553" s="4">
        <v>45685</v>
      </c>
      <c r="G1553" s="3" t="s">
        <v>34</v>
      </c>
      <c r="H1553" s="3" t="s">
        <v>60</v>
      </c>
      <c r="I1553" s="3" t="s">
        <v>22</v>
      </c>
      <c r="J1553" s="3" t="s">
        <v>46</v>
      </c>
      <c r="K1553" s="3">
        <v>52</v>
      </c>
      <c r="L1553" s="3">
        <v>1</v>
      </c>
      <c r="M1553" s="3">
        <v>6428</v>
      </c>
      <c r="N1553" s="3">
        <v>6428</v>
      </c>
      <c r="O1553" s="3">
        <v>0</v>
      </c>
      <c r="P1553" s="3" t="s">
        <v>24</v>
      </c>
      <c r="Q1553" s="3">
        <v>1</v>
      </c>
      <c r="R1553" s="3" t="str">
        <f t="shared" si="24"/>
        <v>Cancelled</v>
      </c>
      <c r="S1553" s="3" t="s">
        <v>25</v>
      </c>
    </row>
    <row r="1554" spans="1:19" x14ac:dyDescent="0.35">
      <c r="A1554" s="3">
        <v>2553</v>
      </c>
      <c r="B1554" s="3" t="s">
        <v>556</v>
      </c>
      <c r="C1554" s="4">
        <v>45299</v>
      </c>
      <c r="D1554" s="3" t="s">
        <v>107</v>
      </c>
      <c r="E1554" s="4">
        <v>45324</v>
      </c>
      <c r="F1554" s="4">
        <v>45328</v>
      </c>
      <c r="G1554" s="3" t="s">
        <v>42</v>
      </c>
      <c r="H1554" s="3" t="s">
        <v>38</v>
      </c>
      <c r="I1554" s="3" t="s">
        <v>22</v>
      </c>
      <c r="J1554" s="3" t="s">
        <v>23</v>
      </c>
      <c r="K1554" s="3">
        <v>25</v>
      </c>
      <c r="L1554" s="3">
        <v>4</v>
      </c>
      <c r="M1554" s="3">
        <v>8739</v>
      </c>
      <c r="N1554" s="3">
        <v>34956</v>
      </c>
      <c r="O1554" s="3">
        <v>34956</v>
      </c>
      <c r="P1554" s="3" t="s">
        <v>51</v>
      </c>
      <c r="Q1554" s="3">
        <v>0</v>
      </c>
      <c r="R1554" s="3" t="str">
        <f t="shared" si="24"/>
        <v>Not Cancelled</v>
      </c>
      <c r="S1554" s="3" t="s">
        <v>31</v>
      </c>
    </row>
    <row r="1555" spans="1:19" x14ac:dyDescent="0.35">
      <c r="A1555" s="3">
        <v>2554</v>
      </c>
      <c r="B1555" s="3" t="s">
        <v>1047</v>
      </c>
      <c r="C1555" s="4">
        <v>45575</v>
      </c>
      <c r="D1555" s="3" t="s">
        <v>86</v>
      </c>
      <c r="E1555" s="4">
        <v>45616</v>
      </c>
      <c r="F1555" s="4">
        <v>45618</v>
      </c>
      <c r="G1555" s="3" t="s">
        <v>28</v>
      </c>
      <c r="H1555" s="3" t="s">
        <v>21</v>
      </c>
      <c r="I1555" s="3" t="s">
        <v>22</v>
      </c>
      <c r="J1555" s="3" t="s">
        <v>30</v>
      </c>
      <c r="K1555" s="3">
        <v>41</v>
      </c>
      <c r="L1555" s="3">
        <v>2</v>
      </c>
      <c r="M1555" s="3">
        <v>7489</v>
      </c>
      <c r="N1555" s="3">
        <v>14978</v>
      </c>
      <c r="O1555" s="3">
        <v>0</v>
      </c>
      <c r="P1555" s="3" t="s">
        <v>24</v>
      </c>
      <c r="Q1555" s="3">
        <v>1</v>
      </c>
      <c r="R1555" s="3" t="str">
        <f t="shared" si="24"/>
        <v>Cancelled</v>
      </c>
      <c r="S1555" s="3" t="s">
        <v>25</v>
      </c>
    </row>
    <row r="1556" spans="1:19" x14ac:dyDescent="0.35">
      <c r="A1556" s="3">
        <v>2555</v>
      </c>
      <c r="B1556" s="3" t="s">
        <v>741</v>
      </c>
      <c r="C1556" s="4">
        <v>45296</v>
      </c>
      <c r="D1556" s="3" t="s">
        <v>48</v>
      </c>
      <c r="E1556" s="4">
        <v>45327</v>
      </c>
      <c r="F1556" s="4">
        <v>45330</v>
      </c>
      <c r="G1556" s="3" t="s">
        <v>20</v>
      </c>
      <c r="H1556" s="3" t="s">
        <v>35</v>
      </c>
      <c r="I1556" s="3" t="s">
        <v>39</v>
      </c>
      <c r="J1556" s="3" t="s">
        <v>46</v>
      </c>
      <c r="K1556" s="3">
        <v>31</v>
      </c>
      <c r="L1556" s="3">
        <v>3</v>
      </c>
      <c r="M1556" s="3">
        <v>8477</v>
      </c>
      <c r="N1556" s="3">
        <v>25431</v>
      </c>
      <c r="O1556" s="3">
        <v>0</v>
      </c>
      <c r="P1556" s="3" t="s">
        <v>51</v>
      </c>
      <c r="Q1556" s="3">
        <v>1</v>
      </c>
      <c r="R1556" s="3" t="str">
        <f t="shared" si="24"/>
        <v>Cancelled</v>
      </c>
      <c r="S1556" s="3" t="s">
        <v>25</v>
      </c>
    </row>
    <row r="1557" spans="1:19" x14ac:dyDescent="0.35">
      <c r="A1557" s="3">
        <v>2556</v>
      </c>
      <c r="B1557" s="3" t="s">
        <v>1048</v>
      </c>
      <c r="C1557" s="4">
        <v>45436</v>
      </c>
      <c r="D1557" s="3" t="s">
        <v>175</v>
      </c>
      <c r="E1557" s="4">
        <v>45457</v>
      </c>
      <c r="F1557" s="4">
        <v>45459</v>
      </c>
      <c r="G1557" s="3" t="s">
        <v>28</v>
      </c>
      <c r="H1557" s="3" t="s">
        <v>60</v>
      </c>
      <c r="I1557" s="3" t="s">
        <v>22</v>
      </c>
      <c r="J1557" s="3" t="s">
        <v>30</v>
      </c>
      <c r="K1557" s="3">
        <v>21</v>
      </c>
      <c r="L1557" s="3">
        <v>2</v>
      </c>
      <c r="M1557" s="3">
        <v>5303</v>
      </c>
      <c r="N1557" s="3">
        <v>10606</v>
      </c>
      <c r="O1557" s="3">
        <v>10606</v>
      </c>
      <c r="P1557" s="3" t="s">
        <v>51</v>
      </c>
      <c r="Q1557" s="3">
        <v>0</v>
      </c>
      <c r="R1557" s="3" t="str">
        <f t="shared" si="24"/>
        <v>Not Cancelled</v>
      </c>
      <c r="S1557" s="3" t="s">
        <v>25</v>
      </c>
    </row>
    <row r="1558" spans="1:19" x14ac:dyDescent="0.35">
      <c r="A1558" s="3">
        <v>2557</v>
      </c>
      <c r="B1558" s="3" t="s">
        <v>1049</v>
      </c>
      <c r="C1558" s="4">
        <v>45392</v>
      </c>
      <c r="D1558" s="3" t="s">
        <v>237</v>
      </c>
      <c r="E1558" s="4">
        <v>45450</v>
      </c>
      <c r="F1558" s="4">
        <v>45455</v>
      </c>
      <c r="G1558" s="3" t="s">
        <v>45</v>
      </c>
      <c r="H1558" s="3" t="s">
        <v>35</v>
      </c>
      <c r="I1558" s="3" t="s">
        <v>22</v>
      </c>
      <c r="J1558" s="3" t="s">
        <v>46</v>
      </c>
      <c r="K1558" s="3">
        <v>58</v>
      </c>
      <c r="L1558" s="3">
        <v>5</v>
      </c>
      <c r="M1558" s="3">
        <v>3609</v>
      </c>
      <c r="N1558" s="3">
        <v>18045</v>
      </c>
      <c r="O1558" s="3">
        <v>0</v>
      </c>
      <c r="P1558" s="3" t="s">
        <v>51</v>
      </c>
      <c r="Q1558" s="3">
        <v>1</v>
      </c>
      <c r="R1558" s="3" t="str">
        <f t="shared" si="24"/>
        <v>Cancelled</v>
      </c>
      <c r="S1558" s="3" t="s">
        <v>31</v>
      </c>
    </row>
    <row r="1559" spans="1:19" x14ac:dyDescent="0.35">
      <c r="A1559" s="3">
        <v>2558</v>
      </c>
      <c r="B1559" s="3" t="s">
        <v>418</v>
      </c>
      <c r="C1559" s="4">
        <v>45455</v>
      </c>
      <c r="D1559" s="3" t="s">
        <v>157</v>
      </c>
      <c r="E1559" s="4">
        <v>45475</v>
      </c>
      <c r="F1559" s="4">
        <v>45478</v>
      </c>
      <c r="G1559" s="3" t="s">
        <v>20</v>
      </c>
      <c r="H1559" s="3" t="s">
        <v>35</v>
      </c>
      <c r="I1559" s="3" t="s">
        <v>39</v>
      </c>
      <c r="J1559" s="3" t="s">
        <v>23</v>
      </c>
      <c r="K1559" s="3">
        <v>20</v>
      </c>
      <c r="L1559" s="3">
        <v>3</v>
      </c>
      <c r="M1559" s="3">
        <v>4526</v>
      </c>
      <c r="N1559" s="3">
        <v>13578</v>
      </c>
      <c r="O1559" s="3">
        <v>13578</v>
      </c>
      <c r="P1559" s="3" t="s">
        <v>24</v>
      </c>
      <c r="Q1559" s="3">
        <v>0</v>
      </c>
      <c r="R1559" s="3" t="str">
        <f t="shared" si="24"/>
        <v>Not Cancelled</v>
      </c>
      <c r="S1559" s="3" t="s">
        <v>25</v>
      </c>
    </row>
    <row r="1560" spans="1:19" x14ac:dyDescent="0.35">
      <c r="A1560" s="3">
        <v>2559</v>
      </c>
      <c r="B1560" s="3" t="s">
        <v>930</v>
      </c>
      <c r="C1560" s="4">
        <v>45438</v>
      </c>
      <c r="D1560" s="3" t="s">
        <v>153</v>
      </c>
      <c r="E1560" s="4">
        <v>45477</v>
      </c>
      <c r="F1560" s="4">
        <v>45479</v>
      </c>
      <c r="G1560" s="3" t="s">
        <v>28</v>
      </c>
      <c r="H1560" s="3" t="s">
        <v>21</v>
      </c>
      <c r="I1560" s="3" t="s">
        <v>22</v>
      </c>
      <c r="J1560" s="3" t="s">
        <v>30</v>
      </c>
      <c r="K1560" s="3">
        <v>39</v>
      </c>
      <c r="L1560" s="3">
        <v>2</v>
      </c>
      <c r="M1560" s="3">
        <v>2893</v>
      </c>
      <c r="N1560" s="3">
        <v>5786</v>
      </c>
      <c r="O1560" s="3">
        <v>5786</v>
      </c>
      <c r="P1560" s="3" t="s">
        <v>51</v>
      </c>
      <c r="Q1560" s="3">
        <v>0</v>
      </c>
      <c r="R1560" s="3" t="str">
        <f t="shared" si="24"/>
        <v>Not Cancelled</v>
      </c>
      <c r="S1560" s="3" t="s">
        <v>25</v>
      </c>
    </row>
    <row r="1561" spans="1:19" x14ac:dyDescent="0.35">
      <c r="A1561" s="3">
        <v>2560</v>
      </c>
      <c r="B1561" s="3" t="s">
        <v>121</v>
      </c>
      <c r="C1561" s="4">
        <v>45355</v>
      </c>
      <c r="D1561" s="3" t="s">
        <v>19</v>
      </c>
      <c r="E1561" s="4">
        <v>45377</v>
      </c>
      <c r="F1561" s="4">
        <v>45380</v>
      </c>
      <c r="G1561" s="3" t="s">
        <v>20</v>
      </c>
      <c r="H1561" s="3" t="s">
        <v>35</v>
      </c>
      <c r="I1561" s="3" t="s">
        <v>39</v>
      </c>
      <c r="J1561" s="3" t="s">
        <v>30</v>
      </c>
      <c r="K1561" s="3">
        <v>22</v>
      </c>
      <c r="L1561" s="3">
        <v>3</v>
      </c>
      <c r="M1561" s="3">
        <v>3343</v>
      </c>
      <c r="N1561" s="3">
        <v>10029</v>
      </c>
      <c r="O1561" s="3">
        <v>0</v>
      </c>
      <c r="P1561" s="3" t="s">
        <v>51</v>
      </c>
      <c r="Q1561" s="3">
        <v>1</v>
      </c>
      <c r="R1561" s="3" t="str">
        <f t="shared" si="24"/>
        <v>Cancelled</v>
      </c>
      <c r="S1561" s="3" t="s">
        <v>31</v>
      </c>
    </row>
    <row r="1562" spans="1:19" x14ac:dyDescent="0.35">
      <c r="A1562" s="3">
        <v>2561</v>
      </c>
      <c r="B1562" s="3" t="s">
        <v>294</v>
      </c>
      <c r="C1562" s="4">
        <v>45382</v>
      </c>
      <c r="D1562" s="3" t="s">
        <v>42</v>
      </c>
      <c r="E1562" s="4">
        <v>45386</v>
      </c>
      <c r="F1562" s="4">
        <v>45387</v>
      </c>
      <c r="G1562" s="3" t="s">
        <v>34</v>
      </c>
      <c r="H1562" s="3" t="s">
        <v>29</v>
      </c>
      <c r="I1562" s="3" t="s">
        <v>22</v>
      </c>
      <c r="J1562" s="3" t="s">
        <v>23</v>
      </c>
      <c r="K1562" s="3">
        <v>4</v>
      </c>
      <c r="L1562" s="3">
        <v>1</v>
      </c>
      <c r="M1562" s="3">
        <v>4024</v>
      </c>
      <c r="N1562" s="3">
        <v>4024</v>
      </c>
      <c r="O1562" s="3">
        <v>4024</v>
      </c>
      <c r="P1562" s="3" t="s">
        <v>51</v>
      </c>
      <c r="Q1562" s="3">
        <v>0</v>
      </c>
      <c r="R1562" s="3" t="str">
        <f t="shared" si="24"/>
        <v>Not Cancelled</v>
      </c>
      <c r="S1562" s="3" t="s">
        <v>25</v>
      </c>
    </row>
    <row r="1563" spans="1:19" x14ac:dyDescent="0.35">
      <c r="A1563" s="3">
        <v>2562</v>
      </c>
      <c r="B1563" s="3" t="s">
        <v>417</v>
      </c>
      <c r="C1563" s="4">
        <v>45408</v>
      </c>
      <c r="D1563" s="3" t="s">
        <v>44</v>
      </c>
      <c r="E1563" s="4">
        <v>45421</v>
      </c>
      <c r="F1563" s="4">
        <v>45425</v>
      </c>
      <c r="G1563" s="3" t="s">
        <v>42</v>
      </c>
      <c r="H1563" s="3" t="s">
        <v>60</v>
      </c>
      <c r="I1563" s="3" t="s">
        <v>39</v>
      </c>
      <c r="J1563" s="3" t="s">
        <v>46</v>
      </c>
      <c r="K1563" s="3">
        <v>13</v>
      </c>
      <c r="L1563" s="3">
        <v>4</v>
      </c>
      <c r="M1563" s="3">
        <v>3103</v>
      </c>
      <c r="N1563" s="3">
        <v>12412</v>
      </c>
      <c r="O1563" s="3">
        <v>0</v>
      </c>
      <c r="P1563" s="3" t="s">
        <v>51</v>
      </c>
      <c r="Q1563" s="3">
        <v>1</v>
      </c>
      <c r="R1563" s="3" t="str">
        <f t="shared" si="24"/>
        <v>Cancelled</v>
      </c>
      <c r="S1563" s="3" t="s">
        <v>31</v>
      </c>
    </row>
    <row r="1564" spans="1:19" x14ac:dyDescent="0.35">
      <c r="A1564" s="3">
        <v>2563</v>
      </c>
      <c r="B1564" s="3" t="s">
        <v>909</v>
      </c>
      <c r="C1564" s="4">
        <v>45645</v>
      </c>
      <c r="D1564" s="3" t="s">
        <v>64</v>
      </c>
      <c r="E1564" s="4">
        <v>45690</v>
      </c>
      <c r="F1564" s="4">
        <v>45692</v>
      </c>
      <c r="G1564" s="3" t="s">
        <v>28</v>
      </c>
      <c r="H1564" s="3" t="s">
        <v>60</v>
      </c>
      <c r="I1564" s="3" t="s">
        <v>39</v>
      </c>
      <c r="J1564" s="3" t="s">
        <v>46</v>
      </c>
      <c r="K1564" s="3">
        <v>45</v>
      </c>
      <c r="L1564" s="3">
        <v>2</v>
      </c>
      <c r="M1564" s="3">
        <v>3081</v>
      </c>
      <c r="N1564" s="3">
        <v>6162</v>
      </c>
      <c r="O1564" s="3">
        <v>0</v>
      </c>
      <c r="P1564" s="3" t="s">
        <v>24</v>
      </c>
      <c r="Q1564" s="3">
        <v>1</v>
      </c>
      <c r="R1564" s="3" t="str">
        <f t="shared" si="24"/>
        <v>Cancelled</v>
      </c>
      <c r="S1564" s="3" t="s">
        <v>25</v>
      </c>
    </row>
    <row r="1565" spans="1:19" x14ac:dyDescent="0.35">
      <c r="A1565" s="3">
        <v>2564</v>
      </c>
      <c r="B1565" s="3" t="s">
        <v>605</v>
      </c>
      <c r="C1565" s="4">
        <v>45558</v>
      </c>
      <c r="D1565" s="3" t="s">
        <v>140</v>
      </c>
      <c r="E1565" s="4">
        <v>45600</v>
      </c>
      <c r="F1565" s="4">
        <v>45605</v>
      </c>
      <c r="G1565" s="3" t="s">
        <v>45</v>
      </c>
      <c r="H1565" s="3" t="s">
        <v>29</v>
      </c>
      <c r="I1565" s="3" t="s">
        <v>39</v>
      </c>
      <c r="J1565" s="3" t="s">
        <v>30</v>
      </c>
      <c r="K1565" s="3">
        <v>42</v>
      </c>
      <c r="L1565" s="3">
        <v>5</v>
      </c>
      <c r="M1565" s="3">
        <v>8638</v>
      </c>
      <c r="N1565" s="3">
        <v>43190</v>
      </c>
      <c r="O1565" s="3">
        <v>0</v>
      </c>
      <c r="P1565" s="3" t="s">
        <v>51</v>
      </c>
      <c r="Q1565" s="3">
        <v>1</v>
      </c>
      <c r="R1565" s="3" t="str">
        <f t="shared" si="24"/>
        <v>Cancelled</v>
      </c>
      <c r="S1565" s="3" t="s">
        <v>31</v>
      </c>
    </row>
    <row r="1566" spans="1:19" x14ac:dyDescent="0.35">
      <c r="A1566" s="3">
        <v>2565</v>
      </c>
      <c r="B1566" s="3" t="s">
        <v>104</v>
      </c>
      <c r="C1566" s="4">
        <v>45601</v>
      </c>
      <c r="D1566" s="3" t="s">
        <v>78</v>
      </c>
      <c r="E1566" s="4">
        <v>45651</v>
      </c>
      <c r="F1566" s="4">
        <v>45652</v>
      </c>
      <c r="G1566" s="3" t="s">
        <v>34</v>
      </c>
      <c r="H1566" s="3" t="s">
        <v>21</v>
      </c>
      <c r="I1566" s="3" t="s">
        <v>22</v>
      </c>
      <c r="J1566" s="3" t="s">
        <v>23</v>
      </c>
      <c r="K1566" s="3">
        <v>50</v>
      </c>
      <c r="L1566" s="3">
        <v>1</v>
      </c>
      <c r="M1566" s="3">
        <v>4439</v>
      </c>
      <c r="N1566" s="3">
        <v>4439</v>
      </c>
      <c r="O1566" s="3">
        <v>0</v>
      </c>
      <c r="P1566" s="3" t="s">
        <v>24</v>
      </c>
      <c r="Q1566" s="3">
        <v>1</v>
      </c>
      <c r="R1566" s="3" t="str">
        <f t="shared" si="24"/>
        <v>Cancelled</v>
      </c>
      <c r="S1566" s="3" t="s">
        <v>25</v>
      </c>
    </row>
    <row r="1567" spans="1:19" x14ac:dyDescent="0.35">
      <c r="A1567" s="3">
        <v>2566</v>
      </c>
      <c r="B1567" s="3" t="s">
        <v>388</v>
      </c>
      <c r="C1567" s="4">
        <v>45464</v>
      </c>
      <c r="D1567" s="3" t="s">
        <v>211</v>
      </c>
      <c r="E1567" s="4">
        <v>45513</v>
      </c>
      <c r="F1567" s="4">
        <v>45515</v>
      </c>
      <c r="G1567" s="3" t="s">
        <v>28</v>
      </c>
      <c r="H1567" s="3" t="s">
        <v>35</v>
      </c>
      <c r="I1567" s="3" t="s">
        <v>22</v>
      </c>
      <c r="J1567" s="3" t="s">
        <v>30</v>
      </c>
      <c r="K1567" s="3">
        <v>49</v>
      </c>
      <c r="L1567" s="3">
        <v>2</v>
      </c>
      <c r="M1567" s="3">
        <v>2632</v>
      </c>
      <c r="N1567" s="3">
        <v>5264</v>
      </c>
      <c r="O1567" s="3">
        <v>0</v>
      </c>
      <c r="P1567" s="3" t="s">
        <v>24</v>
      </c>
      <c r="Q1567" s="3">
        <v>1</v>
      </c>
      <c r="R1567" s="3" t="str">
        <f t="shared" si="24"/>
        <v>Cancelled</v>
      </c>
      <c r="S1567" s="3" t="s">
        <v>25</v>
      </c>
    </row>
    <row r="1568" spans="1:19" x14ac:dyDescent="0.35">
      <c r="A1568" s="3">
        <v>2567</v>
      </c>
      <c r="B1568" s="3" t="s">
        <v>273</v>
      </c>
      <c r="C1568" s="4">
        <v>45338</v>
      </c>
      <c r="D1568" s="3" t="s">
        <v>157</v>
      </c>
      <c r="E1568" s="4">
        <v>45358</v>
      </c>
      <c r="F1568" s="4">
        <v>45359</v>
      </c>
      <c r="G1568" s="3" t="s">
        <v>34</v>
      </c>
      <c r="H1568" s="3" t="s">
        <v>35</v>
      </c>
      <c r="I1568" s="3" t="s">
        <v>39</v>
      </c>
      <c r="J1568" s="3" t="s">
        <v>30</v>
      </c>
      <c r="K1568" s="3">
        <v>20</v>
      </c>
      <c r="L1568" s="3">
        <v>1</v>
      </c>
      <c r="M1568" s="3">
        <v>5338</v>
      </c>
      <c r="N1568" s="3">
        <v>5338</v>
      </c>
      <c r="O1568" s="3">
        <v>5338</v>
      </c>
      <c r="P1568" s="3" t="s">
        <v>51</v>
      </c>
      <c r="Q1568" s="3">
        <v>0</v>
      </c>
      <c r="R1568" s="3" t="str">
        <f t="shared" si="24"/>
        <v>Not Cancelled</v>
      </c>
      <c r="S1568" s="3" t="s">
        <v>31</v>
      </c>
    </row>
    <row r="1569" spans="1:19" x14ac:dyDescent="0.35">
      <c r="A1569" s="3">
        <v>2568</v>
      </c>
      <c r="B1569" s="3" t="s">
        <v>1050</v>
      </c>
      <c r="C1569" s="4">
        <v>45431</v>
      </c>
      <c r="D1569" s="3" t="s">
        <v>226</v>
      </c>
      <c r="E1569" s="4">
        <v>45483</v>
      </c>
      <c r="F1569" s="4">
        <v>45488</v>
      </c>
      <c r="G1569" s="3" t="s">
        <v>45</v>
      </c>
      <c r="H1569" s="3" t="s">
        <v>60</v>
      </c>
      <c r="I1569" s="3" t="s">
        <v>22</v>
      </c>
      <c r="J1569" s="3" t="s">
        <v>46</v>
      </c>
      <c r="K1569" s="3">
        <v>52</v>
      </c>
      <c r="L1569" s="3">
        <v>5</v>
      </c>
      <c r="M1569" s="3">
        <v>5885</v>
      </c>
      <c r="N1569" s="3">
        <v>29425</v>
      </c>
      <c r="O1569" s="3">
        <v>0</v>
      </c>
      <c r="P1569" s="3" t="s">
        <v>51</v>
      </c>
      <c r="Q1569" s="3">
        <v>1</v>
      </c>
      <c r="R1569" s="3" t="str">
        <f t="shared" si="24"/>
        <v>Cancelled</v>
      </c>
      <c r="S1569" s="3" t="s">
        <v>25</v>
      </c>
    </row>
    <row r="1570" spans="1:19" x14ac:dyDescent="0.35">
      <c r="A1570" s="3">
        <v>2569</v>
      </c>
      <c r="B1570" s="3" t="s">
        <v>90</v>
      </c>
      <c r="C1570" s="4">
        <v>45537</v>
      </c>
      <c r="D1570" s="3" t="s">
        <v>44</v>
      </c>
      <c r="E1570" s="4">
        <v>45550</v>
      </c>
      <c r="F1570" s="4">
        <v>45552</v>
      </c>
      <c r="G1570" s="3" t="s">
        <v>28</v>
      </c>
      <c r="H1570" s="3" t="s">
        <v>21</v>
      </c>
      <c r="I1570" s="3" t="s">
        <v>22</v>
      </c>
      <c r="J1570" s="3" t="s">
        <v>46</v>
      </c>
      <c r="K1570" s="3">
        <v>13</v>
      </c>
      <c r="L1570" s="3">
        <v>2</v>
      </c>
      <c r="M1570" s="3">
        <v>6270</v>
      </c>
      <c r="N1570" s="3">
        <v>12540</v>
      </c>
      <c r="O1570" s="3">
        <v>12540</v>
      </c>
      <c r="P1570" s="3" t="s">
        <v>24</v>
      </c>
      <c r="Q1570" s="3">
        <v>0</v>
      </c>
      <c r="R1570" s="3" t="str">
        <f t="shared" si="24"/>
        <v>Not Cancelled</v>
      </c>
      <c r="S1570" s="3" t="s">
        <v>31</v>
      </c>
    </row>
    <row r="1571" spans="1:19" x14ac:dyDescent="0.35">
      <c r="A1571" s="3">
        <v>2570</v>
      </c>
      <c r="B1571" s="3" t="s">
        <v>493</v>
      </c>
      <c r="C1571" s="4">
        <v>45440</v>
      </c>
      <c r="D1571" s="3" t="s">
        <v>71</v>
      </c>
      <c r="E1571" s="4">
        <v>45457</v>
      </c>
      <c r="F1571" s="4">
        <v>45462</v>
      </c>
      <c r="G1571" s="3" t="s">
        <v>45</v>
      </c>
      <c r="H1571" s="3" t="s">
        <v>21</v>
      </c>
      <c r="I1571" s="3" t="s">
        <v>39</v>
      </c>
      <c r="J1571" s="3" t="s">
        <v>46</v>
      </c>
      <c r="K1571" s="3">
        <v>17</v>
      </c>
      <c r="L1571" s="3">
        <v>5</v>
      </c>
      <c r="M1571" s="3">
        <v>4768</v>
      </c>
      <c r="N1571" s="3">
        <v>23840</v>
      </c>
      <c r="O1571" s="3">
        <v>0</v>
      </c>
      <c r="P1571" s="3" t="s">
        <v>24</v>
      </c>
      <c r="Q1571" s="3">
        <v>1</v>
      </c>
      <c r="R1571" s="3" t="str">
        <f t="shared" si="24"/>
        <v>Cancelled</v>
      </c>
      <c r="S1571" s="3" t="s">
        <v>25</v>
      </c>
    </row>
    <row r="1572" spans="1:19" x14ac:dyDescent="0.35">
      <c r="A1572" s="3">
        <v>2571</v>
      </c>
      <c r="B1572" s="3" t="s">
        <v>1051</v>
      </c>
      <c r="C1572" s="4">
        <v>45537</v>
      </c>
      <c r="D1572" s="3" t="s">
        <v>117</v>
      </c>
      <c r="E1572" s="4">
        <v>45591</v>
      </c>
      <c r="F1572" s="4">
        <v>45594</v>
      </c>
      <c r="G1572" s="3" t="s">
        <v>20</v>
      </c>
      <c r="H1572" s="3" t="s">
        <v>21</v>
      </c>
      <c r="I1572" s="3" t="s">
        <v>39</v>
      </c>
      <c r="J1572" s="3" t="s">
        <v>46</v>
      </c>
      <c r="K1572" s="3">
        <v>54</v>
      </c>
      <c r="L1572" s="3">
        <v>3</v>
      </c>
      <c r="M1572" s="3">
        <v>3475</v>
      </c>
      <c r="N1572" s="3">
        <v>10425</v>
      </c>
      <c r="O1572" s="3">
        <v>0</v>
      </c>
      <c r="P1572" s="3" t="s">
        <v>24</v>
      </c>
      <c r="Q1572" s="3">
        <v>1</v>
      </c>
      <c r="R1572" s="3" t="str">
        <f t="shared" si="24"/>
        <v>Cancelled</v>
      </c>
      <c r="S1572" s="3" t="s">
        <v>31</v>
      </c>
    </row>
    <row r="1573" spans="1:19" x14ac:dyDescent="0.35">
      <c r="A1573" s="3">
        <v>2572</v>
      </c>
      <c r="B1573" s="3" t="s">
        <v>1052</v>
      </c>
      <c r="C1573" s="4">
        <v>45296</v>
      </c>
      <c r="D1573" s="3" t="s">
        <v>146</v>
      </c>
      <c r="E1573" s="4">
        <v>45332</v>
      </c>
      <c r="F1573" s="4">
        <v>45337</v>
      </c>
      <c r="G1573" s="3" t="s">
        <v>45</v>
      </c>
      <c r="H1573" s="3" t="s">
        <v>35</v>
      </c>
      <c r="I1573" s="3" t="s">
        <v>39</v>
      </c>
      <c r="J1573" s="3" t="s">
        <v>46</v>
      </c>
      <c r="K1573" s="3">
        <v>36</v>
      </c>
      <c r="L1573" s="3">
        <v>5</v>
      </c>
      <c r="M1573" s="3">
        <v>4313</v>
      </c>
      <c r="N1573" s="3">
        <v>21565</v>
      </c>
      <c r="O1573" s="3">
        <v>0</v>
      </c>
      <c r="P1573" s="3" t="s">
        <v>51</v>
      </c>
      <c r="Q1573" s="3">
        <v>1</v>
      </c>
      <c r="R1573" s="3" t="str">
        <f t="shared" si="24"/>
        <v>Cancelled</v>
      </c>
      <c r="S1573" s="3" t="s">
        <v>25</v>
      </c>
    </row>
    <row r="1574" spans="1:19" x14ac:dyDescent="0.35">
      <c r="A1574" s="3">
        <v>2573</v>
      </c>
      <c r="B1574" s="3" t="s">
        <v>685</v>
      </c>
      <c r="C1574" s="4">
        <v>45475</v>
      </c>
      <c r="D1574" s="3" t="s">
        <v>69</v>
      </c>
      <c r="E1574" s="4">
        <v>45508</v>
      </c>
      <c r="F1574" s="4">
        <v>45511</v>
      </c>
      <c r="G1574" s="3" t="s">
        <v>20</v>
      </c>
      <c r="H1574" s="3" t="s">
        <v>21</v>
      </c>
      <c r="I1574" s="3" t="s">
        <v>39</v>
      </c>
      <c r="J1574" s="3" t="s">
        <v>23</v>
      </c>
      <c r="K1574" s="3">
        <v>33</v>
      </c>
      <c r="L1574" s="3">
        <v>3</v>
      </c>
      <c r="M1574" s="3">
        <v>5763</v>
      </c>
      <c r="N1574" s="3">
        <v>17289</v>
      </c>
      <c r="O1574" s="3">
        <v>0</v>
      </c>
      <c r="P1574" s="3" t="s">
        <v>51</v>
      </c>
      <c r="Q1574" s="3">
        <v>1</v>
      </c>
      <c r="R1574" s="3" t="str">
        <f t="shared" si="24"/>
        <v>Cancelled</v>
      </c>
      <c r="S1574" s="3" t="s">
        <v>25</v>
      </c>
    </row>
    <row r="1575" spans="1:19" x14ac:dyDescent="0.35">
      <c r="A1575" s="3">
        <v>2574</v>
      </c>
      <c r="B1575" s="3" t="s">
        <v>1053</v>
      </c>
      <c r="C1575" s="4">
        <v>45311</v>
      </c>
      <c r="D1575" s="3" t="s">
        <v>34</v>
      </c>
      <c r="E1575" s="4">
        <v>45312</v>
      </c>
      <c r="F1575" s="4">
        <v>45314</v>
      </c>
      <c r="G1575" s="3" t="s">
        <v>28</v>
      </c>
      <c r="H1575" s="3" t="s">
        <v>29</v>
      </c>
      <c r="I1575" s="3" t="s">
        <v>22</v>
      </c>
      <c r="J1575" s="3" t="s">
        <v>30</v>
      </c>
      <c r="K1575" s="3">
        <v>1</v>
      </c>
      <c r="L1575" s="3">
        <v>2</v>
      </c>
      <c r="M1575" s="3">
        <v>4043</v>
      </c>
      <c r="N1575" s="3">
        <v>8086</v>
      </c>
      <c r="O1575" s="3">
        <v>0</v>
      </c>
      <c r="P1575" s="3" t="s">
        <v>24</v>
      </c>
      <c r="Q1575" s="3">
        <v>1</v>
      </c>
      <c r="R1575" s="3" t="str">
        <f t="shared" si="24"/>
        <v>Cancelled</v>
      </c>
      <c r="S1575" s="3" t="s">
        <v>25</v>
      </c>
    </row>
    <row r="1576" spans="1:19" x14ac:dyDescent="0.35">
      <c r="A1576" s="3">
        <v>2575</v>
      </c>
      <c r="B1576" s="3" t="s">
        <v>1054</v>
      </c>
      <c r="C1576" s="4">
        <v>45337</v>
      </c>
      <c r="D1576" s="3" t="s">
        <v>277</v>
      </c>
      <c r="E1576" s="4">
        <v>45352</v>
      </c>
      <c r="F1576" s="4">
        <v>45355</v>
      </c>
      <c r="G1576" s="3" t="s">
        <v>20</v>
      </c>
      <c r="H1576" s="3" t="s">
        <v>38</v>
      </c>
      <c r="I1576" s="3" t="s">
        <v>22</v>
      </c>
      <c r="J1576" s="3" t="s">
        <v>23</v>
      </c>
      <c r="K1576" s="3">
        <v>15</v>
      </c>
      <c r="L1576" s="3">
        <v>3</v>
      </c>
      <c r="M1576" s="3">
        <v>5335</v>
      </c>
      <c r="N1576" s="3">
        <v>16005</v>
      </c>
      <c r="O1576" s="3">
        <v>16005</v>
      </c>
      <c r="P1576" s="3" t="s">
        <v>24</v>
      </c>
      <c r="Q1576" s="3">
        <v>0</v>
      </c>
      <c r="R1576" s="3" t="str">
        <f t="shared" si="24"/>
        <v>Not Cancelled</v>
      </c>
      <c r="S1576" s="3" t="s">
        <v>31</v>
      </c>
    </row>
    <row r="1577" spans="1:19" x14ac:dyDescent="0.35">
      <c r="A1577" s="3">
        <v>2576</v>
      </c>
      <c r="B1577" s="3" t="s">
        <v>1055</v>
      </c>
      <c r="C1577" s="4">
        <v>45303</v>
      </c>
      <c r="D1577" s="3" t="s">
        <v>44</v>
      </c>
      <c r="E1577" s="4">
        <v>45316</v>
      </c>
      <c r="F1577" s="4">
        <v>45318</v>
      </c>
      <c r="G1577" s="3" t="s">
        <v>28</v>
      </c>
      <c r="H1577" s="3" t="s">
        <v>21</v>
      </c>
      <c r="I1577" s="3" t="s">
        <v>22</v>
      </c>
      <c r="J1577" s="3" t="s">
        <v>30</v>
      </c>
      <c r="K1577" s="3">
        <v>13</v>
      </c>
      <c r="L1577" s="3">
        <v>2</v>
      </c>
      <c r="M1577" s="3">
        <v>5238</v>
      </c>
      <c r="N1577" s="3">
        <v>10476</v>
      </c>
      <c r="O1577" s="3">
        <v>10476</v>
      </c>
      <c r="P1577" s="3" t="s">
        <v>24</v>
      </c>
      <c r="Q1577" s="3">
        <v>0</v>
      </c>
      <c r="R1577" s="3" t="str">
        <f t="shared" si="24"/>
        <v>Not Cancelled</v>
      </c>
      <c r="S1577" s="3" t="s">
        <v>31</v>
      </c>
    </row>
    <row r="1578" spans="1:19" x14ac:dyDescent="0.35">
      <c r="A1578" s="3">
        <v>2577</v>
      </c>
      <c r="B1578" s="3" t="s">
        <v>420</v>
      </c>
      <c r="C1578" s="4">
        <v>45361</v>
      </c>
      <c r="D1578" s="3" t="s">
        <v>71</v>
      </c>
      <c r="E1578" s="4">
        <v>45378</v>
      </c>
      <c r="F1578" s="4">
        <v>45380</v>
      </c>
      <c r="G1578" s="3" t="s">
        <v>28</v>
      </c>
      <c r="H1578" s="3" t="s">
        <v>38</v>
      </c>
      <c r="I1578" s="3" t="s">
        <v>22</v>
      </c>
      <c r="J1578" s="3" t="s">
        <v>46</v>
      </c>
      <c r="K1578" s="3">
        <v>17</v>
      </c>
      <c r="L1578" s="3">
        <v>2</v>
      </c>
      <c r="M1578" s="3">
        <v>3857</v>
      </c>
      <c r="N1578" s="3">
        <v>7714</v>
      </c>
      <c r="O1578" s="3">
        <v>7714</v>
      </c>
      <c r="P1578" s="3" t="s">
        <v>51</v>
      </c>
      <c r="Q1578" s="3">
        <v>0</v>
      </c>
      <c r="R1578" s="3" t="str">
        <f t="shared" si="24"/>
        <v>Not Cancelled</v>
      </c>
      <c r="S1578" s="3" t="s">
        <v>31</v>
      </c>
    </row>
    <row r="1579" spans="1:19" x14ac:dyDescent="0.35">
      <c r="A1579" s="3">
        <v>2578</v>
      </c>
      <c r="B1579" s="3" t="s">
        <v>268</v>
      </c>
      <c r="C1579" s="4">
        <v>45308</v>
      </c>
      <c r="D1579" s="3" t="s">
        <v>159</v>
      </c>
      <c r="E1579" s="4">
        <v>45332</v>
      </c>
      <c r="F1579" s="4">
        <v>45336</v>
      </c>
      <c r="G1579" s="3" t="s">
        <v>42</v>
      </c>
      <c r="H1579" s="3" t="s">
        <v>35</v>
      </c>
      <c r="I1579" s="3" t="s">
        <v>22</v>
      </c>
      <c r="J1579" s="3" t="s">
        <v>23</v>
      </c>
      <c r="K1579" s="3">
        <v>24</v>
      </c>
      <c r="L1579" s="3">
        <v>4</v>
      </c>
      <c r="M1579" s="3">
        <v>6634</v>
      </c>
      <c r="N1579" s="3">
        <v>26536</v>
      </c>
      <c r="O1579" s="3">
        <v>0</v>
      </c>
      <c r="P1579" s="3" t="s">
        <v>51</v>
      </c>
      <c r="Q1579" s="3">
        <v>1</v>
      </c>
      <c r="R1579" s="3" t="str">
        <f t="shared" si="24"/>
        <v>Cancelled</v>
      </c>
      <c r="S1579" s="3" t="s">
        <v>31</v>
      </c>
    </row>
    <row r="1580" spans="1:19" x14ac:dyDescent="0.35">
      <c r="A1580" s="3">
        <v>2579</v>
      </c>
      <c r="B1580" s="3" t="s">
        <v>1056</v>
      </c>
      <c r="C1580" s="4">
        <v>45438</v>
      </c>
      <c r="D1580" s="3" t="s">
        <v>237</v>
      </c>
      <c r="E1580" s="4">
        <v>45496</v>
      </c>
      <c r="F1580" s="4">
        <v>45498</v>
      </c>
      <c r="G1580" s="3" t="s">
        <v>28</v>
      </c>
      <c r="H1580" s="3" t="s">
        <v>21</v>
      </c>
      <c r="I1580" s="3" t="s">
        <v>22</v>
      </c>
      <c r="J1580" s="3" t="s">
        <v>30</v>
      </c>
      <c r="K1580" s="3">
        <v>58</v>
      </c>
      <c r="L1580" s="3">
        <v>2</v>
      </c>
      <c r="M1580" s="3">
        <v>3816</v>
      </c>
      <c r="N1580" s="3">
        <v>7632</v>
      </c>
      <c r="O1580" s="3">
        <v>7632</v>
      </c>
      <c r="P1580" s="3" t="s">
        <v>24</v>
      </c>
      <c r="Q1580" s="3">
        <v>0</v>
      </c>
      <c r="R1580" s="3" t="str">
        <f t="shared" si="24"/>
        <v>Not Cancelled</v>
      </c>
      <c r="S1580" s="3" t="s">
        <v>31</v>
      </c>
    </row>
    <row r="1581" spans="1:19" x14ac:dyDescent="0.35">
      <c r="A1581" s="3">
        <v>2580</v>
      </c>
      <c r="B1581" s="3" t="s">
        <v>714</v>
      </c>
      <c r="C1581" s="4">
        <v>45445</v>
      </c>
      <c r="D1581" s="3" t="s">
        <v>59</v>
      </c>
      <c r="E1581" s="4">
        <v>45453</v>
      </c>
      <c r="F1581" s="4">
        <v>45456</v>
      </c>
      <c r="G1581" s="3" t="s">
        <v>20</v>
      </c>
      <c r="H1581" s="3" t="s">
        <v>60</v>
      </c>
      <c r="I1581" s="3" t="s">
        <v>39</v>
      </c>
      <c r="J1581" s="3" t="s">
        <v>46</v>
      </c>
      <c r="K1581" s="3">
        <v>8</v>
      </c>
      <c r="L1581" s="3">
        <v>3</v>
      </c>
      <c r="M1581" s="3">
        <v>2661</v>
      </c>
      <c r="N1581" s="3">
        <v>7983</v>
      </c>
      <c r="O1581" s="3">
        <v>7983</v>
      </c>
      <c r="P1581" s="3" t="s">
        <v>51</v>
      </c>
      <c r="Q1581" s="3">
        <v>0</v>
      </c>
      <c r="R1581" s="3" t="str">
        <f t="shared" si="24"/>
        <v>Not Cancelled</v>
      </c>
      <c r="S1581" s="3" t="s">
        <v>25</v>
      </c>
    </row>
    <row r="1582" spans="1:19" x14ac:dyDescent="0.35">
      <c r="A1582" s="3">
        <v>2581</v>
      </c>
      <c r="B1582" s="3" t="s">
        <v>1057</v>
      </c>
      <c r="C1582" s="4">
        <v>45595</v>
      </c>
      <c r="D1582" s="3" t="s">
        <v>78</v>
      </c>
      <c r="E1582" s="4">
        <v>45645</v>
      </c>
      <c r="F1582" s="4">
        <v>45649</v>
      </c>
      <c r="G1582" s="3" t="s">
        <v>42</v>
      </c>
      <c r="H1582" s="3" t="s">
        <v>35</v>
      </c>
      <c r="I1582" s="3" t="s">
        <v>22</v>
      </c>
      <c r="J1582" s="3" t="s">
        <v>46</v>
      </c>
      <c r="K1582" s="3">
        <v>50</v>
      </c>
      <c r="L1582" s="3">
        <v>4</v>
      </c>
      <c r="M1582" s="3">
        <v>4409</v>
      </c>
      <c r="N1582" s="3">
        <v>17636</v>
      </c>
      <c r="O1582" s="3">
        <v>0</v>
      </c>
      <c r="P1582" s="3" t="s">
        <v>24</v>
      </c>
      <c r="Q1582" s="3">
        <v>1</v>
      </c>
      <c r="R1582" s="3" t="str">
        <f t="shared" si="24"/>
        <v>Cancelled</v>
      </c>
      <c r="S1582" s="3" t="s">
        <v>25</v>
      </c>
    </row>
    <row r="1583" spans="1:19" x14ac:dyDescent="0.35">
      <c r="A1583" s="3">
        <v>2582</v>
      </c>
      <c r="B1583" s="3" t="s">
        <v>1058</v>
      </c>
      <c r="C1583" s="4">
        <v>45399</v>
      </c>
      <c r="D1583" s="3" t="s">
        <v>185</v>
      </c>
      <c r="E1583" s="4">
        <v>45426</v>
      </c>
      <c r="F1583" s="4">
        <v>45430</v>
      </c>
      <c r="G1583" s="3" t="s">
        <v>42</v>
      </c>
      <c r="H1583" s="3" t="s">
        <v>29</v>
      </c>
      <c r="I1583" s="3" t="s">
        <v>22</v>
      </c>
      <c r="J1583" s="3" t="s">
        <v>23</v>
      </c>
      <c r="K1583" s="3">
        <v>27</v>
      </c>
      <c r="L1583" s="3">
        <v>4</v>
      </c>
      <c r="M1583" s="3">
        <v>3627</v>
      </c>
      <c r="N1583" s="3">
        <v>14508</v>
      </c>
      <c r="O1583" s="3">
        <v>14508</v>
      </c>
      <c r="P1583" s="3" t="s">
        <v>51</v>
      </c>
      <c r="Q1583" s="3">
        <v>0</v>
      </c>
      <c r="R1583" s="3" t="str">
        <f t="shared" si="24"/>
        <v>Not Cancelled</v>
      </c>
      <c r="S1583" s="3" t="s">
        <v>25</v>
      </c>
    </row>
    <row r="1584" spans="1:19" x14ac:dyDescent="0.35">
      <c r="A1584" s="3">
        <v>2583</v>
      </c>
      <c r="B1584" s="3" t="s">
        <v>1059</v>
      </c>
      <c r="C1584" s="4">
        <v>45527</v>
      </c>
      <c r="D1584" s="3" t="s">
        <v>64</v>
      </c>
      <c r="E1584" s="4">
        <v>45572</v>
      </c>
      <c r="F1584" s="4">
        <v>45574</v>
      </c>
      <c r="G1584" s="3" t="s">
        <v>28</v>
      </c>
      <c r="H1584" s="3" t="s">
        <v>29</v>
      </c>
      <c r="I1584" s="3" t="s">
        <v>22</v>
      </c>
      <c r="J1584" s="3" t="s">
        <v>23</v>
      </c>
      <c r="K1584" s="3">
        <v>45</v>
      </c>
      <c r="L1584" s="3">
        <v>2</v>
      </c>
      <c r="M1584" s="3">
        <v>8804</v>
      </c>
      <c r="N1584" s="3">
        <v>17608</v>
      </c>
      <c r="O1584" s="3">
        <v>0</v>
      </c>
      <c r="P1584" s="3" t="s">
        <v>24</v>
      </c>
      <c r="Q1584" s="3">
        <v>1</v>
      </c>
      <c r="R1584" s="3" t="str">
        <f t="shared" si="24"/>
        <v>Cancelled</v>
      </c>
      <c r="S1584" s="3" t="s">
        <v>25</v>
      </c>
    </row>
    <row r="1585" spans="1:19" x14ac:dyDescent="0.35">
      <c r="A1585" s="3">
        <v>2584</v>
      </c>
      <c r="B1585" s="3" t="s">
        <v>1060</v>
      </c>
      <c r="C1585" s="4">
        <v>45599</v>
      </c>
      <c r="D1585" s="3" t="s">
        <v>111</v>
      </c>
      <c r="E1585" s="4">
        <v>45622</v>
      </c>
      <c r="F1585" s="4">
        <v>45627</v>
      </c>
      <c r="G1585" s="3" t="s">
        <v>45</v>
      </c>
      <c r="H1585" s="3" t="s">
        <v>38</v>
      </c>
      <c r="I1585" s="3" t="s">
        <v>39</v>
      </c>
      <c r="J1585" s="3" t="s">
        <v>23</v>
      </c>
      <c r="K1585" s="3">
        <v>23</v>
      </c>
      <c r="L1585" s="3">
        <v>5</v>
      </c>
      <c r="M1585" s="3">
        <v>6370</v>
      </c>
      <c r="N1585" s="3">
        <v>31850</v>
      </c>
      <c r="O1585" s="3">
        <v>0</v>
      </c>
      <c r="P1585" s="3" t="s">
        <v>51</v>
      </c>
      <c r="Q1585" s="3">
        <v>1</v>
      </c>
      <c r="R1585" s="3" t="str">
        <f t="shared" si="24"/>
        <v>Cancelled</v>
      </c>
      <c r="S1585" s="3" t="s">
        <v>25</v>
      </c>
    </row>
    <row r="1586" spans="1:19" x14ac:dyDescent="0.35">
      <c r="A1586" s="3">
        <v>2585</v>
      </c>
      <c r="B1586" s="3" t="s">
        <v>850</v>
      </c>
      <c r="C1586" s="4">
        <v>45643</v>
      </c>
      <c r="D1586" s="3" t="s">
        <v>41</v>
      </c>
      <c r="E1586" s="4">
        <v>45689</v>
      </c>
      <c r="F1586" s="4">
        <v>45694</v>
      </c>
      <c r="G1586" s="3" t="s">
        <v>45</v>
      </c>
      <c r="H1586" s="3" t="s">
        <v>38</v>
      </c>
      <c r="I1586" s="3" t="s">
        <v>39</v>
      </c>
      <c r="J1586" s="3" t="s">
        <v>46</v>
      </c>
      <c r="K1586" s="3">
        <v>46</v>
      </c>
      <c r="L1586" s="3">
        <v>5</v>
      </c>
      <c r="M1586" s="3">
        <v>4158</v>
      </c>
      <c r="N1586" s="3">
        <v>20790</v>
      </c>
      <c r="O1586" s="3">
        <v>0</v>
      </c>
      <c r="P1586" s="3" t="s">
        <v>51</v>
      </c>
      <c r="Q1586" s="3">
        <v>1</v>
      </c>
      <c r="R1586" s="3" t="str">
        <f t="shared" si="24"/>
        <v>Cancelled</v>
      </c>
      <c r="S1586" s="3" t="s">
        <v>31</v>
      </c>
    </row>
    <row r="1587" spans="1:19" x14ac:dyDescent="0.35">
      <c r="A1587" s="3">
        <v>2586</v>
      </c>
      <c r="B1587" s="3" t="s">
        <v>885</v>
      </c>
      <c r="C1587" s="4">
        <v>45361</v>
      </c>
      <c r="D1587" s="3" t="s">
        <v>59</v>
      </c>
      <c r="E1587" s="4">
        <v>45369</v>
      </c>
      <c r="F1587" s="4">
        <v>45373</v>
      </c>
      <c r="G1587" s="3" t="s">
        <v>42</v>
      </c>
      <c r="H1587" s="3" t="s">
        <v>60</v>
      </c>
      <c r="I1587" s="3" t="s">
        <v>22</v>
      </c>
      <c r="J1587" s="3" t="s">
        <v>30</v>
      </c>
      <c r="K1587" s="3">
        <v>8</v>
      </c>
      <c r="L1587" s="3">
        <v>4</v>
      </c>
      <c r="M1587" s="3">
        <v>5625</v>
      </c>
      <c r="N1587" s="3">
        <v>22500</v>
      </c>
      <c r="O1587" s="3">
        <v>22500</v>
      </c>
      <c r="P1587" s="3" t="s">
        <v>51</v>
      </c>
      <c r="Q1587" s="3">
        <v>0</v>
      </c>
      <c r="R1587" s="3" t="str">
        <f t="shared" si="24"/>
        <v>Not Cancelled</v>
      </c>
      <c r="S1587" s="3" t="s">
        <v>25</v>
      </c>
    </row>
    <row r="1588" spans="1:19" x14ac:dyDescent="0.35">
      <c r="A1588" s="3">
        <v>2587</v>
      </c>
      <c r="B1588" s="3" t="s">
        <v>683</v>
      </c>
      <c r="C1588" s="4">
        <v>45474</v>
      </c>
      <c r="D1588" s="3" t="s">
        <v>59</v>
      </c>
      <c r="E1588" s="4">
        <v>45482</v>
      </c>
      <c r="F1588" s="4">
        <v>45484</v>
      </c>
      <c r="G1588" s="3" t="s">
        <v>28</v>
      </c>
      <c r="H1588" s="3" t="s">
        <v>60</v>
      </c>
      <c r="I1588" s="3" t="s">
        <v>39</v>
      </c>
      <c r="J1588" s="3" t="s">
        <v>30</v>
      </c>
      <c r="K1588" s="3">
        <v>8</v>
      </c>
      <c r="L1588" s="3">
        <v>2</v>
      </c>
      <c r="M1588" s="3">
        <v>4463</v>
      </c>
      <c r="N1588" s="3">
        <v>8926</v>
      </c>
      <c r="O1588" s="3">
        <v>8926</v>
      </c>
      <c r="P1588" s="3" t="s">
        <v>51</v>
      </c>
      <c r="Q1588" s="3">
        <v>0</v>
      </c>
      <c r="R1588" s="3" t="str">
        <f t="shared" si="24"/>
        <v>Not Cancelled</v>
      </c>
      <c r="S1588" s="3" t="s">
        <v>31</v>
      </c>
    </row>
    <row r="1589" spans="1:19" x14ac:dyDescent="0.35">
      <c r="A1589" s="3">
        <v>2588</v>
      </c>
      <c r="B1589" s="3" t="s">
        <v>1061</v>
      </c>
      <c r="C1589" s="4">
        <v>45541</v>
      </c>
      <c r="D1589" s="3" t="s">
        <v>96</v>
      </c>
      <c r="E1589" s="4">
        <v>45600</v>
      </c>
      <c r="F1589" s="4">
        <v>45605</v>
      </c>
      <c r="G1589" s="3" t="s">
        <v>45</v>
      </c>
      <c r="H1589" s="3" t="s">
        <v>29</v>
      </c>
      <c r="I1589" s="3" t="s">
        <v>39</v>
      </c>
      <c r="J1589" s="3" t="s">
        <v>23</v>
      </c>
      <c r="K1589" s="3">
        <v>59</v>
      </c>
      <c r="L1589" s="3">
        <v>5</v>
      </c>
      <c r="M1589" s="3">
        <v>7653</v>
      </c>
      <c r="N1589" s="3">
        <v>38265</v>
      </c>
      <c r="O1589" s="3">
        <v>0</v>
      </c>
      <c r="P1589" s="3" t="s">
        <v>51</v>
      </c>
      <c r="Q1589" s="3">
        <v>1</v>
      </c>
      <c r="R1589" s="3" t="str">
        <f t="shared" si="24"/>
        <v>Cancelled</v>
      </c>
      <c r="S1589" s="3" t="s">
        <v>25</v>
      </c>
    </row>
    <row r="1590" spans="1:19" x14ac:dyDescent="0.35">
      <c r="A1590" s="3">
        <v>2589</v>
      </c>
      <c r="B1590" s="3" t="s">
        <v>504</v>
      </c>
      <c r="C1590" s="4">
        <v>45519</v>
      </c>
      <c r="D1590" s="3" t="s">
        <v>98</v>
      </c>
      <c r="E1590" s="4">
        <v>45545</v>
      </c>
      <c r="F1590" s="4">
        <v>45547</v>
      </c>
      <c r="G1590" s="3" t="s">
        <v>28</v>
      </c>
      <c r="H1590" s="3" t="s">
        <v>21</v>
      </c>
      <c r="I1590" s="3" t="s">
        <v>22</v>
      </c>
      <c r="J1590" s="3" t="s">
        <v>30</v>
      </c>
      <c r="K1590" s="3">
        <v>26</v>
      </c>
      <c r="L1590" s="3">
        <v>2</v>
      </c>
      <c r="M1590" s="3">
        <v>4789</v>
      </c>
      <c r="N1590" s="3">
        <v>9578</v>
      </c>
      <c r="O1590" s="3">
        <v>9578</v>
      </c>
      <c r="P1590" s="3" t="s">
        <v>51</v>
      </c>
      <c r="Q1590" s="3">
        <v>0</v>
      </c>
      <c r="R1590" s="3" t="str">
        <f t="shared" si="24"/>
        <v>Not Cancelled</v>
      </c>
      <c r="S1590" s="3" t="s">
        <v>31</v>
      </c>
    </row>
    <row r="1591" spans="1:19" x14ac:dyDescent="0.35">
      <c r="A1591" s="3">
        <v>2590</v>
      </c>
      <c r="B1591" s="3" t="s">
        <v>1062</v>
      </c>
      <c r="C1591" s="4">
        <v>45393</v>
      </c>
      <c r="D1591" s="3" t="s">
        <v>148</v>
      </c>
      <c r="E1591" s="4">
        <v>45440</v>
      </c>
      <c r="F1591" s="4">
        <v>45442</v>
      </c>
      <c r="G1591" s="3" t="s">
        <v>28</v>
      </c>
      <c r="H1591" s="3" t="s">
        <v>29</v>
      </c>
      <c r="I1591" s="3" t="s">
        <v>22</v>
      </c>
      <c r="J1591" s="3" t="s">
        <v>46</v>
      </c>
      <c r="K1591" s="3">
        <v>47</v>
      </c>
      <c r="L1591" s="3">
        <v>2</v>
      </c>
      <c r="M1591" s="3">
        <v>3466</v>
      </c>
      <c r="N1591" s="3">
        <v>6932</v>
      </c>
      <c r="O1591" s="3">
        <v>6932</v>
      </c>
      <c r="P1591" s="3" t="s">
        <v>51</v>
      </c>
      <c r="Q1591" s="3">
        <v>0</v>
      </c>
      <c r="R1591" s="3" t="str">
        <f t="shared" si="24"/>
        <v>Not Cancelled</v>
      </c>
      <c r="S1591" s="3" t="s">
        <v>31</v>
      </c>
    </row>
    <row r="1592" spans="1:19" x14ac:dyDescent="0.35">
      <c r="A1592" s="3">
        <v>2591</v>
      </c>
      <c r="B1592" s="3" t="s">
        <v>1063</v>
      </c>
      <c r="C1592" s="4">
        <v>45366</v>
      </c>
      <c r="D1592" s="3" t="s">
        <v>96</v>
      </c>
      <c r="E1592" s="4">
        <v>45425</v>
      </c>
      <c r="F1592" s="4">
        <v>45429</v>
      </c>
      <c r="G1592" s="3" t="s">
        <v>42</v>
      </c>
      <c r="H1592" s="3" t="s">
        <v>29</v>
      </c>
      <c r="I1592" s="3" t="s">
        <v>22</v>
      </c>
      <c r="J1592" s="3" t="s">
        <v>30</v>
      </c>
      <c r="K1592" s="3">
        <v>59</v>
      </c>
      <c r="L1592" s="3">
        <v>4</v>
      </c>
      <c r="M1592" s="3">
        <v>3389</v>
      </c>
      <c r="N1592" s="3">
        <v>13556</v>
      </c>
      <c r="O1592" s="3">
        <v>13556</v>
      </c>
      <c r="P1592" s="3" t="s">
        <v>24</v>
      </c>
      <c r="Q1592" s="3">
        <v>0</v>
      </c>
      <c r="R1592" s="3" t="str">
        <f t="shared" si="24"/>
        <v>Not Cancelled</v>
      </c>
      <c r="S1592" s="3" t="s">
        <v>31</v>
      </c>
    </row>
    <row r="1593" spans="1:19" x14ac:dyDescent="0.35">
      <c r="A1593" s="3">
        <v>2592</v>
      </c>
      <c r="B1593" s="3" t="s">
        <v>1064</v>
      </c>
      <c r="C1593" s="4">
        <v>45507</v>
      </c>
      <c r="D1593" s="3" t="s">
        <v>44</v>
      </c>
      <c r="E1593" s="4">
        <v>45520</v>
      </c>
      <c r="F1593" s="4">
        <v>45524</v>
      </c>
      <c r="G1593" s="3" t="s">
        <v>42</v>
      </c>
      <c r="H1593" s="3" t="s">
        <v>60</v>
      </c>
      <c r="I1593" s="3" t="s">
        <v>39</v>
      </c>
      <c r="J1593" s="3" t="s">
        <v>46</v>
      </c>
      <c r="K1593" s="3">
        <v>13</v>
      </c>
      <c r="L1593" s="3">
        <v>4</v>
      </c>
      <c r="M1593" s="3">
        <v>8756</v>
      </c>
      <c r="N1593" s="3">
        <v>35024</v>
      </c>
      <c r="O1593" s="3">
        <v>35024</v>
      </c>
      <c r="P1593" s="3" t="s">
        <v>24</v>
      </c>
      <c r="Q1593" s="3">
        <v>0</v>
      </c>
      <c r="R1593" s="3" t="str">
        <f t="shared" si="24"/>
        <v>Not Cancelled</v>
      </c>
      <c r="S1593" s="3" t="s">
        <v>25</v>
      </c>
    </row>
    <row r="1594" spans="1:19" x14ac:dyDescent="0.35">
      <c r="A1594" s="3">
        <v>2593</v>
      </c>
      <c r="B1594" s="3" t="s">
        <v>1065</v>
      </c>
      <c r="C1594" s="4">
        <v>45494</v>
      </c>
      <c r="D1594" s="3" t="s">
        <v>153</v>
      </c>
      <c r="E1594" s="4">
        <v>45533</v>
      </c>
      <c r="F1594" s="4">
        <v>45534</v>
      </c>
      <c r="G1594" s="3" t="s">
        <v>34</v>
      </c>
      <c r="H1594" s="3" t="s">
        <v>38</v>
      </c>
      <c r="I1594" s="3" t="s">
        <v>39</v>
      </c>
      <c r="J1594" s="3" t="s">
        <v>23</v>
      </c>
      <c r="K1594" s="3">
        <v>39</v>
      </c>
      <c r="L1594" s="3">
        <v>1</v>
      </c>
      <c r="M1594" s="3">
        <v>5561</v>
      </c>
      <c r="N1594" s="3">
        <v>5561</v>
      </c>
      <c r="O1594" s="3">
        <v>5561</v>
      </c>
      <c r="P1594" s="3" t="s">
        <v>24</v>
      </c>
      <c r="Q1594" s="3">
        <v>0</v>
      </c>
      <c r="R1594" s="3" t="str">
        <f t="shared" si="24"/>
        <v>Not Cancelled</v>
      </c>
      <c r="S1594" s="3" t="s">
        <v>25</v>
      </c>
    </row>
    <row r="1595" spans="1:19" x14ac:dyDescent="0.35">
      <c r="A1595" s="3">
        <v>2594</v>
      </c>
      <c r="B1595" s="3" t="s">
        <v>1022</v>
      </c>
      <c r="C1595" s="4">
        <v>45483</v>
      </c>
      <c r="D1595" s="3" t="s">
        <v>105</v>
      </c>
      <c r="E1595" s="4">
        <v>45520</v>
      </c>
      <c r="F1595" s="4">
        <v>45525</v>
      </c>
      <c r="G1595" s="3" t="s">
        <v>45</v>
      </c>
      <c r="H1595" s="3" t="s">
        <v>60</v>
      </c>
      <c r="I1595" s="3" t="s">
        <v>22</v>
      </c>
      <c r="J1595" s="3" t="s">
        <v>30</v>
      </c>
      <c r="K1595" s="3">
        <v>37</v>
      </c>
      <c r="L1595" s="3">
        <v>5</v>
      </c>
      <c r="M1595" s="3">
        <v>8961</v>
      </c>
      <c r="N1595" s="3">
        <v>44805</v>
      </c>
      <c r="O1595" s="3">
        <v>0</v>
      </c>
      <c r="P1595" s="3" t="s">
        <v>51</v>
      </c>
      <c r="Q1595" s="3">
        <v>1</v>
      </c>
      <c r="R1595" s="3" t="str">
        <f t="shared" si="24"/>
        <v>Cancelled</v>
      </c>
      <c r="S1595" s="3" t="s">
        <v>25</v>
      </c>
    </row>
    <row r="1596" spans="1:19" x14ac:dyDescent="0.35">
      <c r="A1596" s="3">
        <v>2595</v>
      </c>
      <c r="B1596" s="3" t="s">
        <v>189</v>
      </c>
      <c r="C1596" s="4">
        <v>45540</v>
      </c>
      <c r="D1596" s="3" t="s">
        <v>211</v>
      </c>
      <c r="E1596" s="4">
        <v>45589</v>
      </c>
      <c r="F1596" s="4">
        <v>45594</v>
      </c>
      <c r="G1596" s="3" t="s">
        <v>45</v>
      </c>
      <c r="H1596" s="3" t="s">
        <v>60</v>
      </c>
      <c r="I1596" s="3" t="s">
        <v>39</v>
      </c>
      <c r="J1596" s="3" t="s">
        <v>46</v>
      </c>
      <c r="K1596" s="3">
        <v>49</v>
      </c>
      <c r="L1596" s="3">
        <v>5</v>
      </c>
      <c r="M1596" s="3">
        <v>8666</v>
      </c>
      <c r="N1596" s="3">
        <v>43330</v>
      </c>
      <c r="O1596" s="3">
        <v>0</v>
      </c>
      <c r="P1596" s="3" t="s">
        <v>51</v>
      </c>
      <c r="Q1596" s="3">
        <v>1</v>
      </c>
      <c r="R1596" s="3" t="str">
        <f t="shared" si="24"/>
        <v>Cancelled</v>
      </c>
      <c r="S1596" s="3" t="s">
        <v>25</v>
      </c>
    </row>
    <row r="1597" spans="1:19" x14ac:dyDescent="0.35">
      <c r="A1597" s="3">
        <v>2596</v>
      </c>
      <c r="B1597" s="3" t="s">
        <v>1066</v>
      </c>
      <c r="C1597" s="4">
        <v>45533</v>
      </c>
      <c r="D1597" s="3" t="s">
        <v>82</v>
      </c>
      <c r="E1597" s="4">
        <v>45561</v>
      </c>
      <c r="F1597" s="4">
        <v>45566</v>
      </c>
      <c r="G1597" s="3" t="s">
        <v>45</v>
      </c>
      <c r="H1597" s="3" t="s">
        <v>60</v>
      </c>
      <c r="I1597" s="3" t="s">
        <v>39</v>
      </c>
      <c r="J1597" s="3" t="s">
        <v>23</v>
      </c>
      <c r="K1597" s="3">
        <v>28</v>
      </c>
      <c r="L1597" s="3">
        <v>5</v>
      </c>
      <c r="M1597" s="3">
        <v>6129</v>
      </c>
      <c r="N1597" s="3">
        <v>30645</v>
      </c>
      <c r="O1597" s="3">
        <v>30645</v>
      </c>
      <c r="P1597" s="3" t="s">
        <v>51</v>
      </c>
      <c r="Q1597" s="3">
        <v>0</v>
      </c>
      <c r="R1597" s="3" t="str">
        <f t="shared" si="24"/>
        <v>Not Cancelled</v>
      </c>
      <c r="S1597" s="3" t="s">
        <v>31</v>
      </c>
    </row>
    <row r="1598" spans="1:19" x14ac:dyDescent="0.35">
      <c r="A1598" s="3">
        <v>2597</v>
      </c>
      <c r="B1598" s="3" t="s">
        <v>1067</v>
      </c>
      <c r="C1598" s="4">
        <v>45470</v>
      </c>
      <c r="D1598" s="3" t="s">
        <v>107</v>
      </c>
      <c r="E1598" s="4">
        <v>45495</v>
      </c>
      <c r="F1598" s="4">
        <v>45498</v>
      </c>
      <c r="G1598" s="3" t="s">
        <v>20</v>
      </c>
      <c r="H1598" s="3" t="s">
        <v>29</v>
      </c>
      <c r="I1598" s="3" t="s">
        <v>39</v>
      </c>
      <c r="J1598" s="3" t="s">
        <v>23</v>
      </c>
      <c r="K1598" s="3">
        <v>25</v>
      </c>
      <c r="L1598" s="3">
        <v>3</v>
      </c>
      <c r="M1598" s="3">
        <v>5689</v>
      </c>
      <c r="N1598" s="3">
        <v>17067</v>
      </c>
      <c r="O1598" s="3">
        <v>17067</v>
      </c>
      <c r="P1598" s="3" t="s">
        <v>24</v>
      </c>
      <c r="Q1598" s="3">
        <v>0</v>
      </c>
      <c r="R1598" s="3" t="str">
        <f t="shared" si="24"/>
        <v>Not Cancelled</v>
      </c>
      <c r="S1598" s="3" t="s">
        <v>31</v>
      </c>
    </row>
    <row r="1599" spans="1:19" x14ac:dyDescent="0.35">
      <c r="A1599" s="3">
        <v>2598</v>
      </c>
      <c r="B1599" s="3" t="s">
        <v>312</v>
      </c>
      <c r="C1599" s="4">
        <v>45510</v>
      </c>
      <c r="D1599" s="3" t="s">
        <v>88</v>
      </c>
      <c r="E1599" s="4">
        <v>45526</v>
      </c>
      <c r="F1599" s="4">
        <v>45528</v>
      </c>
      <c r="G1599" s="3" t="s">
        <v>28</v>
      </c>
      <c r="H1599" s="3" t="s">
        <v>21</v>
      </c>
      <c r="I1599" s="3" t="s">
        <v>22</v>
      </c>
      <c r="J1599" s="3" t="s">
        <v>23</v>
      </c>
      <c r="K1599" s="3">
        <v>16</v>
      </c>
      <c r="L1599" s="3">
        <v>2</v>
      </c>
      <c r="M1599" s="3">
        <v>5248</v>
      </c>
      <c r="N1599" s="3">
        <v>10496</v>
      </c>
      <c r="O1599" s="3">
        <v>10496</v>
      </c>
      <c r="P1599" s="3" t="s">
        <v>24</v>
      </c>
      <c r="Q1599" s="3">
        <v>0</v>
      </c>
      <c r="R1599" s="3" t="str">
        <f t="shared" si="24"/>
        <v>Not Cancelled</v>
      </c>
      <c r="S1599" s="3" t="s">
        <v>31</v>
      </c>
    </row>
    <row r="1600" spans="1:19" x14ac:dyDescent="0.35">
      <c r="A1600" s="3">
        <v>2599</v>
      </c>
      <c r="B1600" s="3" t="s">
        <v>754</v>
      </c>
      <c r="C1600" s="4">
        <v>45373</v>
      </c>
      <c r="D1600" s="3" t="s">
        <v>113</v>
      </c>
      <c r="E1600" s="4">
        <v>45428</v>
      </c>
      <c r="F1600" s="4">
        <v>45432</v>
      </c>
      <c r="G1600" s="3" t="s">
        <v>42</v>
      </c>
      <c r="H1600" s="3" t="s">
        <v>29</v>
      </c>
      <c r="I1600" s="3" t="s">
        <v>22</v>
      </c>
      <c r="J1600" s="3" t="s">
        <v>23</v>
      </c>
      <c r="K1600" s="3">
        <v>55</v>
      </c>
      <c r="L1600" s="3">
        <v>4</v>
      </c>
      <c r="M1600" s="3">
        <v>4166</v>
      </c>
      <c r="N1600" s="3">
        <v>16664</v>
      </c>
      <c r="O1600" s="3">
        <v>0</v>
      </c>
      <c r="P1600" s="3" t="s">
        <v>24</v>
      </c>
      <c r="Q1600" s="3">
        <v>1</v>
      </c>
      <c r="R1600" s="3" t="str">
        <f t="shared" si="24"/>
        <v>Cancelled</v>
      </c>
      <c r="S1600" s="3" t="s">
        <v>31</v>
      </c>
    </row>
    <row r="1601" spans="1:19" x14ac:dyDescent="0.35">
      <c r="A1601" s="3">
        <v>2600</v>
      </c>
      <c r="B1601" s="3" t="s">
        <v>921</v>
      </c>
      <c r="C1601" s="4">
        <v>45383</v>
      </c>
      <c r="D1601" s="3" t="s">
        <v>28</v>
      </c>
      <c r="E1601" s="4">
        <v>45385</v>
      </c>
      <c r="F1601" s="4">
        <v>45390</v>
      </c>
      <c r="G1601" s="3" t="s">
        <v>45</v>
      </c>
      <c r="H1601" s="3" t="s">
        <v>35</v>
      </c>
      <c r="I1601" s="3" t="s">
        <v>22</v>
      </c>
      <c r="J1601" s="3" t="s">
        <v>30</v>
      </c>
      <c r="K1601" s="3">
        <v>2</v>
      </c>
      <c r="L1601" s="3">
        <v>5</v>
      </c>
      <c r="M1601" s="3">
        <v>5566</v>
      </c>
      <c r="N1601" s="3">
        <v>27830</v>
      </c>
      <c r="O1601" s="3">
        <v>0</v>
      </c>
      <c r="P1601" s="3" t="s">
        <v>24</v>
      </c>
      <c r="Q1601" s="3">
        <v>1</v>
      </c>
      <c r="R1601" s="3" t="str">
        <f t="shared" si="24"/>
        <v>Cancelled</v>
      </c>
      <c r="S1601" s="3" t="s">
        <v>25</v>
      </c>
    </row>
    <row r="1602" spans="1:19" x14ac:dyDescent="0.35">
      <c r="A1602" s="3">
        <v>2601</v>
      </c>
      <c r="B1602" s="3" t="s">
        <v>949</v>
      </c>
      <c r="C1602" s="4">
        <v>45466</v>
      </c>
      <c r="D1602" s="3" t="s">
        <v>117</v>
      </c>
      <c r="E1602" s="4">
        <v>45520</v>
      </c>
      <c r="F1602" s="4">
        <v>45521</v>
      </c>
      <c r="G1602" s="3" t="s">
        <v>34</v>
      </c>
      <c r="H1602" s="3" t="s">
        <v>60</v>
      </c>
      <c r="I1602" s="3" t="s">
        <v>22</v>
      </c>
      <c r="J1602" s="3" t="s">
        <v>46</v>
      </c>
      <c r="K1602" s="3">
        <v>54</v>
      </c>
      <c r="L1602" s="3">
        <v>1</v>
      </c>
      <c r="M1602" s="3">
        <v>3941</v>
      </c>
      <c r="N1602" s="3">
        <v>3941</v>
      </c>
      <c r="O1602" s="3">
        <v>0</v>
      </c>
      <c r="P1602" s="3" t="s">
        <v>24</v>
      </c>
      <c r="Q1602" s="3">
        <v>1</v>
      </c>
      <c r="R1602" s="3" t="str">
        <f t="shared" si="24"/>
        <v>Cancelled</v>
      </c>
      <c r="S1602" s="3" t="s">
        <v>31</v>
      </c>
    </row>
    <row r="1603" spans="1:19" x14ac:dyDescent="0.35">
      <c r="A1603" s="3">
        <v>2602</v>
      </c>
      <c r="B1603" s="3" t="s">
        <v>269</v>
      </c>
      <c r="C1603" s="4">
        <v>45530</v>
      </c>
      <c r="D1603" s="3" t="s">
        <v>27</v>
      </c>
      <c r="E1603" s="4">
        <v>45548</v>
      </c>
      <c r="F1603" s="4">
        <v>45553</v>
      </c>
      <c r="G1603" s="3" t="s">
        <v>45</v>
      </c>
      <c r="H1603" s="3" t="s">
        <v>60</v>
      </c>
      <c r="I1603" s="3" t="s">
        <v>22</v>
      </c>
      <c r="J1603" s="3" t="s">
        <v>30</v>
      </c>
      <c r="K1603" s="3">
        <v>18</v>
      </c>
      <c r="L1603" s="3">
        <v>5</v>
      </c>
      <c r="M1603" s="3">
        <v>3567</v>
      </c>
      <c r="N1603" s="3">
        <v>17835</v>
      </c>
      <c r="O1603" s="3">
        <v>17835</v>
      </c>
      <c r="P1603" s="3" t="s">
        <v>24</v>
      </c>
      <c r="Q1603" s="3">
        <v>0</v>
      </c>
      <c r="R1603" s="3" t="str">
        <f t="shared" ref="R1603:R1666" si="25">IF(Q1603=0,"Not Cancelled","Cancelled")</f>
        <v>Not Cancelled</v>
      </c>
      <c r="S1603" s="3" t="s">
        <v>25</v>
      </c>
    </row>
    <row r="1604" spans="1:19" x14ac:dyDescent="0.35">
      <c r="A1604" s="3">
        <v>2603</v>
      </c>
      <c r="B1604" s="3" t="s">
        <v>1008</v>
      </c>
      <c r="C1604" s="4">
        <v>45551</v>
      </c>
      <c r="D1604" s="3" t="s">
        <v>71</v>
      </c>
      <c r="E1604" s="4">
        <v>45568</v>
      </c>
      <c r="F1604" s="4">
        <v>45570</v>
      </c>
      <c r="G1604" s="3" t="s">
        <v>28</v>
      </c>
      <c r="H1604" s="3" t="s">
        <v>35</v>
      </c>
      <c r="I1604" s="3" t="s">
        <v>39</v>
      </c>
      <c r="J1604" s="3" t="s">
        <v>46</v>
      </c>
      <c r="K1604" s="3">
        <v>17</v>
      </c>
      <c r="L1604" s="3">
        <v>2</v>
      </c>
      <c r="M1604" s="3">
        <v>6723</v>
      </c>
      <c r="N1604" s="3">
        <v>13446</v>
      </c>
      <c r="O1604" s="3">
        <v>0</v>
      </c>
      <c r="P1604" s="3" t="s">
        <v>51</v>
      </c>
      <c r="Q1604" s="3">
        <v>1</v>
      </c>
      <c r="R1604" s="3" t="str">
        <f t="shared" si="25"/>
        <v>Cancelled</v>
      </c>
      <c r="S1604" s="3" t="s">
        <v>31</v>
      </c>
    </row>
    <row r="1605" spans="1:19" x14ac:dyDescent="0.35">
      <c r="A1605" s="3">
        <v>2604</v>
      </c>
      <c r="B1605" s="3" t="s">
        <v>1052</v>
      </c>
      <c r="C1605" s="4">
        <v>45656</v>
      </c>
      <c r="D1605" s="3" t="s">
        <v>50</v>
      </c>
      <c r="E1605" s="4">
        <v>45686</v>
      </c>
      <c r="F1605" s="4">
        <v>45688</v>
      </c>
      <c r="G1605" s="3" t="s">
        <v>28</v>
      </c>
      <c r="H1605" s="3" t="s">
        <v>60</v>
      </c>
      <c r="I1605" s="3" t="s">
        <v>39</v>
      </c>
      <c r="J1605" s="3" t="s">
        <v>23</v>
      </c>
      <c r="K1605" s="3">
        <v>30</v>
      </c>
      <c r="L1605" s="3">
        <v>2</v>
      </c>
      <c r="M1605" s="3">
        <v>5423</v>
      </c>
      <c r="N1605" s="3">
        <v>10846</v>
      </c>
      <c r="O1605" s="3">
        <v>0</v>
      </c>
      <c r="P1605" s="3" t="s">
        <v>24</v>
      </c>
      <c r="Q1605" s="3">
        <v>1</v>
      </c>
      <c r="R1605" s="3" t="str">
        <f t="shared" si="25"/>
        <v>Cancelled</v>
      </c>
      <c r="S1605" s="3" t="s">
        <v>31</v>
      </c>
    </row>
    <row r="1606" spans="1:19" x14ac:dyDescent="0.35">
      <c r="A1606" s="3">
        <v>2605</v>
      </c>
      <c r="B1606" s="3" t="s">
        <v>844</v>
      </c>
      <c r="C1606" s="4">
        <v>45454</v>
      </c>
      <c r="D1606" s="3" t="s">
        <v>153</v>
      </c>
      <c r="E1606" s="4">
        <v>45493</v>
      </c>
      <c r="F1606" s="4">
        <v>45497</v>
      </c>
      <c r="G1606" s="3" t="s">
        <v>42</v>
      </c>
      <c r="H1606" s="3" t="s">
        <v>60</v>
      </c>
      <c r="I1606" s="3" t="s">
        <v>39</v>
      </c>
      <c r="J1606" s="3" t="s">
        <v>30</v>
      </c>
      <c r="K1606" s="3">
        <v>39</v>
      </c>
      <c r="L1606" s="3">
        <v>4</v>
      </c>
      <c r="M1606" s="3">
        <v>6753</v>
      </c>
      <c r="N1606" s="3">
        <v>27012</v>
      </c>
      <c r="O1606" s="3">
        <v>0</v>
      </c>
      <c r="P1606" s="3" t="s">
        <v>51</v>
      </c>
      <c r="Q1606" s="3">
        <v>1</v>
      </c>
      <c r="R1606" s="3" t="str">
        <f t="shared" si="25"/>
        <v>Cancelled</v>
      </c>
      <c r="S1606" s="3" t="s">
        <v>31</v>
      </c>
    </row>
    <row r="1607" spans="1:19" x14ac:dyDescent="0.35">
      <c r="A1607" s="3">
        <v>2606</v>
      </c>
      <c r="B1607" s="3" t="s">
        <v>534</v>
      </c>
      <c r="C1607" s="4">
        <v>45339</v>
      </c>
      <c r="D1607" s="3" t="s">
        <v>44</v>
      </c>
      <c r="E1607" s="4">
        <v>45352</v>
      </c>
      <c r="F1607" s="4">
        <v>45355</v>
      </c>
      <c r="G1607" s="3" t="s">
        <v>20</v>
      </c>
      <c r="H1607" s="3" t="s">
        <v>60</v>
      </c>
      <c r="I1607" s="3" t="s">
        <v>39</v>
      </c>
      <c r="J1607" s="3" t="s">
        <v>23</v>
      </c>
      <c r="K1607" s="3">
        <v>13</v>
      </c>
      <c r="L1607" s="3">
        <v>3</v>
      </c>
      <c r="M1607" s="3">
        <v>6356</v>
      </c>
      <c r="N1607" s="3">
        <v>19068</v>
      </c>
      <c r="O1607" s="3">
        <v>0</v>
      </c>
      <c r="P1607" s="3" t="s">
        <v>24</v>
      </c>
      <c r="Q1607" s="3">
        <v>1</v>
      </c>
      <c r="R1607" s="3" t="str">
        <f t="shared" si="25"/>
        <v>Cancelled</v>
      </c>
      <c r="S1607" s="3" t="s">
        <v>25</v>
      </c>
    </row>
    <row r="1608" spans="1:19" x14ac:dyDescent="0.35">
      <c r="A1608" s="3">
        <v>2607</v>
      </c>
      <c r="B1608" s="3" t="s">
        <v>189</v>
      </c>
      <c r="C1608" s="4">
        <v>45620</v>
      </c>
      <c r="D1608" s="3" t="s">
        <v>144</v>
      </c>
      <c r="E1608" s="4">
        <v>45652</v>
      </c>
      <c r="F1608" s="4">
        <v>45656</v>
      </c>
      <c r="G1608" s="3" t="s">
        <v>42</v>
      </c>
      <c r="H1608" s="3" t="s">
        <v>35</v>
      </c>
      <c r="I1608" s="3" t="s">
        <v>39</v>
      </c>
      <c r="J1608" s="3" t="s">
        <v>46</v>
      </c>
      <c r="K1608" s="3">
        <v>32</v>
      </c>
      <c r="L1608" s="3">
        <v>4</v>
      </c>
      <c r="M1608" s="3">
        <v>3326</v>
      </c>
      <c r="N1608" s="3">
        <v>13304</v>
      </c>
      <c r="O1608" s="3">
        <v>13304</v>
      </c>
      <c r="P1608" s="3" t="s">
        <v>24</v>
      </c>
      <c r="Q1608" s="3">
        <v>0</v>
      </c>
      <c r="R1608" s="3" t="str">
        <f t="shared" si="25"/>
        <v>Not Cancelled</v>
      </c>
      <c r="S1608" s="3" t="s">
        <v>25</v>
      </c>
    </row>
    <row r="1609" spans="1:19" x14ac:dyDescent="0.35">
      <c r="A1609" s="3">
        <v>2608</v>
      </c>
      <c r="B1609" s="3" t="s">
        <v>891</v>
      </c>
      <c r="C1609" s="4">
        <v>45619</v>
      </c>
      <c r="D1609" s="3" t="s">
        <v>78</v>
      </c>
      <c r="E1609" s="4">
        <v>45669</v>
      </c>
      <c r="F1609" s="4">
        <v>45674</v>
      </c>
      <c r="G1609" s="3" t="s">
        <v>45</v>
      </c>
      <c r="H1609" s="3" t="s">
        <v>29</v>
      </c>
      <c r="I1609" s="3" t="s">
        <v>39</v>
      </c>
      <c r="J1609" s="3" t="s">
        <v>23</v>
      </c>
      <c r="K1609" s="3">
        <v>50</v>
      </c>
      <c r="L1609" s="3">
        <v>5</v>
      </c>
      <c r="M1609" s="3">
        <v>8486</v>
      </c>
      <c r="N1609" s="3">
        <v>42430</v>
      </c>
      <c r="O1609" s="3">
        <v>0</v>
      </c>
      <c r="P1609" s="3" t="s">
        <v>51</v>
      </c>
      <c r="Q1609" s="3">
        <v>1</v>
      </c>
      <c r="R1609" s="3" t="str">
        <f t="shared" si="25"/>
        <v>Cancelled</v>
      </c>
      <c r="S1609" s="3" t="s">
        <v>31</v>
      </c>
    </row>
    <row r="1610" spans="1:19" x14ac:dyDescent="0.35">
      <c r="A1610" s="3">
        <v>2609</v>
      </c>
      <c r="B1610" s="3" t="s">
        <v>1068</v>
      </c>
      <c r="C1610" s="4">
        <v>45407</v>
      </c>
      <c r="D1610" s="3" t="s">
        <v>57</v>
      </c>
      <c r="E1610" s="4">
        <v>45436</v>
      </c>
      <c r="F1610" s="4">
        <v>45437</v>
      </c>
      <c r="G1610" s="3" t="s">
        <v>34</v>
      </c>
      <c r="H1610" s="3" t="s">
        <v>60</v>
      </c>
      <c r="I1610" s="3" t="s">
        <v>22</v>
      </c>
      <c r="J1610" s="3" t="s">
        <v>30</v>
      </c>
      <c r="K1610" s="3">
        <v>29</v>
      </c>
      <c r="L1610" s="3">
        <v>1</v>
      </c>
      <c r="M1610" s="3">
        <v>7107</v>
      </c>
      <c r="N1610" s="3">
        <v>7107</v>
      </c>
      <c r="O1610" s="3">
        <v>7107</v>
      </c>
      <c r="P1610" s="3" t="s">
        <v>51</v>
      </c>
      <c r="Q1610" s="3">
        <v>0</v>
      </c>
      <c r="R1610" s="3" t="str">
        <f t="shared" si="25"/>
        <v>Not Cancelled</v>
      </c>
      <c r="S1610" s="3" t="s">
        <v>31</v>
      </c>
    </row>
    <row r="1611" spans="1:19" x14ac:dyDescent="0.35">
      <c r="A1611" s="3">
        <v>2610</v>
      </c>
      <c r="B1611" s="3" t="s">
        <v>376</v>
      </c>
      <c r="C1611" s="4">
        <v>45628</v>
      </c>
      <c r="D1611" s="3" t="s">
        <v>41</v>
      </c>
      <c r="E1611" s="4">
        <v>45674</v>
      </c>
      <c r="F1611" s="4">
        <v>45678</v>
      </c>
      <c r="G1611" s="3" t="s">
        <v>42</v>
      </c>
      <c r="H1611" s="3" t="s">
        <v>21</v>
      </c>
      <c r="I1611" s="3" t="s">
        <v>22</v>
      </c>
      <c r="J1611" s="3" t="s">
        <v>30</v>
      </c>
      <c r="K1611" s="3">
        <v>46</v>
      </c>
      <c r="L1611" s="3">
        <v>4</v>
      </c>
      <c r="M1611" s="3">
        <v>6485</v>
      </c>
      <c r="N1611" s="3">
        <v>25940</v>
      </c>
      <c r="O1611" s="3">
        <v>0</v>
      </c>
      <c r="P1611" s="3" t="s">
        <v>51</v>
      </c>
      <c r="Q1611" s="3">
        <v>1</v>
      </c>
      <c r="R1611" s="3" t="str">
        <f t="shared" si="25"/>
        <v>Cancelled</v>
      </c>
      <c r="S1611" s="3" t="s">
        <v>31</v>
      </c>
    </row>
    <row r="1612" spans="1:19" x14ac:dyDescent="0.35">
      <c r="A1612" s="3">
        <v>2611</v>
      </c>
      <c r="B1612" s="3" t="s">
        <v>996</v>
      </c>
      <c r="C1612" s="4">
        <v>45628</v>
      </c>
      <c r="D1612" s="3" t="s">
        <v>50</v>
      </c>
      <c r="E1612" s="4">
        <v>45658</v>
      </c>
      <c r="F1612" s="4">
        <v>45661</v>
      </c>
      <c r="G1612" s="3" t="s">
        <v>20</v>
      </c>
      <c r="H1612" s="3" t="s">
        <v>35</v>
      </c>
      <c r="I1612" s="3" t="s">
        <v>39</v>
      </c>
      <c r="J1612" s="3" t="s">
        <v>46</v>
      </c>
      <c r="K1612" s="3">
        <v>30</v>
      </c>
      <c r="L1612" s="3">
        <v>3</v>
      </c>
      <c r="M1612" s="3">
        <v>4592</v>
      </c>
      <c r="N1612" s="3">
        <v>13776</v>
      </c>
      <c r="O1612" s="3">
        <v>13776</v>
      </c>
      <c r="P1612" s="3" t="s">
        <v>24</v>
      </c>
      <c r="Q1612" s="3">
        <v>0</v>
      </c>
      <c r="R1612" s="3" t="str">
        <f t="shared" si="25"/>
        <v>Not Cancelled</v>
      </c>
      <c r="S1612" s="3" t="s">
        <v>25</v>
      </c>
    </row>
    <row r="1613" spans="1:19" x14ac:dyDescent="0.35">
      <c r="A1613" s="3">
        <v>2612</v>
      </c>
      <c r="B1613" s="3" t="s">
        <v>236</v>
      </c>
      <c r="C1613" s="4">
        <v>45516</v>
      </c>
      <c r="D1613" s="3" t="s">
        <v>27</v>
      </c>
      <c r="E1613" s="4">
        <v>45534</v>
      </c>
      <c r="F1613" s="4">
        <v>45538</v>
      </c>
      <c r="G1613" s="3" t="s">
        <v>42</v>
      </c>
      <c r="H1613" s="3" t="s">
        <v>38</v>
      </c>
      <c r="I1613" s="3" t="s">
        <v>22</v>
      </c>
      <c r="J1613" s="3" t="s">
        <v>46</v>
      </c>
      <c r="K1613" s="3">
        <v>18</v>
      </c>
      <c r="L1613" s="3">
        <v>4</v>
      </c>
      <c r="M1613" s="3">
        <v>5679</v>
      </c>
      <c r="N1613" s="3">
        <v>22716</v>
      </c>
      <c r="O1613" s="3">
        <v>0</v>
      </c>
      <c r="P1613" s="3" t="s">
        <v>24</v>
      </c>
      <c r="Q1613" s="3">
        <v>1</v>
      </c>
      <c r="R1613" s="3" t="str">
        <f t="shared" si="25"/>
        <v>Cancelled</v>
      </c>
      <c r="S1613" s="3" t="s">
        <v>25</v>
      </c>
    </row>
    <row r="1614" spans="1:19" x14ac:dyDescent="0.35">
      <c r="A1614" s="3">
        <v>2613</v>
      </c>
      <c r="B1614" s="3" t="s">
        <v>1069</v>
      </c>
      <c r="C1614" s="4">
        <v>45643</v>
      </c>
      <c r="D1614" s="3" t="s">
        <v>44</v>
      </c>
      <c r="E1614" s="4">
        <v>45656</v>
      </c>
      <c r="F1614" s="4">
        <v>45658</v>
      </c>
      <c r="G1614" s="3" t="s">
        <v>28</v>
      </c>
      <c r="H1614" s="3" t="s">
        <v>35</v>
      </c>
      <c r="I1614" s="3" t="s">
        <v>39</v>
      </c>
      <c r="J1614" s="3" t="s">
        <v>30</v>
      </c>
      <c r="K1614" s="3">
        <v>13</v>
      </c>
      <c r="L1614" s="3">
        <v>2</v>
      </c>
      <c r="M1614" s="3">
        <v>8862</v>
      </c>
      <c r="N1614" s="3">
        <v>17724</v>
      </c>
      <c r="O1614" s="3">
        <v>17724</v>
      </c>
      <c r="P1614" s="3" t="s">
        <v>51</v>
      </c>
      <c r="Q1614" s="3">
        <v>0</v>
      </c>
      <c r="R1614" s="3" t="str">
        <f t="shared" si="25"/>
        <v>Not Cancelled</v>
      </c>
      <c r="S1614" s="3" t="s">
        <v>25</v>
      </c>
    </row>
    <row r="1615" spans="1:19" x14ac:dyDescent="0.35">
      <c r="A1615" s="3">
        <v>2614</v>
      </c>
      <c r="B1615" s="3" t="s">
        <v>1010</v>
      </c>
      <c r="C1615" s="4">
        <v>45619</v>
      </c>
      <c r="D1615" s="3" t="s">
        <v>66</v>
      </c>
      <c r="E1615" s="4">
        <v>45662</v>
      </c>
      <c r="F1615" s="4">
        <v>45667</v>
      </c>
      <c r="G1615" s="3" t="s">
        <v>45</v>
      </c>
      <c r="H1615" s="3" t="s">
        <v>29</v>
      </c>
      <c r="I1615" s="3" t="s">
        <v>39</v>
      </c>
      <c r="J1615" s="3" t="s">
        <v>30</v>
      </c>
      <c r="K1615" s="3">
        <v>43</v>
      </c>
      <c r="L1615" s="3">
        <v>5</v>
      </c>
      <c r="M1615" s="3">
        <v>7038</v>
      </c>
      <c r="N1615" s="3">
        <v>35190</v>
      </c>
      <c r="O1615" s="3">
        <v>35190</v>
      </c>
      <c r="P1615" s="3" t="s">
        <v>24</v>
      </c>
      <c r="Q1615" s="3">
        <v>0</v>
      </c>
      <c r="R1615" s="3" t="str">
        <f t="shared" si="25"/>
        <v>Not Cancelled</v>
      </c>
      <c r="S1615" s="3" t="s">
        <v>31</v>
      </c>
    </row>
    <row r="1616" spans="1:19" x14ac:dyDescent="0.35">
      <c r="A1616" s="3">
        <v>2615</v>
      </c>
      <c r="B1616" s="3" t="s">
        <v>577</v>
      </c>
      <c r="C1616" s="4">
        <v>45438</v>
      </c>
      <c r="D1616" s="3" t="s">
        <v>175</v>
      </c>
      <c r="E1616" s="4">
        <v>45459</v>
      </c>
      <c r="F1616" s="4">
        <v>45464</v>
      </c>
      <c r="G1616" s="3" t="s">
        <v>45</v>
      </c>
      <c r="H1616" s="3" t="s">
        <v>35</v>
      </c>
      <c r="I1616" s="3" t="s">
        <v>22</v>
      </c>
      <c r="J1616" s="3" t="s">
        <v>30</v>
      </c>
      <c r="K1616" s="3">
        <v>21</v>
      </c>
      <c r="L1616" s="3">
        <v>5</v>
      </c>
      <c r="M1616" s="3">
        <v>6401</v>
      </c>
      <c r="N1616" s="3">
        <v>32005</v>
      </c>
      <c r="O1616" s="3">
        <v>0</v>
      </c>
      <c r="P1616" s="3" t="s">
        <v>51</v>
      </c>
      <c r="Q1616" s="3">
        <v>1</v>
      </c>
      <c r="R1616" s="3" t="str">
        <f t="shared" si="25"/>
        <v>Cancelled</v>
      </c>
      <c r="S1616" s="3" t="s">
        <v>25</v>
      </c>
    </row>
    <row r="1617" spans="1:19" x14ac:dyDescent="0.35">
      <c r="A1617" s="3">
        <v>2616</v>
      </c>
      <c r="B1617" s="3" t="s">
        <v>248</v>
      </c>
      <c r="C1617" s="4">
        <v>45354</v>
      </c>
      <c r="D1617" s="3" t="s">
        <v>50</v>
      </c>
      <c r="E1617" s="4">
        <v>45384</v>
      </c>
      <c r="F1617" s="4">
        <v>45389</v>
      </c>
      <c r="G1617" s="3" t="s">
        <v>45</v>
      </c>
      <c r="H1617" s="3" t="s">
        <v>38</v>
      </c>
      <c r="I1617" s="3" t="s">
        <v>22</v>
      </c>
      <c r="J1617" s="3" t="s">
        <v>30</v>
      </c>
      <c r="K1617" s="3">
        <v>30</v>
      </c>
      <c r="L1617" s="3">
        <v>5</v>
      </c>
      <c r="M1617" s="3">
        <v>4862</v>
      </c>
      <c r="N1617" s="3">
        <v>24310</v>
      </c>
      <c r="O1617" s="3">
        <v>24310</v>
      </c>
      <c r="P1617" s="3" t="s">
        <v>24</v>
      </c>
      <c r="Q1617" s="3">
        <v>0</v>
      </c>
      <c r="R1617" s="3" t="str">
        <f t="shared" si="25"/>
        <v>Not Cancelled</v>
      </c>
      <c r="S1617" s="3" t="s">
        <v>31</v>
      </c>
    </row>
    <row r="1618" spans="1:19" x14ac:dyDescent="0.35">
      <c r="A1618" s="3">
        <v>2617</v>
      </c>
      <c r="B1618" s="3" t="s">
        <v>1070</v>
      </c>
      <c r="C1618" s="4">
        <v>45585</v>
      </c>
      <c r="D1618" s="3" t="s">
        <v>175</v>
      </c>
      <c r="E1618" s="4">
        <v>45606</v>
      </c>
      <c r="F1618" s="4">
        <v>45611</v>
      </c>
      <c r="G1618" s="3" t="s">
        <v>45</v>
      </c>
      <c r="H1618" s="3" t="s">
        <v>21</v>
      </c>
      <c r="I1618" s="3" t="s">
        <v>39</v>
      </c>
      <c r="J1618" s="3" t="s">
        <v>46</v>
      </c>
      <c r="K1618" s="3">
        <v>21</v>
      </c>
      <c r="L1618" s="3">
        <v>5</v>
      </c>
      <c r="M1618" s="3">
        <v>4724</v>
      </c>
      <c r="N1618" s="3">
        <v>23620</v>
      </c>
      <c r="O1618" s="3">
        <v>23620</v>
      </c>
      <c r="P1618" s="3" t="s">
        <v>24</v>
      </c>
      <c r="Q1618" s="3">
        <v>0</v>
      </c>
      <c r="R1618" s="3" t="str">
        <f t="shared" si="25"/>
        <v>Not Cancelled</v>
      </c>
      <c r="S1618" s="3" t="s">
        <v>25</v>
      </c>
    </row>
    <row r="1619" spans="1:19" x14ac:dyDescent="0.35">
      <c r="A1619" s="3">
        <v>2618</v>
      </c>
      <c r="B1619" s="3" t="s">
        <v>649</v>
      </c>
      <c r="C1619" s="4">
        <v>45614</v>
      </c>
      <c r="D1619" s="3" t="s">
        <v>73</v>
      </c>
      <c r="E1619" s="4">
        <v>45662</v>
      </c>
      <c r="F1619" s="4">
        <v>45667</v>
      </c>
      <c r="G1619" s="3" t="s">
        <v>45</v>
      </c>
      <c r="H1619" s="3" t="s">
        <v>38</v>
      </c>
      <c r="I1619" s="3" t="s">
        <v>22</v>
      </c>
      <c r="J1619" s="3" t="s">
        <v>30</v>
      </c>
      <c r="K1619" s="3">
        <v>48</v>
      </c>
      <c r="L1619" s="3">
        <v>5</v>
      </c>
      <c r="M1619" s="3">
        <v>8871</v>
      </c>
      <c r="N1619" s="3">
        <v>44355</v>
      </c>
      <c r="O1619" s="3">
        <v>0</v>
      </c>
      <c r="P1619" s="3" t="s">
        <v>24</v>
      </c>
      <c r="Q1619" s="3">
        <v>1</v>
      </c>
      <c r="R1619" s="3" t="str">
        <f t="shared" si="25"/>
        <v>Cancelled</v>
      </c>
      <c r="S1619" s="3" t="s">
        <v>31</v>
      </c>
    </row>
    <row r="1620" spans="1:19" x14ac:dyDescent="0.35">
      <c r="A1620" s="3">
        <v>2619</v>
      </c>
      <c r="B1620" s="3" t="s">
        <v>40</v>
      </c>
      <c r="C1620" s="4">
        <v>45616</v>
      </c>
      <c r="D1620" s="3" t="s">
        <v>113</v>
      </c>
      <c r="E1620" s="4">
        <v>45671</v>
      </c>
      <c r="F1620" s="4">
        <v>45676</v>
      </c>
      <c r="G1620" s="3" t="s">
        <v>45</v>
      </c>
      <c r="H1620" s="3" t="s">
        <v>35</v>
      </c>
      <c r="I1620" s="3" t="s">
        <v>39</v>
      </c>
      <c r="J1620" s="3" t="s">
        <v>46</v>
      </c>
      <c r="K1620" s="3">
        <v>55</v>
      </c>
      <c r="L1620" s="3">
        <v>5</v>
      </c>
      <c r="M1620" s="3">
        <v>4226</v>
      </c>
      <c r="N1620" s="3">
        <v>21130</v>
      </c>
      <c r="O1620" s="3">
        <v>0</v>
      </c>
      <c r="P1620" s="3" t="s">
        <v>51</v>
      </c>
      <c r="Q1620" s="3">
        <v>1</v>
      </c>
      <c r="R1620" s="3" t="str">
        <f t="shared" si="25"/>
        <v>Cancelled</v>
      </c>
      <c r="S1620" s="3" t="s">
        <v>31</v>
      </c>
    </row>
    <row r="1621" spans="1:19" x14ac:dyDescent="0.35">
      <c r="A1621" s="3">
        <v>2620</v>
      </c>
      <c r="B1621" s="3" t="s">
        <v>376</v>
      </c>
      <c r="C1621" s="4">
        <v>45304</v>
      </c>
      <c r="D1621" s="3" t="s">
        <v>71</v>
      </c>
      <c r="E1621" s="4">
        <v>45321</v>
      </c>
      <c r="F1621" s="4">
        <v>45322</v>
      </c>
      <c r="G1621" s="3" t="s">
        <v>34</v>
      </c>
      <c r="H1621" s="3" t="s">
        <v>38</v>
      </c>
      <c r="I1621" s="3" t="s">
        <v>39</v>
      </c>
      <c r="J1621" s="3" t="s">
        <v>30</v>
      </c>
      <c r="K1621" s="3">
        <v>17</v>
      </c>
      <c r="L1621" s="3">
        <v>1</v>
      </c>
      <c r="M1621" s="3">
        <v>4506</v>
      </c>
      <c r="N1621" s="3">
        <v>4506</v>
      </c>
      <c r="O1621" s="3">
        <v>4506</v>
      </c>
      <c r="P1621" s="3" t="s">
        <v>24</v>
      </c>
      <c r="Q1621" s="3">
        <v>0</v>
      </c>
      <c r="R1621" s="3" t="str">
        <f t="shared" si="25"/>
        <v>Not Cancelled</v>
      </c>
      <c r="S1621" s="3" t="s">
        <v>25</v>
      </c>
    </row>
    <row r="1622" spans="1:19" x14ac:dyDescent="0.35">
      <c r="A1622" s="3">
        <v>2621</v>
      </c>
      <c r="B1622" s="3" t="s">
        <v>911</v>
      </c>
      <c r="C1622" s="4">
        <v>45480</v>
      </c>
      <c r="D1622" s="3" t="s">
        <v>179</v>
      </c>
      <c r="E1622" s="4">
        <v>45520</v>
      </c>
      <c r="F1622" s="4">
        <v>45523</v>
      </c>
      <c r="G1622" s="3" t="s">
        <v>20</v>
      </c>
      <c r="H1622" s="3" t="s">
        <v>35</v>
      </c>
      <c r="I1622" s="3" t="s">
        <v>39</v>
      </c>
      <c r="J1622" s="3" t="s">
        <v>30</v>
      </c>
      <c r="K1622" s="3">
        <v>40</v>
      </c>
      <c r="L1622" s="3">
        <v>3</v>
      </c>
      <c r="M1622" s="3">
        <v>8291</v>
      </c>
      <c r="N1622" s="3">
        <v>24873</v>
      </c>
      <c r="O1622" s="3">
        <v>24873</v>
      </c>
      <c r="P1622" s="3" t="s">
        <v>51</v>
      </c>
      <c r="Q1622" s="3">
        <v>0</v>
      </c>
      <c r="R1622" s="3" t="str">
        <f t="shared" si="25"/>
        <v>Not Cancelled</v>
      </c>
      <c r="S1622" s="3" t="s">
        <v>31</v>
      </c>
    </row>
    <row r="1623" spans="1:19" x14ac:dyDescent="0.35">
      <c r="A1623" s="3">
        <v>2622</v>
      </c>
      <c r="B1623" s="3" t="s">
        <v>502</v>
      </c>
      <c r="C1623" s="4">
        <v>45578</v>
      </c>
      <c r="D1623" s="3" t="s">
        <v>109</v>
      </c>
      <c r="E1623" s="4">
        <v>45597</v>
      </c>
      <c r="F1623" s="4">
        <v>45602</v>
      </c>
      <c r="G1623" s="3" t="s">
        <v>45</v>
      </c>
      <c r="H1623" s="3" t="s">
        <v>21</v>
      </c>
      <c r="I1623" s="3" t="s">
        <v>39</v>
      </c>
      <c r="J1623" s="3" t="s">
        <v>23</v>
      </c>
      <c r="K1623" s="3">
        <v>19</v>
      </c>
      <c r="L1623" s="3">
        <v>5</v>
      </c>
      <c r="M1623" s="3">
        <v>2766</v>
      </c>
      <c r="N1623" s="3">
        <v>13830</v>
      </c>
      <c r="O1623" s="3">
        <v>0</v>
      </c>
      <c r="P1623" s="3" t="s">
        <v>51</v>
      </c>
      <c r="Q1623" s="3">
        <v>1</v>
      </c>
      <c r="R1623" s="3" t="str">
        <f t="shared" si="25"/>
        <v>Cancelled</v>
      </c>
      <c r="S1623" s="3" t="s">
        <v>31</v>
      </c>
    </row>
    <row r="1624" spans="1:19" x14ac:dyDescent="0.35">
      <c r="A1624" s="3">
        <v>2623</v>
      </c>
      <c r="B1624" s="3" t="s">
        <v>918</v>
      </c>
      <c r="C1624" s="4">
        <v>45499</v>
      </c>
      <c r="D1624" s="3" t="s">
        <v>226</v>
      </c>
      <c r="E1624" s="4">
        <v>45551</v>
      </c>
      <c r="F1624" s="4">
        <v>45554</v>
      </c>
      <c r="G1624" s="3" t="s">
        <v>20</v>
      </c>
      <c r="H1624" s="3" t="s">
        <v>21</v>
      </c>
      <c r="I1624" s="3" t="s">
        <v>39</v>
      </c>
      <c r="J1624" s="3" t="s">
        <v>23</v>
      </c>
      <c r="K1624" s="3">
        <v>52</v>
      </c>
      <c r="L1624" s="3">
        <v>3</v>
      </c>
      <c r="M1624" s="3">
        <v>3337</v>
      </c>
      <c r="N1624" s="3">
        <v>10011</v>
      </c>
      <c r="O1624" s="3">
        <v>0</v>
      </c>
      <c r="P1624" s="3" t="s">
        <v>51</v>
      </c>
      <c r="Q1624" s="3">
        <v>1</v>
      </c>
      <c r="R1624" s="3" t="str">
        <f t="shared" si="25"/>
        <v>Cancelled</v>
      </c>
      <c r="S1624" s="3" t="s">
        <v>31</v>
      </c>
    </row>
    <row r="1625" spans="1:19" x14ac:dyDescent="0.35">
      <c r="A1625" s="3">
        <v>2624</v>
      </c>
      <c r="B1625" s="3" t="s">
        <v>1071</v>
      </c>
      <c r="C1625" s="4">
        <v>45405</v>
      </c>
      <c r="D1625" s="3" t="s">
        <v>277</v>
      </c>
      <c r="E1625" s="4">
        <v>45420</v>
      </c>
      <c r="F1625" s="4">
        <v>45425</v>
      </c>
      <c r="G1625" s="3" t="s">
        <v>45</v>
      </c>
      <c r="H1625" s="3" t="s">
        <v>29</v>
      </c>
      <c r="I1625" s="3" t="s">
        <v>22</v>
      </c>
      <c r="J1625" s="3" t="s">
        <v>30</v>
      </c>
      <c r="K1625" s="3">
        <v>15</v>
      </c>
      <c r="L1625" s="3">
        <v>5</v>
      </c>
      <c r="M1625" s="3">
        <v>7084</v>
      </c>
      <c r="N1625" s="3">
        <v>35420</v>
      </c>
      <c r="O1625" s="3">
        <v>35420</v>
      </c>
      <c r="P1625" s="3" t="s">
        <v>51</v>
      </c>
      <c r="Q1625" s="3">
        <v>0</v>
      </c>
      <c r="R1625" s="3" t="str">
        <f t="shared" si="25"/>
        <v>Not Cancelled</v>
      </c>
      <c r="S1625" s="3" t="s">
        <v>25</v>
      </c>
    </row>
    <row r="1626" spans="1:19" x14ac:dyDescent="0.35">
      <c r="A1626" s="3">
        <v>2625</v>
      </c>
      <c r="B1626" s="3" t="s">
        <v>1072</v>
      </c>
      <c r="C1626" s="4">
        <v>45313</v>
      </c>
      <c r="D1626" s="3" t="s">
        <v>165</v>
      </c>
      <c r="E1626" s="4">
        <v>45322</v>
      </c>
      <c r="F1626" s="4">
        <v>45326</v>
      </c>
      <c r="G1626" s="3" t="s">
        <v>42</v>
      </c>
      <c r="H1626" s="3" t="s">
        <v>21</v>
      </c>
      <c r="I1626" s="3" t="s">
        <v>39</v>
      </c>
      <c r="J1626" s="3" t="s">
        <v>46</v>
      </c>
      <c r="K1626" s="3">
        <v>9</v>
      </c>
      <c r="L1626" s="3">
        <v>4</v>
      </c>
      <c r="M1626" s="3">
        <v>7297</v>
      </c>
      <c r="N1626" s="3">
        <v>29188</v>
      </c>
      <c r="O1626" s="3">
        <v>29188</v>
      </c>
      <c r="P1626" s="3" t="s">
        <v>51</v>
      </c>
      <c r="Q1626" s="3">
        <v>0</v>
      </c>
      <c r="R1626" s="3" t="str">
        <f t="shared" si="25"/>
        <v>Not Cancelled</v>
      </c>
      <c r="S1626" s="3" t="s">
        <v>31</v>
      </c>
    </row>
    <row r="1627" spans="1:19" x14ac:dyDescent="0.35">
      <c r="A1627" s="3">
        <v>2626</v>
      </c>
      <c r="B1627" s="3" t="s">
        <v>839</v>
      </c>
      <c r="C1627" s="4">
        <v>45640</v>
      </c>
      <c r="D1627" s="3" t="s">
        <v>226</v>
      </c>
      <c r="E1627" s="4">
        <v>45692</v>
      </c>
      <c r="F1627" s="4">
        <v>45697</v>
      </c>
      <c r="G1627" s="3" t="s">
        <v>45</v>
      </c>
      <c r="H1627" s="3" t="s">
        <v>60</v>
      </c>
      <c r="I1627" s="3" t="s">
        <v>22</v>
      </c>
      <c r="J1627" s="3" t="s">
        <v>30</v>
      </c>
      <c r="K1627" s="3">
        <v>52</v>
      </c>
      <c r="L1627" s="3">
        <v>5</v>
      </c>
      <c r="M1627" s="3">
        <v>3186</v>
      </c>
      <c r="N1627" s="3">
        <v>15930</v>
      </c>
      <c r="O1627" s="3">
        <v>0</v>
      </c>
      <c r="P1627" s="3" t="s">
        <v>51</v>
      </c>
      <c r="Q1627" s="3">
        <v>1</v>
      </c>
      <c r="R1627" s="3" t="str">
        <f t="shared" si="25"/>
        <v>Cancelled</v>
      </c>
      <c r="S1627" s="3" t="s">
        <v>25</v>
      </c>
    </row>
    <row r="1628" spans="1:19" x14ac:dyDescent="0.35">
      <c r="A1628" s="3">
        <v>2627</v>
      </c>
      <c r="B1628" s="3" t="s">
        <v>344</v>
      </c>
      <c r="C1628" s="4">
        <v>45505</v>
      </c>
      <c r="D1628" s="3" t="s">
        <v>37</v>
      </c>
      <c r="E1628" s="4">
        <v>45515</v>
      </c>
      <c r="F1628" s="4">
        <v>45517</v>
      </c>
      <c r="G1628" s="3" t="s">
        <v>28</v>
      </c>
      <c r="H1628" s="3" t="s">
        <v>38</v>
      </c>
      <c r="I1628" s="3" t="s">
        <v>39</v>
      </c>
      <c r="J1628" s="3" t="s">
        <v>23</v>
      </c>
      <c r="K1628" s="3">
        <v>10</v>
      </c>
      <c r="L1628" s="3">
        <v>2</v>
      </c>
      <c r="M1628" s="3">
        <v>5861</v>
      </c>
      <c r="N1628" s="3">
        <v>11722</v>
      </c>
      <c r="O1628" s="3">
        <v>11722</v>
      </c>
      <c r="P1628" s="3" t="s">
        <v>51</v>
      </c>
      <c r="Q1628" s="3">
        <v>0</v>
      </c>
      <c r="R1628" s="3" t="str">
        <f t="shared" si="25"/>
        <v>Not Cancelled</v>
      </c>
      <c r="S1628" s="3" t="s">
        <v>25</v>
      </c>
    </row>
    <row r="1629" spans="1:19" x14ac:dyDescent="0.35">
      <c r="A1629" s="3">
        <v>2628</v>
      </c>
      <c r="B1629" s="3" t="s">
        <v>496</v>
      </c>
      <c r="C1629" s="4">
        <v>45462</v>
      </c>
      <c r="D1629" s="3" t="s">
        <v>62</v>
      </c>
      <c r="E1629" s="4">
        <v>45506</v>
      </c>
      <c r="F1629" s="4">
        <v>45507</v>
      </c>
      <c r="G1629" s="3" t="s">
        <v>34</v>
      </c>
      <c r="H1629" s="3" t="s">
        <v>38</v>
      </c>
      <c r="I1629" s="3" t="s">
        <v>22</v>
      </c>
      <c r="J1629" s="3" t="s">
        <v>30</v>
      </c>
      <c r="K1629" s="3">
        <v>44</v>
      </c>
      <c r="L1629" s="3">
        <v>1</v>
      </c>
      <c r="M1629" s="3">
        <v>7591</v>
      </c>
      <c r="N1629" s="3">
        <v>7591</v>
      </c>
      <c r="O1629" s="3">
        <v>7591</v>
      </c>
      <c r="P1629" s="3" t="s">
        <v>51</v>
      </c>
      <c r="Q1629" s="3">
        <v>0</v>
      </c>
      <c r="R1629" s="3" t="str">
        <f t="shared" si="25"/>
        <v>Not Cancelled</v>
      </c>
      <c r="S1629" s="3" t="s">
        <v>31</v>
      </c>
    </row>
    <row r="1630" spans="1:19" x14ac:dyDescent="0.35">
      <c r="A1630" s="3">
        <v>2629</v>
      </c>
      <c r="B1630" s="3" t="s">
        <v>437</v>
      </c>
      <c r="C1630" s="4">
        <v>45614</v>
      </c>
      <c r="D1630" s="3" t="s">
        <v>48</v>
      </c>
      <c r="E1630" s="4">
        <v>45645</v>
      </c>
      <c r="F1630" s="4">
        <v>45649</v>
      </c>
      <c r="G1630" s="3" t="s">
        <v>42</v>
      </c>
      <c r="H1630" s="3" t="s">
        <v>35</v>
      </c>
      <c r="I1630" s="3" t="s">
        <v>39</v>
      </c>
      <c r="J1630" s="3" t="s">
        <v>23</v>
      </c>
      <c r="K1630" s="3">
        <v>31</v>
      </c>
      <c r="L1630" s="3">
        <v>4</v>
      </c>
      <c r="M1630" s="3">
        <v>2856</v>
      </c>
      <c r="N1630" s="3">
        <v>11424</v>
      </c>
      <c r="O1630" s="3">
        <v>0</v>
      </c>
      <c r="P1630" s="3" t="s">
        <v>51</v>
      </c>
      <c r="Q1630" s="3">
        <v>1</v>
      </c>
      <c r="R1630" s="3" t="str">
        <f t="shared" si="25"/>
        <v>Cancelled</v>
      </c>
      <c r="S1630" s="3" t="s">
        <v>25</v>
      </c>
    </row>
    <row r="1631" spans="1:19" x14ac:dyDescent="0.35">
      <c r="A1631" s="3">
        <v>2630</v>
      </c>
      <c r="B1631" s="3" t="s">
        <v>691</v>
      </c>
      <c r="C1631" s="4">
        <v>45345</v>
      </c>
      <c r="D1631" s="3" t="s">
        <v>133</v>
      </c>
      <c r="E1631" s="4">
        <v>45398</v>
      </c>
      <c r="F1631" s="4">
        <v>45402</v>
      </c>
      <c r="G1631" s="3" t="s">
        <v>42</v>
      </c>
      <c r="H1631" s="3" t="s">
        <v>21</v>
      </c>
      <c r="I1631" s="3" t="s">
        <v>22</v>
      </c>
      <c r="J1631" s="3" t="s">
        <v>30</v>
      </c>
      <c r="K1631" s="3">
        <v>53</v>
      </c>
      <c r="L1631" s="3">
        <v>4</v>
      </c>
      <c r="M1631" s="3">
        <v>6315</v>
      </c>
      <c r="N1631" s="3">
        <v>25260</v>
      </c>
      <c r="O1631" s="3">
        <v>0</v>
      </c>
      <c r="P1631" s="3" t="s">
        <v>24</v>
      </c>
      <c r="Q1631" s="3">
        <v>1</v>
      </c>
      <c r="R1631" s="3" t="str">
        <f t="shared" si="25"/>
        <v>Cancelled</v>
      </c>
      <c r="S1631" s="3" t="s">
        <v>31</v>
      </c>
    </row>
    <row r="1632" spans="1:19" x14ac:dyDescent="0.35">
      <c r="A1632" s="3">
        <v>2631</v>
      </c>
      <c r="B1632" s="3" t="s">
        <v>340</v>
      </c>
      <c r="C1632" s="4">
        <v>45589</v>
      </c>
      <c r="D1632" s="3" t="s">
        <v>111</v>
      </c>
      <c r="E1632" s="4">
        <v>45612</v>
      </c>
      <c r="F1632" s="4">
        <v>45614</v>
      </c>
      <c r="G1632" s="3" t="s">
        <v>28</v>
      </c>
      <c r="H1632" s="3" t="s">
        <v>29</v>
      </c>
      <c r="I1632" s="3" t="s">
        <v>39</v>
      </c>
      <c r="J1632" s="3" t="s">
        <v>30</v>
      </c>
      <c r="K1632" s="3">
        <v>23</v>
      </c>
      <c r="L1632" s="3">
        <v>2</v>
      </c>
      <c r="M1632" s="3">
        <v>3371</v>
      </c>
      <c r="N1632" s="3">
        <v>6742</v>
      </c>
      <c r="O1632" s="3">
        <v>6742</v>
      </c>
      <c r="P1632" s="3" t="s">
        <v>51</v>
      </c>
      <c r="Q1632" s="3">
        <v>0</v>
      </c>
      <c r="R1632" s="3" t="str">
        <f t="shared" si="25"/>
        <v>Not Cancelled</v>
      </c>
      <c r="S1632" s="3" t="s">
        <v>25</v>
      </c>
    </row>
    <row r="1633" spans="1:19" x14ac:dyDescent="0.35">
      <c r="A1633" s="3">
        <v>2632</v>
      </c>
      <c r="B1633" s="3" t="s">
        <v>1073</v>
      </c>
      <c r="C1633" s="4">
        <v>45611</v>
      </c>
      <c r="D1633" s="3" t="s">
        <v>226</v>
      </c>
      <c r="E1633" s="4">
        <v>45663</v>
      </c>
      <c r="F1633" s="4">
        <v>45668</v>
      </c>
      <c r="G1633" s="3" t="s">
        <v>45</v>
      </c>
      <c r="H1633" s="3" t="s">
        <v>29</v>
      </c>
      <c r="I1633" s="3" t="s">
        <v>39</v>
      </c>
      <c r="J1633" s="3" t="s">
        <v>46</v>
      </c>
      <c r="K1633" s="3">
        <v>52</v>
      </c>
      <c r="L1633" s="3">
        <v>5</v>
      </c>
      <c r="M1633" s="3">
        <v>4473</v>
      </c>
      <c r="N1633" s="3">
        <v>22365</v>
      </c>
      <c r="O1633" s="3">
        <v>22365</v>
      </c>
      <c r="P1633" s="3" t="s">
        <v>24</v>
      </c>
      <c r="Q1633" s="3">
        <v>0</v>
      </c>
      <c r="R1633" s="3" t="str">
        <f t="shared" si="25"/>
        <v>Not Cancelled</v>
      </c>
      <c r="S1633" s="3" t="s">
        <v>31</v>
      </c>
    </row>
    <row r="1634" spans="1:19" x14ac:dyDescent="0.35">
      <c r="A1634" s="3">
        <v>2633</v>
      </c>
      <c r="B1634" s="3" t="s">
        <v>197</v>
      </c>
      <c r="C1634" s="4">
        <v>45417</v>
      </c>
      <c r="D1634" s="3" t="s">
        <v>50</v>
      </c>
      <c r="E1634" s="4">
        <v>45447</v>
      </c>
      <c r="F1634" s="4">
        <v>45448</v>
      </c>
      <c r="G1634" s="3" t="s">
        <v>34</v>
      </c>
      <c r="H1634" s="3" t="s">
        <v>29</v>
      </c>
      <c r="I1634" s="3" t="s">
        <v>22</v>
      </c>
      <c r="J1634" s="3" t="s">
        <v>23</v>
      </c>
      <c r="K1634" s="3">
        <v>30</v>
      </c>
      <c r="L1634" s="3">
        <v>1</v>
      </c>
      <c r="M1634" s="3">
        <v>8847</v>
      </c>
      <c r="N1634" s="3">
        <v>8847</v>
      </c>
      <c r="O1634" s="3">
        <v>0</v>
      </c>
      <c r="P1634" s="3" t="s">
        <v>51</v>
      </c>
      <c r="Q1634" s="3">
        <v>1</v>
      </c>
      <c r="R1634" s="3" t="str">
        <f t="shared" si="25"/>
        <v>Cancelled</v>
      </c>
      <c r="S1634" s="3" t="s">
        <v>25</v>
      </c>
    </row>
    <row r="1635" spans="1:19" x14ac:dyDescent="0.35">
      <c r="A1635" s="3">
        <v>2634</v>
      </c>
      <c r="B1635" s="3" t="s">
        <v>525</v>
      </c>
      <c r="C1635" s="4">
        <v>45568</v>
      </c>
      <c r="D1635" s="3" t="s">
        <v>69</v>
      </c>
      <c r="E1635" s="4">
        <v>45601</v>
      </c>
      <c r="F1635" s="4">
        <v>45605</v>
      </c>
      <c r="G1635" s="3" t="s">
        <v>42</v>
      </c>
      <c r="H1635" s="3" t="s">
        <v>60</v>
      </c>
      <c r="I1635" s="3" t="s">
        <v>22</v>
      </c>
      <c r="J1635" s="3" t="s">
        <v>23</v>
      </c>
      <c r="K1635" s="3">
        <v>33</v>
      </c>
      <c r="L1635" s="3">
        <v>4</v>
      </c>
      <c r="M1635" s="3">
        <v>7147</v>
      </c>
      <c r="N1635" s="3">
        <v>28588</v>
      </c>
      <c r="O1635" s="3">
        <v>0</v>
      </c>
      <c r="P1635" s="3" t="s">
        <v>24</v>
      </c>
      <c r="Q1635" s="3">
        <v>1</v>
      </c>
      <c r="R1635" s="3" t="str">
        <f t="shared" si="25"/>
        <v>Cancelled</v>
      </c>
      <c r="S1635" s="3" t="s">
        <v>31</v>
      </c>
    </row>
    <row r="1636" spans="1:19" x14ac:dyDescent="0.35">
      <c r="A1636" s="3">
        <v>2635</v>
      </c>
      <c r="B1636" s="3" t="s">
        <v>1074</v>
      </c>
      <c r="C1636" s="4">
        <v>45495</v>
      </c>
      <c r="D1636" s="3" t="s">
        <v>100</v>
      </c>
      <c r="E1636" s="4">
        <v>45552</v>
      </c>
      <c r="F1636" s="4">
        <v>45553</v>
      </c>
      <c r="G1636" s="3" t="s">
        <v>34</v>
      </c>
      <c r="H1636" s="3" t="s">
        <v>21</v>
      </c>
      <c r="I1636" s="3" t="s">
        <v>22</v>
      </c>
      <c r="J1636" s="3" t="s">
        <v>23</v>
      </c>
      <c r="K1636" s="3">
        <v>57</v>
      </c>
      <c r="L1636" s="3">
        <v>1</v>
      </c>
      <c r="M1636" s="3">
        <v>4310</v>
      </c>
      <c r="N1636" s="3">
        <v>4310</v>
      </c>
      <c r="O1636" s="3">
        <v>0</v>
      </c>
      <c r="P1636" s="3" t="s">
        <v>24</v>
      </c>
      <c r="Q1636" s="3">
        <v>1</v>
      </c>
      <c r="R1636" s="3" t="str">
        <f t="shared" si="25"/>
        <v>Cancelled</v>
      </c>
      <c r="S1636" s="3" t="s">
        <v>31</v>
      </c>
    </row>
    <row r="1637" spans="1:19" x14ac:dyDescent="0.35">
      <c r="A1637" s="3">
        <v>2636</v>
      </c>
      <c r="B1637" s="3" t="s">
        <v>564</v>
      </c>
      <c r="C1637" s="4">
        <v>45485</v>
      </c>
      <c r="D1637" s="3" t="s">
        <v>226</v>
      </c>
      <c r="E1637" s="4">
        <v>45537</v>
      </c>
      <c r="F1637" s="4">
        <v>45541</v>
      </c>
      <c r="G1637" s="3" t="s">
        <v>42</v>
      </c>
      <c r="H1637" s="3" t="s">
        <v>29</v>
      </c>
      <c r="I1637" s="3" t="s">
        <v>22</v>
      </c>
      <c r="J1637" s="3" t="s">
        <v>46</v>
      </c>
      <c r="K1637" s="3">
        <v>52</v>
      </c>
      <c r="L1637" s="3">
        <v>4</v>
      </c>
      <c r="M1637" s="3">
        <v>6918</v>
      </c>
      <c r="N1637" s="3">
        <v>27672</v>
      </c>
      <c r="O1637" s="3">
        <v>0</v>
      </c>
      <c r="P1637" s="3" t="s">
        <v>24</v>
      </c>
      <c r="Q1637" s="3">
        <v>1</v>
      </c>
      <c r="R1637" s="3" t="str">
        <f t="shared" si="25"/>
        <v>Cancelled</v>
      </c>
      <c r="S1637" s="3" t="s">
        <v>31</v>
      </c>
    </row>
    <row r="1638" spans="1:19" x14ac:dyDescent="0.35">
      <c r="A1638" s="3">
        <v>2637</v>
      </c>
      <c r="B1638" s="3" t="s">
        <v>668</v>
      </c>
      <c r="C1638" s="4">
        <v>45460</v>
      </c>
      <c r="D1638" s="3" t="s">
        <v>165</v>
      </c>
      <c r="E1638" s="4">
        <v>45469</v>
      </c>
      <c r="F1638" s="4">
        <v>45474</v>
      </c>
      <c r="G1638" s="3" t="s">
        <v>45</v>
      </c>
      <c r="H1638" s="3" t="s">
        <v>60</v>
      </c>
      <c r="I1638" s="3" t="s">
        <v>22</v>
      </c>
      <c r="J1638" s="3" t="s">
        <v>30</v>
      </c>
      <c r="K1638" s="3">
        <v>9</v>
      </c>
      <c r="L1638" s="3">
        <v>5</v>
      </c>
      <c r="M1638" s="3">
        <v>5141</v>
      </c>
      <c r="N1638" s="3">
        <v>25705</v>
      </c>
      <c r="O1638" s="3">
        <v>25705</v>
      </c>
      <c r="P1638" s="3" t="s">
        <v>24</v>
      </c>
      <c r="Q1638" s="3">
        <v>0</v>
      </c>
      <c r="R1638" s="3" t="str">
        <f t="shared" si="25"/>
        <v>Not Cancelled</v>
      </c>
      <c r="S1638" s="3" t="s">
        <v>31</v>
      </c>
    </row>
    <row r="1639" spans="1:19" x14ac:dyDescent="0.35">
      <c r="A1639" s="3">
        <v>2638</v>
      </c>
      <c r="B1639" s="3" t="s">
        <v>883</v>
      </c>
      <c r="C1639" s="4">
        <v>45443</v>
      </c>
      <c r="D1639" s="3" t="s">
        <v>117</v>
      </c>
      <c r="E1639" s="4">
        <v>45497</v>
      </c>
      <c r="F1639" s="4">
        <v>45501</v>
      </c>
      <c r="G1639" s="3" t="s">
        <v>42</v>
      </c>
      <c r="H1639" s="3" t="s">
        <v>38</v>
      </c>
      <c r="I1639" s="3" t="s">
        <v>22</v>
      </c>
      <c r="J1639" s="3" t="s">
        <v>46</v>
      </c>
      <c r="K1639" s="3">
        <v>54</v>
      </c>
      <c r="L1639" s="3">
        <v>4</v>
      </c>
      <c r="M1639" s="3">
        <v>4728</v>
      </c>
      <c r="N1639" s="3">
        <v>18912</v>
      </c>
      <c r="O1639" s="3">
        <v>0</v>
      </c>
      <c r="P1639" s="3" t="s">
        <v>24</v>
      </c>
      <c r="Q1639" s="3">
        <v>1</v>
      </c>
      <c r="R1639" s="3" t="str">
        <f t="shared" si="25"/>
        <v>Cancelled</v>
      </c>
      <c r="S1639" s="3" t="s">
        <v>25</v>
      </c>
    </row>
    <row r="1640" spans="1:19" x14ac:dyDescent="0.35">
      <c r="A1640" s="3">
        <v>2639</v>
      </c>
      <c r="B1640" s="3" t="s">
        <v>1058</v>
      </c>
      <c r="C1640" s="4">
        <v>45326</v>
      </c>
      <c r="D1640" s="3" t="s">
        <v>148</v>
      </c>
      <c r="E1640" s="4">
        <v>45373</v>
      </c>
      <c r="F1640" s="4">
        <v>45377</v>
      </c>
      <c r="G1640" s="3" t="s">
        <v>42</v>
      </c>
      <c r="H1640" s="3" t="s">
        <v>35</v>
      </c>
      <c r="I1640" s="3" t="s">
        <v>39</v>
      </c>
      <c r="J1640" s="3" t="s">
        <v>30</v>
      </c>
      <c r="K1640" s="3">
        <v>47</v>
      </c>
      <c r="L1640" s="3">
        <v>4</v>
      </c>
      <c r="M1640" s="3">
        <v>5891</v>
      </c>
      <c r="N1640" s="3">
        <v>23564</v>
      </c>
      <c r="O1640" s="3">
        <v>0</v>
      </c>
      <c r="P1640" s="3" t="s">
        <v>24</v>
      </c>
      <c r="Q1640" s="3">
        <v>1</v>
      </c>
      <c r="R1640" s="3" t="str">
        <f t="shared" si="25"/>
        <v>Cancelled</v>
      </c>
      <c r="S1640" s="3" t="s">
        <v>25</v>
      </c>
    </row>
    <row r="1641" spans="1:19" x14ac:dyDescent="0.35">
      <c r="A1641" s="3">
        <v>2640</v>
      </c>
      <c r="B1641" s="3" t="s">
        <v>522</v>
      </c>
      <c r="C1641" s="4">
        <v>45475</v>
      </c>
      <c r="D1641" s="3" t="s">
        <v>34</v>
      </c>
      <c r="E1641" s="4">
        <v>45476</v>
      </c>
      <c r="F1641" s="4">
        <v>45479</v>
      </c>
      <c r="G1641" s="3" t="s">
        <v>20</v>
      </c>
      <c r="H1641" s="3" t="s">
        <v>21</v>
      </c>
      <c r="I1641" s="3" t="s">
        <v>39</v>
      </c>
      <c r="J1641" s="3" t="s">
        <v>46</v>
      </c>
      <c r="K1641" s="3">
        <v>1</v>
      </c>
      <c r="L1641" s="3">
        <v>3</v>
      </c>
      <c r="M1641" s="3">
        <v>6678</v>
      </c>
      <c r="N1641" s="3">
        <v>20034</v>
      </c>
      <c r="O1641" s="3">
        <v>20034</v>
      </c>
      <c r="P1641" s="3" t="s">
        <v>51</v>
      </c>
      <c r="Q1641" s="3">
        <v>0</v>
      </c>
      <c r="R1641" s="3" t="str">
        <f t="shared" si="25"/>
        <v>Not Cancelled</v>
      </c>
      <c r="S1641" s="3" t="s">
        <v>31</v>
      </c>
    </row>
    <row r="1642" spans="1:19" x14ac:dyDescent="0.35">
      <c r="A1642" s="3">
        <v>2641</v>
      </c>
      <c r="B1642" s="3" t="s">
        <v>1075</v>
      </c>
      <c r="C1642" s="4">
        <v>45577</v>
      </c>
      <c r="D1642" s="3" t="s">
        <v>62</v>
      </c>
      <c r="E1642" s="4">
        <v>45621</v>
      </c>
      <c r="F1642" s="4">
        <v>45626</v>
      </c>
      <c r="G1642" s="3" t="s">
        <v>45</v>
      </c>
      <c r="H1642" s="3" t="s">
        <v>21</v>
      </c>
      <c r="I1642" s="3" t="s">
        <v>39</v>
      </c>
      <c r="J1642" s="3" t="s">
        <v>46</v>
      </c>
      <c r="K1642" s="3">
        <v>44</v>
      </c>
      <c r="L1642" s="3">
        <v>5</v>
      </c>
      <c r="M1642" s="3">
        <v>4850</v>
      </c>
      <c r="N1642" s="3">
        <v>24250</v>
      </c>
      <c r="O1642" s="3">
        <v>24250</v>
      </c>
      <c r="P1642" s="3" t="s">
        <v>51</v>
      </c>
      <c r="Q1642" s="3">
        <v>0</v>
      </c>
      <c r="R1642" s="3" t="str">
        <f t="shared" si="25"/>
        <v>Not Cancelled</v>
      </c>
      <c r="S1642" s="3" t="s">
        <v>25</v>
      </c>
    </row>
    <row r="1643" spans="1:19" x14ac:dyDescent="0.35">
      <c r="A1643" s="3">
        <v>2642</v>
      </c>
      <c r="B1643" s="3" t="s">
        <v>345</v>
      </c>
      <c r="C1643" s="4">
        <v>45348</v>
      </c>
      <c r="D1643" s="3" t="s">
        <v>91</v>
      </c>
      <c r="E1643" s="4">
        <v>45383</v>
      </c>
      <c r="F1643" s="4">
        <v>45385</v>
      </c>
      <c r="G1643" s="3" t="s">
        <v>28</v>
      </c>
      <c r="H1643" s="3" t="s">
        <v>38</v>
      </c>
      <c r="I1643" s="3" t="s">
        <v>22</v>
      </c>
      <c r="J1643" s="3" t="s">
        <v>23</v>
      </c>
      <c r="K1643" s="3">
        <v>35</v>
      </c>
      <c r="L1643" s="3">
        <v>2</v>
      </c>
      <c r="M1643" s="3">
        <v>6857</v>
      </c>
      <c r="N1643" s="3">
        <v>13714</v>
      </c>
      <c r="O1643" s="3">
        <v>13714</v>
      </c>
      <c r="P1643" s="3" t="s">
        <v>51</v>
      </c>
      <c r="Q1643" s="3">
        <v>0</v>
      </c>
      <c r="R1643" s="3" t="str">
        <f t="shared" si="25"/>
        <v>Not Cancelled</v>
      </c>
      <c r="S1643" s="3" t="s">
        <v>31</v>
      </c>
    </row>
    <row r="1644" spans="1:19" x14ac:dyDescent="0.35">
      <c r="A1644" s="3">
        <v>2643</v>
      </c>
      <c r="B1644" s="3" t="s">
        <v>1076</v>
      </c>
      <c r="C1644" s="4">
        <v>45513</v>
      </c>
      <c r="D1644" s="3" t="s">
        <v>75</v>
      </c>
      <c r="E1644" s="4">
        <v>45524</v>
      </c>
      <c r="F1644" s="4">
        <v>45526</v>
      </c>
      <c r="G1644" s="3" t="s">
        <v>28</v>
      </c>
      <c r="H1644" s="3" t="s">
        <v>21</v>
      </c>
      <c r="I1644" s="3" t="s">
        <v>22</v>
      </c>
      <c r="J1644" s="3" t="s">
        <v>46</v>
      </c>
      <c r="K1644" s="3">
        <v>11</v>
      </c>
      <c r="L1644" s="3">
        <v>2</v>
      </c>
      <c r="M1644" s="3">
        <v>7379</v>
      </c>
      <c r="N1644" s="3">
        <v>14758</v>
      </c>
      <c r="O1644" s="3">
        <v>14758</v>
      </c>
      <c r="P1644" s="3" t="s">
        <v>51</v>
      </c>
      <c r="Q1644" s="3">
        <v>0</v>
      </c>
      <c r="R1644" s="3" t="str">
        <f t="shared" si="25"/>
        <v>Not Cancelled</v>
      </c>
      <c r="S1644" s="3" t="s">
        <v>31</v>
      </c>
    </row>
    <row r="1645" spans="1:19" x14ac:dyDescent="0.35">
      <c r="A1645" s="3">
        <v>2644</v>
      </c>
      <c r="B1645" s="3" t="s">
        <v>1025</v>
      </c>
      <c r="C1645" s="4">
        <v>45594</v>
      </c>
      <c r="D1645" s="3" t="s">
        <v>128</v>
      </c>
      <c r="E1645" s="4">
        <v>45628</v>
      </c>
      <c r="F1645" s="4">
        <v>45633</v>
      </c>
      <c r="G1645" s="3" t="s">
        <v>45</v>
      </c>
      <c r="H1645" s="3" t="s">
        <v>21</v>
      </c>
      <c r="I1645" s="3" t="s">
        <v>22</v>
      </c>
      <c r="J1645" s="3" t="s">
        <v>30</v>
      </c>
      <c r="K1645" s="3">
        <v>34</v>
      </c>
      <c r="L1645" s="3">
        <v>5</v>
      </c>
      <c r="M1645" s="3">
        <v>7819</v>
      </c>
      <c r="N1645" s="3">
        <v>39095</v>
      </c>
      <c r="O1645" s="3">
        <v>39095</v>
      </c>
      <c r="P1645" s="3" t="s">
        <v>51</v>
      </c>
      <c r="Q1645" s="3">
        <v>0</v>
      </c>
      <c r="R1645" s="3" t="str">
        <f t="shared" si="25"/>
        <v>Not Cancelled</v>
      </c>
      <c r="S1645" s="3" t="s">
        <v>25</v>
      </c>
    </row>
    <row r="1646" spans="1:19" x14ac:dyDescent="0.35">
      <c r="A1646" s="3">
        <v>2645</v>
      </c>
      <c r="B1646" s="3" t="s">
        <v>845</v>
      </c>
      <c r="C1646" s="4">
        <v>45454</v>
      </c>
      <c r="D1646" s="3" t="s">
        <v>88</v>
      </c>
      <c r="E1646" s="4">
        <v>45470</v>
      </c>
      <c r="F1646" s="4">
        <v>45472</v>
      </c>
      <c r="G1646" s="3" t="s">
        <v>28</v>
      </c>
      <c r="H1646" s="3" t="s">
        <v>21</v>
      </c>
      <c r="I1646" s="3" t="s">
        <v>39</v>
      </c>
      <c r="J1646" s="3" t="s">
        <v>46</v>
      </c>
      <c r="K1646" s="3">
        <v>16</v>
      </c>
      <c r="L1646" s="3">
        <v>2</v>
      </c>
      <c r="M1646" s="3">
        <v>7509</v>
      </c>
      <c r="N1646" s="3">
        <v>15018</v>
      </c>
      <c r="O1646" s="3">
        <v>0</v>
      </c>
      <c r="P1646" s="3" t="s">
        <v>51</v>
      </c>
      <c r="Q1646" s="3">
        <v>1</v>
      </c>
      <c r="R1646" s="3" t="str">
        <f t="shared" si="25"/>
        <v>Cancelled</v>
      </c>
      <c r="S1646" s="3" t="s">
        <v>25</v>
      </c>
    </row>
    <row r="1647" spans="1:19" x14ac:dyDescent="0.35">
      <c r="A1647" s="3">
        <v>2646</v>
      </c>
      <c r="B1647" s="3" t="s">
        <v>1077</v>
      </c>
      <c r="C1647" s="4">
        <v>45310</v>
      </c>
      <c r="D1647" s="3" t="s">
        <v>165</v>
      </c>
      <c r="E1647" s="4">
        <v>45319</v>
      </c>
      <c r="F1647" s="4">
        <v>45324</v>
      </c>
      <c r="G1647" s="3" t="s">
        <v>45</v>
      </c>
      <c r="H1647" s="3" t="s">
        <v>21</v>
      </c>
      <c r="I1647" s="3" t="s">
        <v>22</v>
      </c>
      <c r="J1647" s="3" t="s">
        <v>46</v>
      </c>
      <c r="K1647" s="3">
        <v>9</v>
      </c>
      <c r="L1647" s="3">
        <v>5</v>
      </c>
      <c r="M1647" s="3">
        <v>5239</v>
      </c>
      <c r="N1647" s="3">
        <v>26195</v>
      </c>
      <c r="O1647" s="3">
        <v>26195</v>
      </c>
      <c r="P1647" s="3" t="s">
        <v>24</v>
      </c>
      <c r="Q1647" s="3">
        <v>0</v>
      </c>
      <c r="R1647" s="3" t="str">
        <f t="shared" si="25"/>
        <v>Not Cancelled</v>
      </c>
      <c r="S1647" s="3" t="s">
        <v>31</v>
      </c>
    </row>
    <row r="1648" spans="1:19" x14ac:dyDescent="0.35">
      <c r="A1648" s="3">
        <v>2647</v>
      </c>
      <c r="B1648" s="3" t="s">
        <v>1078</v>
      </c>
      <c r="C1648" s="4">
        <v>45555</v>
      </c>
      <c r="D1648" s="3" t="s">
        <v>144</v>
      </c>
      <c r="E1648" s="4">
        <v>45587</v>
      </c>
      <c r="F1648" s="4">
        <v>45589</v>
      </c>
      <c r="G1648" s="3" t="s">
        <v>28</v>
      </c>
      <c r="H1648" s="3" t="s">
        <v>60</v>
      </c>
      <c r="I1648" s="3" t="s">
        <v>39</v>
      </c>
      <c r="J1648" s="3" t="s">
        <v>30</v>
      </c>
      <c r="K1648" s="3">
        <v>32</v>
      </c>
      <c r="L1648" s="3">
        <v>2</v>
      </c>
      <c r="M1648" s="3">
        <v>7539</v>
      </c>
      <c r="N1648" s="3">
        <v>15078</v>
      </c>
      <c r="O1648" s="3">
        <v>15078</v>
      </c>
      <c r="P1648" s="3" t="s">
        <v>51</v>
      </c>
      <c r="Q1648" s="3">
        <v>0</v>
      </c>
      <c r="R1648" s="3" t="str">
        <f t="shared" si="25"/>
        <v>Not Cancelled</v>
      </c>
      <c r="S1648" s="3" t="s">
        <v>25</v>
      </c>
    </row>
    <row r="1649" spans="1:19" x14ac:dyDescent="0.35">
      <c r="A1649" s="3">
        <v>2648</v>
      </c>
      <c r="B1649" s="3" t="s">
        <v>1079</v>
      </c>
      <c r="C1649" s="4">
        <v>45573</v>
      </c>
      <c r="D1649" s="3" t="s">
        <v>277</v>
      </c>
      <c r="E1649" s="4">
        <v>45588</v>
      </c>
      <c r="F1649" s="4">
        <v>45591</v>
      </c>
      <c r="G1649" s="3" t="s">
        <v>20</v>
      </c>
      <c r="H1649" s="3" t="s">
        <v>60</v>
      </c>
      <c r="I1649" s="3" t="s">
        <v>22</v>
      </c>
      <c r="J1649" s="3" t="s">
        <v>23</v>
      </c>
      <c r="K1649" s="3">
        <v>15</v>
      </c>
      <c r="L1649" s="3">
        <v>3</v>
      </c>
      <c r="M1649" s="3">
        <v>5230</v>
      </c>
      <c r="N1649" s="3">
        <v>15690</v>
      </c>
      <c r="O1649" s="3">
        <v>0</v>
      </c>
      <c r="P1649" s="3" t="s">
        <v>24</v>
      </c>
      <c r="Q1649" s="3">
        <v>1</v>
      </c>
      <c r="R1649" s="3" t="str">
        <f t="shared" si="25"/>
        <v>Cancelled</v>
      </c>
      <c r="S1649" s="3" t="s">
        <v>31</v>
      </c>
    </row>
    <row r="1650" spans="1:19" x14ac:dyDescent="0.35">
      <c r="A1650" s="3">
        <v>2649</v>
      </c>
      <c r="B1650" s="3" t="s">
        <v>284</v>
      </c>
      <c r="C1650" s="4">
        <v>45404</v>
      </c>
      <c r="D1650" s="3" t="s">
        <v>102</v>
      </c>
      <c r="E1650" s="4">
        <v>45416</v>
      </c>
      <c r="F1650" s="4">
        <v>45418</v>
      </c>
      <c r="G1650" s="3" t="s">
        <v>28</v>
      </c>
      <c r="H1650" s="3" t="s">
        <v>35</v>
      </c>
      <c r="I1650" s="3" t="s">
        <v>22</v>
      </c>
      <c r="J1650" s="3" t="s">
        <v>30</v>
      </c>
      <c r="K1650" s="3">
        <v>12</v>
      </c>
      <c r="L1650" s="3">
        <v>2</v>
      </c>
      <c r="M1650" s="3">
        <v>3818</v>
      </c>
      <c r="N1650" s="3">
        <v>7636</v>
      </c>
      <c r="O1650" s="3">
        <v>0</v>
      </c>
      <c r="P1650" s="3" t="s">
        <v>24</v>
      </c>
      <c r="Q1650" s="3">
        <v>1</v>
      </c>
      <c r="R1650" s="3" t="str">
        <f t="shared" si="25"/>
        <v>Cancelled</v>
      </c>
      <c r="S1650" s="3" t="s">
        <v>25</v>
      </c>
    </row>
    <row r="1651" spans="1:19" x14ac:dyDescent="0.35">
      <c r="A1651" s="3">
        <v>2650</v>
      </c>
      <c r="B1651" s="3" t="s">
        <v>401</v>
      </c>
      <c r="C1651" s="4">
        <v>45618</v>
      </c>
      <c r="D1651" s="3" t="s">
        <v>69</v>
      </c>
      <c r="E1651" s="4">
        <v>45651</v>
      </c>
      <c r="F1651" s="4">
        <v>45655</v>
      </c>
      <c r="G1651" s="3" t="s">
        <v>42</v>
      </c>
      <c r="H1651" s="3" t="s">
        <v>21</v>
      </c>
      <c r="I1651" s="3" t="s">
        <v>22</v>
      </c>
      <c r="J1651" s="3" t="s">
        <v>30</v>
      </c>
      <c r="K1651" s="3">
        <v>33</v>
      </c>
      <c r="L1651" s="3">
        <v>4</v>
      </c>
      <c r="M1651" s="3">
        <v>4035</v>
      </c>
      <c r="N1651" s="3">
        <v>16140</v>
      </c>
      <c r="O1651" s="3">
        <v>16140</v>
      </c>
      <c r="P1651" s="3" t="s">
        <v>24</v>
      </c>
      <c r="Q1651" s="3">
        <v>0</v>
      </c>
      <c r="R1651" s="3" t="str">
        <f t="shared" si="25"/>
        <v>Not Cancelled</v>
      </c>
      <c r="S1651" s="3" t="s">
        <v>25</v>
      </c>
    </row>
    <row r="1652" spans="1:19" x14ac:dyDescent="0.35">
      <c r="A1652" s="3">
        <v>2651</v>
      </c>
      <c r="B1652" s="3" t="s">
        <v>1080</v>
      </c>
      <c r="C1652" s="4">
        <v>45321</v>
      </c>
      <c r="D1652" s="3" t="s">
        <v>64</v>
      </c>
      <c r="E1652" s="4">
        <v>45366</v>
      </c>
      <c r="F1652" s="4">
        <v>45371</v>
      </c>
      <c r="G1652" s="3" t="s">
        <v>45</v>
      </c>
      <c r="H1652" s="3" t="s">
        <v>38</v>
      </c>
      <c r="I1652" s="3" t="s">
        <v>39</v>
      </c>
      <c r="J1652" s="3" t="s">
        <v>30</v>
      </c>
      <c r="K1652" s="3">
        <v>45</v>
      </c>
      <c r="L1652" s="3">
        <v>5</v>
      </c>
      <c r="M1652" s="3">
        <v>7284</v>
      </c>
      <c r="N1652" s="3">
        <v>36420</v>
      </c>
      <c r="O1652" s="3">
        <v>36420</v>
      </c>
      <c r="P1652" s="3" t="s">
        <v>24</v>
      </c>
      <c r="Q1652" s="3">
        <v>0</v>
      </c>
      <c r="R1652" s="3" t="str">
        <f t="shared" si="25"/>
        <v>Not Cancelled</v>
      </c>
      <c r="S1652" s="3" t="s">
        <v>25</v>
      </c>
    </row>
    <row r="1653" spans="1:19" x14ac:dyDescent="0.35">
      <c r="A1653" s="3">
        <v>2652</v>
      </c>
      <c r="B1653" s="3" t="s">
        <v>943</v>
      </c>
      <c r="C1653" s="4">
        <v>45426</v>
      </c>
      <c r="D1653" s="3" t="s">
        <v>33</v>
      </c>
      <c r="E1653" s="4">
        <v>45440</v>
      </c>
      <c r="F1653" s="4">
        <v>45441</v>
      </c>
      <c r="G1653" s="3" t="s">
        <v>34</v>
      </c>
      <c r="H1653" s="3" t="s">
        <v>29</v>
      </c>
      <c r="I1653" s="3" t="s">
        <v>22</v>
      </c>
      <c r="J1653" s="3" t="s">
        <v>46</v>
      </c>
      <c r="K1653" s="3">
        <v>14</v>
      </c>
      <c r="L1653" s="3">
        <v>1</v>
      </c>
      <c r="M1653" s="3">
        <v>4943</v>
      </c>
      <c r="N1653" s="3">
        <v>4943</v>
      </c>
      <c r="O1653" s="3">
        <v>0</v>
      </c>
      <c r="P1653" s="3" t="s">
        <v>24</v>
      </c>
      <c r="Q1653" s="3">
        <v>1</v>
      </c>
      <c r="R1653" s="3" t="str">
        <f t="shared" si="25"/>
        <v>Cancelled</v>
      </c>
      <c r="S1653" s="3" t="s">
        <v>25</v>
      </c>
    </row>
    <row r="1654" spans="1:19" x14ac:dyDescent="0.35">
      <c r="A1654" s="3">
        <v>2653</v>
      </c>
      <c r="B1654" s="3" t="s">
        <v>364</v>
      </c>
      <c r="C1654" s="4">
        <v>45358</v>
      </c>
      <c r="D1654" s="3" t="s">
        <v>100</v>
      </c>
      <c r="E1654" s="4">
        <v>45415</v>
      </c>
      <c r="F1654" s="4">
        <v>45416</v>
      </c>
      <c r="G1654" s="3" t="s">
        <v>34</v>
      </c>
      <c r="H1654" s="3" t="s">
        <v>35</v>
      </c>
      <c r="I1654" s="3" t="s">
        <v>39</v>
      </c>
      <c r="J1654" s="3" t="s">
        <v>46</v>
      </c>
      <c r="K1654" s="3">
        <v>57</v>
      </c>
      <c r="L1654" s="3">
        <v>1</v>
      </c>
      <c r="M1654" s="3">
        <v>4272</v>
      </c>
      <c r="N1654" s="3">
        <v>4272</v>
      </c>
      <c r="O1654" s="3">
        <v>4272</v>
      </c>
      <c r="P1654" s="3" t="s">
        <v>24</v>
      </c>
      <c r="Q1654" s="3">
        <v>0</v>
      </c>
      <c r="R1654" s="3" t="str">
        <f t="shared" si="25"/>
        <v>Not Cancelled</v>
      </c>
      <c r="S1654" s="3" t="s">
        <v>25</v>
      </c>
    </row>
    <row r="1655" spans="1:19" x14ac:dyDescent="0.35">
      <c r="A1655" s="3">
        <v>2654</v>
      </c>
      <c r="B1655" s="3" t="s">
        <v>420</v>
      </c>
      <c r="C1655" s="4">
        <v>45356</v>
      </c>
      <c r="D1655" s="3" t="s">
        <v>100</v>
      </c>
      <c r="E1655" s="4">
        <v>45413</v>
      </c>
      <c r="F1655" s="4">
        <v>45418</v>
      </c>
      <c r="G1655" s="3" t="s">
        <v>45</v>
      </c>
      <c r="H1655" s="3" t="s">
        <v>29</v>
      </c>
      <c r="I1655" s="3" t="s">
        <v>22</v>
      </c>
      <c r="J1655" s="3" t="s">
        <v>30</v>
      </c>
      <c r="K1655" s="3">
        <v>57</v>
      </c>
      <c r="L1655" s="3">
        <v>5</v>
      </c>
      <c r="M1655" s="3">
        <v>5709</v>
      </c>
      <c r="N1655" s="3">
        <v>28545</v>
      </c>
      <c r="O1655" s="3">
        <v>0</v>
      </c>
      <c r="P1655" s="3" t="s">
        <v>51</v>
      </c>
      <c r="Q1655" s="3">
        <v>1</v>
      </c>
      <c r="R1655" s="3" t="str">
        <f t="shared" si="25"/>
        <v>Cancelled</v>
      </c>
      <c r="S1655" s="3" t="s">
        <v>31</v>
      </c>
    </row>
    <row r="1656" spans="1:19" x14ac:dyDescent="0.35">
      <c r="A1656" s="3">
        <v>2655</v>
      </c>
      <c r="B1656" s="3" t="s">
        <v>723</v>
      </c>
      <c r="C1656" s="4">
        <v>45583</v>
      </c>
      <c r="D1656" s="3" t="s">
        <v>59</v>
      </c>
      <c r="E1656" s="4">
        <v>45591</v>
      </c>
      <c r="F1656" s="4">
        <v>45594</v>
      </c>
      <c r="G1656" s="3" t="s">
        <v>20</v>
      </c>
      <c r="H1656" s="3" t="s">
        <v>29</v>
      </c>
      <c r="I1656" s="3" t="s">
        <v>22</v>
      </c>
      <c r="J1656" s="3" t="s">
        <v>30</v>
      </c>
      <c r="K1656" s="3">
        <v>8</v>
      </c>
      <c r="L1656" s="3">
        <v>3</v>
      </c>
      <c r="M1656" s="3">
        <v>7434</v>
      </c>
      <c r="N1656" s="3">
        <v>22302</v>
      </c>
      <c r="O1656" s="3">
        <v>22302</v>
      </c>
      <c r="P1656" s="3" t="s">
        <v>24</v>
      </c>
      <c r="Q1656" s="3">
        <v>0</v>
      </c>
      <c r="R1656" s="3" t="str">
        <f t="shared" si="25"/>
        <v>Not Cancelled</v>
      </c>
      <c r="S1656" s="3" t="s">
        <v>25</v>
      </c>
    </row>
    <row r="1657" spans="1:19" x14ac:dyDescent="0.35">
      <c r="A1657" s="3">
        <v>2656</v>
      </c>
      <c r="B1657" s="3" t="s">
        <v>1081</v>
      </c>
      <c r="C1657" s="4">
        <v>45316</v>
      </c>
      <c r="D1657" s="3" t="s">
        <v>59</v>
      </c>
      <c r="E1657" s="4">
        <v>45324</v>
      </c>
      <c r="F1657" s="4">
        <v>45326</v>
      </c>
      <c r="G1657" s="3" t="s">
        <v>28</v>
      </c>
      <c r="H1657" s="3" t="s">
        <v>21</v>
      </c>
      <c r="I1657" s="3" t="s">
        <v>22</v>
      </c>
      <c r="J1657" s="3" t="s">
        <v>23</v>
      </c>
      <c r="K1657" s="3">
        <v>8</v>
      </c>
      <c r="L1657" s="3">
        <v>2</v>
      </c>
      <c r="M1657" s="3">
        <v>3377</v>
      </c>
      <c r="N1657" s="3">
        <v>6754</v>
      </c>
      <c r="O1657" s="3">
        <v>6754</v>
      </c>
      <c r="P1657" s="3" t="s">
        <v>24</v>
      </c>
      <c r="Q1657" s="3">
        <v>0</v>
      </c>
      <c r="R1657" s="3" t="str">
        <f t="shared" si="25"/>
        <v>Not Cancelled</v>
      </c>
      <c r="S1657" s="3" t="s">
        <v>25</v>
      </c>
    </row>
    <row r="1658" spans="1:19" x14ac:dyDescent="0.35">
      <c r="A1658" s="3">
        <v>2657</v>
      </c>
      <c r="B1658" s="3" t="s">
        <v>602</v>
      </c>
      <c r="C1658" s="4">
        <v>45328</v>
      </c>
      <c r="D1658" s="3" t="s">
        <v>185</v>
      </c>
      <c r="E1658" s="4">
        <v>45355</v>
      </c>
      <c r="F1658" s="4">
        <v>45358</v>
      </c>
      <c r="G1658" s="3" t="s">
        <v>20</v>
      </c>
      <c r="H1658" s="3" t="s">
        <v>38</v>
      </c>
      <c r="I1658" s="3" t="s">
        <v>22</v>
      </c>
      <c r="J1658" s="3" t="s">
        <v>46</v>
      </c>
      <c r="K1658" s="3">
        <v>27</v>
      </c>
      <c r="L1658" s="3">
        <v>3</v>
      </c>
      <c r="M1658" s="3">
        <v>5370</v>
      </c>
      <c r="N1658" s="3">
        <v>16110</v>
      </c>
      <c r="O1658" s="3">
        <v>0</v>
      </c>
      <c r="P1658" s="3" t="s">
        <v>51</v>
      </c>
      <c r="Q1658" s="3">
        <v>1</v>
      </c>
      <c r="R1658" s="3" t="str">
        <f t="shared" si="25"/>
        <v>Cancelled</v>
      </c>
      <c r="S1658" s="3" t="s">
        <v>31</v>
      </c>
    </row>
    <row r="1659" spans="1:19" x14ac:dyDescent="0.35">
      <c r="A1659" s="3">
        <v>2658</v>
      </c>
      <c r="B1659" s="3" t="s">
        <v>188</v>
      </c>
      <c r="C1659" s="4">
        <v>45292</v>
      </c>
      <c r="D1659" s="3" t="s">
        <v>102</v>
      </c>
      <c r="E1659" s="4">
        <v>45304</v>
      </c>
      <c r="F1659" s="4">
        <v>45305</v>
      </c>
      <c r="G1659" s="3" t="s">
        <v>34</v>
      </c>
      <c r="H1659" s="3" t="s">
        <v>29</v>
      </c>
      <c r="I1659" s="3" t="s">
        <v>39</v>
      </c>
      <c r="J1659" s="3" t="s">
        <v>46</v>
      </c>
      <c r="K1659" s="3">
        <v>12</v>
      </c>
      <c r="L1659" s="3">
        <v>1</v>
      </c>
      <c r="M1659" s="3">
        <v>5700</v>
      </c>
      <c r="N1659" s="3">
        <v>5700</v>
      </c>
      <c r="O1659" s="3">
        <v>0</v>
      </c>
      <c r="P1659" s="3" t="s">
        <v>51</v>
      </c>
      <c r="Q1659" s="3">
        <v>1</v>
      </c>
      <c r="R1659" s="3" t="str">
        <f t="shared" si="25"/>
        <v>Cancelled</v>
      </c>
      <c r="S1659" s="3" t="s">
        <v>31</v>
      </c>
    </row>
    <row r="1660" spans="1:19" x14ac:dyDescent="0.35">
      <c r="A1660" s="3">
        <v>2659</v>
      </c>
      <c r="B1660" s="3" t="s">
        <v>1082</v>
      </c>
      <c r="C1660" s="4">
        <v>45328</v>
      </c>
      <c r="D1660" s="3" t="s">
        <v>34</v>
      </c>
      <c r="E1660" s="4">
        <v>45329</v>
      </c>
      <c r="F1660" s="4">
        <v>45334</v>
      </c>
      <c r="G1660" s="3" t="s">
        <v>45</v>
      </c>
      <c r="H1660" s="3" t="s">
        <v>29</v>
      </c>
      <c r="I1660" s="3" t="s">
        <v>22</v>
      </c>
      <c r="J1660" s="3" t="s">
        <v>46</v>
      </c>
      <c r="K1660" s="3">
        <v>1</v>
      </c>
      <c r="L1660" s="3">
        <v>5</v>
      </c>
      <c r="M1660" s="3">
        <v>6644</v>
      </c>
      <c r="N1660" s="3">
        <v>33220</v>
      </c>
      <c r="O1660" s="3">
        <v>33220</v>
      </c>
      <c r="P1660" s="3" t="s">
        <v>51</v>
      </c>
      <c r="Q1660" s="3">
        <v>0</v>
      </c>
      <c r="R1660" s="3" t="str">
        <f t="shared" si="25"/>
        <v>Not Cancelled</v>
      </c>
      <c r="S1660" s="3" t="s">
        <v>31</v>
      </c>
    </row>
    <row r="1661" spans="1:19" x14ac:dyDescent="0.35">
      <c r="A1661" s="3">
        <v>2660</v>
      </c>
      <c r="B1661" s="3" t="s">
        <v>1083</v>
      </c>
      <c r="C1661" s="4">
        <v>45432</v>
      </c>
      <c r="D1661" s="3" t="s">
        <v>66</v>
      </c>
      <c r="E1661" s="4">
        <v>45475</v>
      </c>
      <c r="F1661" s="4">
        <v>45480</v>
      </c>
      <c r="G1661" s="3" t="s">
        <v>45</v>
      </c>
      <c r="H1661" s="3" t="s">
        <v>35</v>
      </c>
      <c r="I1661" s="3" t="s">
        <v>39</v>
      </c>
      <c r="J1661" s="3" t="s">
        <v>46</v>
      </c>
      <c r="K1661" s="3">
        <v>43</v>
      </c>
      <c r="L1661" s="3">
        <v>5</v>
      </c>
      <c r="M1661" s="3">
        <v>6247</v>
      </c>
      <c r="N1661" s="3">
        <v>31235</v>
      </c>
      <c r="O1661" s="3">
        <v>0</v>
      </c>
      <c r="P1661" s="3" t="s">
        <v>51</v>
      </c>
      <c r="Q1661" s="3">
        <v>1</v>
      </c>
      <c r="R1661" s="3" t="str">
        <f t="shared" si="25"/>
        <v>Cancelled</v>
      </c>
      <c r="S1661" s="3" t="s">
        <v>25</v>
      </c>
    </row>
    <row r="1662" spans="1:19" x14ac:dyDescent="0.35">
      <c r="A1662" s="3">
        <v>2661</v>
      </c>
      <c r="B1662" s="3" t="s">
        <v>884</v>
      </c>
      <c r="C1662" s="4">
        <v>45523</v>
      </c>
      <c r="D1662" s="3" t="s">
        <v>179</v>
      </c>
      <c r="E1662" s="4">
        <v>45563</v>
      </c>
      <c r="F1662" s="4">
        <v>45566</v>
      </c>
      <c r="G1662" s="3" t="s">
        <v>20</v>
      </c>
      <c r="H1662" s="3" t="s">
        <v>38</v>
      </c>
      <c r="I1662" s="3" t="s">
        <v>22</v>
      </c>
      <c r="J1662" s="3" t="s">
        <v>30</v>
      </c>
      <c r="K1662" s="3">
        <v>40</v>
      </c>
      <c r="L1662" s="3">
        <v>3</v>
      </c>
      <c r="M1662" s="3">
        <v>5336</v>
      </c>
      <c r="N1662" s="3">
        <v>16008</v>
      </c>
      <c r="O1662" s="3">
        <v>0</v>
      </c>
      <c r="P1662" s="3" t="s">
        <v>51</v>
      </c>
      <c r="Q1662" s="3">
        <v>1</v>
      </c>
      <c r="R1662" s="3" t="str">
        <f t="shared" si="25"/>
        <v>Cancelled</v>
      </c>
      <c r="S1662" s="3" t="s">
        <v>25</v>
      </c>
    </row>
    <row r="1663" spans="1:19" x14ac:dyDescent="0.35">
      <c r="A1663" s="3">
        <v>2662</v>
      </c>
      <c r="B1663" s="3" t="s">
        <v>1084</v>
      </c>
      <c r="C1663" s="4">
        <v>45427</v>
      </c>
      <c r="D1663" s="3" t="s">
        <v>140</v>
      </c>
      <c r="E1663" s="4">
        <v>45469</v>
      </c>
      <c r="F1663" s="4">
        <v>45472</v>
      </c>
      <c r="G1663" s="3" t="s">
        <v>20</v>
      </c>
      <c r="H1663" s="3" t="s">
        <v>38</v>
      </c>
      <c r="I1663" s="3" t="s">
        <v>22</v>
      </c>
      <c r="J1663" s="3" t="s">
        <v>30</v>
      </c>
      <c r="K1663" s="3">
        <v>42</v>
      </c>
      <c r="L1663" s="3">
        <v>3</v>
      </c>
      <c r="M1663" s="3">
        <v>2792</v>
      </c>
      <c r="N1663" s="3">
        <v>8376</v>
      </c>
      <c r="O1663" s="3">
        <v>8376</v>
      </c>
      <c r="P1663" s="3" t="s">
        <v>51</v>
      </c>
      <c r="Q1663" s="3">
        <v>0</v>
      </c>
      <c r="R1663" s="3" t="str">
        <f t="shared" si="25"/>
        <v>Not Cancelled</v>
      </c>
      <c r="S1663" s="3" t="s">
        <v>31</v>
      </c>
    </row>
    <row r="1664" spans="1:19" x14ac:dyDescent="0.35">
      <c r="A1664" s="3">
        <v>2663</v>
      </c>
      <c r="B1664" s="3" t="s">
        <v>317</v>
      </c>
      <c r="C1664" s="4">
        <v>45479</v>
      </c>
      <c r="D1664" s="3" t="s">
        <v>124</v>
      </c>
      <c r="E1664" s="4">
        <v>45530</v>
      </c>
      <c r="F1664" s="4">
        <v>45532</v>
      </c>
      <c r="G1664" s="3" t="s">
        <v>28</v>
      </c>
      <c r="H1664" s="3" t="s">
        <v>29</v>
      </c>
      <c r="I1664" s="3" t="s">
        <v>22</v>
      </c>
      <c r="J1664" s="3" t="s">
        <v>23</v>
      </c>
      <c r="K1664" s="3">
        <v>51</v>
      </c>
      <c r="L1664" s="3">
        <v>2</v>
      </c>
      <c r="M1664" s="3">
        <v>4151</v>
      </c>
      <c r="N1664" s="3">
        <v>8302</v>
      </c>
      <c r="O1664" s="3">
        <v>8302</v>
      </c>
      <c r="P1664" s="3" t="s">
        <v>51</v>
      </c>
      <c r="Q1664" s="3">
        <v>0</v>
      </c>
      <c r="R1664" s="3" t="str">
        <f t="shared" si="25"/>
        <v>Not Cancelled</v>
      </c>
      <c r="S1664" s="3" t="s">
        <v>31</v>
      </c>
    </row>
    <row r="1665" spans="1:19" x14ac:dyDescent="0.35">
      <c r="A1665" s="3">
        <v>2664</v>
      </c>
      <c r="B1665" s="3" t="s">
        <v>975</v>
      </c>
      <c r="C1665" s="4">
        <v>45419</v>
      </c>
      <c r="D1665" s="3" t="s">
        <v>75</v>
      </c>
      <c r="E1665" s="4">
        <v>45430</v>
      </c>
      <c r="F1665" s="4">
        <v>45434</v>
      </c>
      <c r="G1665" s="3" t="s">
        <v>42</v>
      </c>
      <c r="H1665" s="3" t="s">
        <v>38</v>
      </c>
      <c r="I1665" s="3" t="s">
        <v>39</v>
      </c>
      <c r="J1665" s="3" t="s">
        <v>46</v>
      </c>
      <c r="K1665" s="3">
        <v>11</v>
      </c>
      <c r="L1665" s="3">
        <v>4</v>
      </c>
      <c r="M1665" s="3">
        <v>7131</v>
      </c>
      <c r="N1665" s="3">
        <v>28524</v>
      </c>
      <c r="O1665" s="3">
        <v>28524</v>
      </c>
      <c r="P1665" s="3" t="s">
        <v>24</v>
      </c>
      <c r="Q1665" s="3">
        <v>0</v>
      </c>
      <c r="R1665" s="3" t="str">
        <f t="shared" si="25"/>
        <v>Not Cancelled</v>
      </c>
      <c r="S1665" s="3" t="s">
        <v>31</v>
      </c>
    </row>
    <row r="1666" spans="1:19" x14ac:dyDescent="0.35">
      <c r="A1666" s="3">
        <v>2665</v>
      </c>
      <c r="B1666" s="3" t="s">
        <v>731</v>
      </c>
      <c r="C1666" s="4">
        <v>45492</v>
      </c>
      <c r="D1666" s="3" t="s">
        <v>153</v>
      </c>
      <c r="E1666" s="4">
        <v>45531</v>
      </c>
      <c r="F1666" s="4">
        <v>45535</v>
      </c>
      <c r="G1666" s="3" t="s">
        <v>42</v>
      </c>
      <c r="H1666" s="3" t="s">
        <v>35</v>
      </c>
      <c r="I1666" s="3" t="s">
        <v>22</v>
      </c>
      <c r="J1666" s="3" t="s">
        <v>46</v>
      </c>
      <c r="K1666" s="3">
        <v>39</v>
      </c>
      <c r="L1666" s="3">
        <v>4</v>
      </c>
      <c r="M1666" s="3">
        <v>6906</v>
      </c>
      <c r="N1666" s="3">
        <v>27624</v>
      </c>
      <c r="O1666" s="3">
        <v>27624</v>
      </c>
      <c r="P1666" s="3" t="s">
        <v>51</v>
      </c>
      <c r="Q1666" s="3">
        <v>0</v>
      </c>
      <c r="R1666" s="3" t="str">
        <f t="shared" si="25"/>
        <v>Not Cancelled</v>
      </c>
      <c r="S1666" s="3" t="s">
        <v>31</v>
      </c>
    </row>
    <row r="1667" spans="1:19" x14ac:dyDescent="0.35">
      <c r="A1667" s="3">
        <v>2666</v>
      </c>
      <c r="B1667" s="3" t="s">
        <v>311</v>
      </c>
      <c r="C1667" s="4">
        <v>45418</v>
      </c>
      <c r="D1667" s="3" t="s">
        <v>66</v>
      </c>
      <c r="E1667" s="4">
        <v>45461</v>
      </c>
      <c r="F1667" s="4">
        <v>45463</v>
      </c>
      <c r="G1667" s="3" t="s">
        <v>28</v>
      </c>
      <c r="H1667" s="3" t="s">
        <v>35</v>
      </c>
      <c r="I1667" s="3" t="s">
        <v>39</v>
      </c>
      <c r="J1667" s="3" t="s">
        <v>30</v>
      </c>
      <c r="K1667" s="3">
        <v>43</v>
      </c>
      <c r="L1667" s="3">
        <v>2</v>
      </c>
      <c r="M1667" s="3">
        <v>3036</v>
      </c>
      <c r="N1667" s="3">
        <v>6072</v>
      </c>
      <c r="O1667" s="3">
        <v>0</v>
      </c>
      <c r="P1667" s="3" t="s">
        <v>24</v>
      </c>
      <c r="Q1667" s="3">
        <v>1</v>
      </c>
      <c r="R1667" s="3" t="str">
        <f t="shared" ref="R1667:R1730" si="26">IF(Q1667=0,"Not Cancelled","Cancelled")</f>
        <v>Cancelled</v>
      </c>
      <c r="S1667" s="3" t="s">
        <v>25</v>
      </c>
    </row>
    <row r="1668" spans="1:19" x14ac:dyDescent="0.35">
      <c r="A1668" s="3">
        <v>2667</v>
      </c>
      <c r="B1668" s="3" t="s">
        <v>1085</v>
      </c>
      <c r="C1668" s="4">
        <v>45548</v>
      </c>
      <c r="D1668" s="3" t="s">
        <v>48</v>
      </c>
      <c r="E1668" s="4">
        <v>45579</v>
      </c>
      <c r="F1668" s="4">
        <v>45583</v>
      </c>
      <c r="G1668" s="3" t="s">
        <v>42</v>
      </c>
      <c r="H1668" s="3" t="s">
        <v>35</v>
      </c>
      <c r="I1668" s="3" t="s">
        <v>39</v>
      </c>
      <c r="J1668" s="3" t="s">
        <v>23</v>
      </c>
      <c r="K1668" s="3">
        <v>31</v>
      </c>
      <c r="L1668" s="3">
        <v>4</v>
      </c>
      <c r="M1668" s="3">
        <v>8522</v>
      </c>
      <c r="N1668" s="3">
        <v>34088</v>
      </c>
      <c r="O1668" s="3">
        <v>0</v>
      </c>
      <c r="P1668" s="3" t="s">
        <v>51</v>
      </c>
      <c r="Q1668" s="3">
        <v>1</v>
      </c>
      <c r="R1668" s="3" t="str">
        <f t="shared" si="26"/>
        <v>Cancelled</v>
      </c>
      <c r="S1668" s="3" t="s">
        <v>25</v>
      </c>
    </row>
    <row r="1669" spans="1:19" x14ac:dyDescent="0.35">
      <c r="A1669" s="3">
        <v>2668</v>
      </c>
      <c r="B1669" s="3" t="s">
        <v>371</v>
      </c>
      <c r="C1669" s="4">
        <v>45455</v>
      </c>
      <c r="D1669" s="3" t="s">
        <v>71</v>
      </c>
      <c r="E1669" s="4">
        <v>45472</v>
      </c>
      <c r="F1669" s="4">
        <v>45473</v>
      </c>
      <c r="G1669" s="3" t="s">
        <v>34</v>
      </c>
      <c r="H1669" s="3" t="s">
        <v>21</v>
      </c>
      <c r="I1669" s="3" t="s">
        <v>22</v>
      </c>
      <c r="J1669" s="3" t="s">
        <v>30</v>
      </c>
      <c r="K1669" s="3">
        <v>17</v>
      </c>
      <c r="L1669" s="3">
        <v>1</v>
      </c>
      <c r="M1669" s="3">
        <v>5186</v>
      </c>
      <c r="N1669" s="3">
        <v>5186</v>
      </c>
      <c r="O1669" s="3">
        <v>5186</v>
      </c>
      <c r="P1669" s="3" t="s">
        <v>51</v>
      </c>
      <c r="Q1669" s="3">
        <v>0</v>
      </c>
      <c r="R1669" s="3" t="str">
        <f t="shared" si="26"/>
        <v>Not Cancelled</v>
      </c>
      <c r="S1669" s="3" t="s">
        <v>25</v>
      </c>
    </row>
    <row r="1670" spans="1:19" x14ac:dyDescent="0.35">
      <c r="A1670" s="3">
        <v>2669</v>
      </c>
      <c r="B1670" s="3" t="s">
        <v>954</v>
      </c>
      <c r="C1670" s="4">
        <v>45326</v>
      </c>
      <c r="D1670" s="3" t="s">
        <v>69</v>
      </c>
      <c r="E1670" s="4">
        <v>45359</v>
      </c>
      <c r="F1670" s="4">
        <v>45363</v>
      </c>
      <c r="G1670" s="3" t="s">
        <v>42</v>
      </c>
      <c r="H1670" s="3" t="s">
        <v>29</v>
      </c>
      <c r="I1670" s="3" t="s">
        <v>39</v>
      </c>
      <c r="J1670" s="3" t="s">
        <v>46</v>
      </c>
      <c r="K1670" s="3">
        <v>33</v>
      </c>
      <c r="L1670" s="3">
        <v>4</v>
      </c>
      <c r="M1670" s="3">
        <v>2733</v>
      </c>
      <c r="N1670" s="3">
        <v>10932</v>
      </c>
      <c r="O1670" s="3">
        <v>0</v>
      </c>
      <c r="P1670" s="3" t="s">
        <v>24</v>
      </c>
      <c r="Q1670" s="3">
        <v>1</v>
      </c>
      <c r="R1670" s="3" t="str">
        <f t="shared" si="26"/>
        <v>Cancelled</v>
      </c>
      <c r="S1670" s="3" t="s">
        <v>25</v>
      </c>
    </row>
    <row r="1671" spans="1:19" x14ac:dyDescent="0.35">
      <c r="A1671" s="3">
        <v>2670</v>
      </c>
      <c r="B1671" s="3" t="s">
        <v>679</v>
      </c>
      <c r="C1671" s="4">
        <v>45485</v>
      </c>
      <c r="D1671" s="3" t="s">
        <v>144</v>
      </c>
      <c r="E1671" s="4">
        <v>45517</v>
      </c>
      <c r="F1671" s="4">
        <v>45519</v>
      </c>
      <c r="G1671" s="3" t="s">
        <v>28</v>
      </c>
      <c r="H1671" s="3" t="s">
        <v>38</v>
      </c>
      <c r="I1671" s="3" t="s">
        <v>22</v>
      </c>
      <c r="J1671" s="3" t="s">
        <v>46</v>
      </c>
      <c r="K1671" s="3">
        <v>32</v>
      </c>
      <c r="L1671" s="3">
        <v>2</v>
      </c>
      <c r="M1671" s="3">
        <v>7828</v>
      </c>
      <c r="N1671" s="3">
        <v>15656</v>
      </c>
      <c r="O1671" s="3">
        <v>0</v>
      </c>
      <c r="P1671" s="3" t="s">
        <v>51</v>
      </c>
      <c r="Q1671" s="3">
        <v>1</v>
      </c>
      <c r="R1671" s="3" t="str">
        <f t="shared" si="26"/>
        <v>Cancelled</v>
      </c>
      <c r="S1671" s="3" t="s">
        <v>25</v>
      </c>
    </row>
    <row r="1672" spans="1:19" x14ac:dyDescent="0.35">
      <c r="A1672" s="3">
        <v>2671</v>
      </c>
      <c r="B1672" s="3" t="s">
        <v>416</v>
      </c>
      <c r="C1672" s="4">
        <v>45482</v>
      </c>
      <c r="D1672" s="3" t="s">
        <v>237</v>
      </c>
      <c r="E1672" s="4">
        <v>45540</v>
      </c>
      <c r="F1672" s="4">
        <v>45544</v>
      </c>
      <c r="G1672" s="3" t="s">
        <v>42</v>
      </c>
      <c r="H1672" s="3" t="s">
        <v>35</v>
      </c>
      <c r="I1672" s="3" t="s">
        <v>39</v>
      </c>
      <c r="J1672" s="3" t="s">
        <v>23</v>
      </c>
      <c r="K1672" s="3">
        <v>58</v>
      </c>
      <c r="L1672" s="3">
        <v>4</v>
      </c>
      <c r="M1672" s="3">
        <v>5152</v>
      </c>
      <c r="N1672" s="3">
        <v>20608</v>
      </c>
      <c r="O1672" s="3">
        <v>0</v>
      </c>
      <c r="P1672" s="3" t="s">
        <v>51</v>
      </c>
      <c r="Q1672" s="3">
        <v>1</v>
      </c>
      <c r="R1672" s="3" t="str">
        <f t="shared" si="26"/>
        <v>Cancelled</v>
      </c>
      <c r="S1672" s="3" t="s">
        <v>31</v>
      </c>
    </row>
    <row r="1673" spans="1:19" x14ac:dyDescent="0.35">
      <c r="A1673" s="3">
        <v>2672</v>
      </c>
      <c r="B1673" s="3" t="s">
        <v>354</v>
      </c>
      <c r="C1673" s="4">
        <v>45395</v>
      </c>
      <c r="D1673" s="3" t="s">
        <v>57</v>
      </c>
      <c r="E1673" s="4">
        <v>45424</v>
      </c>
      <c r="F1673" s="4">
        <v>45429</v>
      </c>
      <c r="G1673" s="3" t="s">
        <v>45</v>
      </c>
      <c r="H1673" s="3" t="s">
        <v>29</v>
      </c>
      <c r="I1673" s="3" t="s">
        <v>39</v>
      </c>
      <c r="J1673" s="3" t="s">
        <v>30</v>
      </c>
      <c r="K1673" s="3">
        <v>29</v>
      </c>
      <c r="L1673" s="3">
        <v>5</v>
      </c>
      <c r="M1673" s="3">
        <v>8737</v>
      </c>
      <c r="N1673" s="3">
        <v>43685</v>
      </c>
      <c r="O1673" s="3">
        <v>0</v>
      </c>
      <c r="P1673" s="3" t="s">
        <v>51</v>
      </c>
      <c r="Q1673" s="3">
        <v>1</v>
      </c>
      <c r="R1673" s="3" t="str">
        <f t="shared" si="26"/>
        <v>Cancelled</v>
      </c>
      <c r="S1673" s="3" t="s">
        <v>25</v>
      </c>
    </row>
    <row r="1674" spans="1:19" x14ac:dyDescent="0.35">
      <c r="A1674" s="3">
        <v>2673</v>
      </c>
      <c r="B1674" s="3" t="s">
        <v>1086</v>
      </c>
      <c r="C1674" s="4">
        <v>45314</v>
      </c>
      <c r="D1674" s="3" t="s">
        <v>175</v>
      </c>
      <c r="E1674" s="4">
        <v>45335</v>
      </c>
      <c r="F1674" s="4">
        <v>45338</v>
      </c>
      <c r="G1674" s="3" t="s">
        <v>20</v>
      </c>
      <c r="H1674" s="3" t="s">
        <v>29</v>
      </c>
      <c r="I1674" s="3" t="s">
        <v>39</v>
      </c>
      <c r="J1674" s="3" t="s">
        <v>46</v>
      </c>
      <c r="K1674" s="3">
        <v>21</v>
      </c>
      <c r="L1674" s="3">
        <v>3</v>
      </c>
      <c r="M1674" s="3">
        <v>4874</v>
      </c>
      <c r="N1674" s="3">
        <v>14622</v>
      </c>
      <c r="O1674" s="3">
        <v>14622</v>
      </c>
      <c r="P1674" s="3" t="s">
        <v>51</v>
      </c>
      <c r="Q1674" s="3">
        <v>0</v>
      </c>
      <c r="R1674" s="3" t="str">
        <f t="shared" si="26"/>
        <v>Not Cancelled</v>
      </c>
      <c r="S1674" s="3" t="s">
        <v>31</v>
      </c>
    </row>
    <row r="1675" spans="1:19" x14ac:dyDescent="0.35">
      <c r="A1675" s="3">
        <v>2674</v>
      </c>
      <c r="B1675" s="3" t="s">
        <v>559</v>
      </c>
      <c r="C1675" s="4">
        <v>45556</v>
      </c>
      <c r="D1675" s="3" t="s">
        <v>175</v>
      </c>
      <c r="E1675" s="4">
        <v>45577</v>
      </c>
      <c r="F1675" s="4">
        <v>45578</v>
      </c>
      <c r="G1675" s="3" t="s">
        <v>34</v>
      </c>
      <c r="H1675" s="3" t="s">
        <v>21</v>
      </c>
      <c r="I1675" s="3" t="s">
        <v>39</v>
      </c>
      <c r="J1675" s="3" t="s">
        <v>46</v>
      </c>
      <c r="K1675" s="3">
        <v>21</v>
      </c>
      <c r="L1675" s="3">
        <v>1</v>
      </c>
      <c r="M1675" s="3">
        <v>4772</v>
      </c>
      <c r="N1675" s="3">
        <v>4772</v>
      </c>
      <c r="O1675" s="3">
        <v>0</v>
      </c>
      <c r="P1675" s="3" t="s">
        <v>51</v>
      </c>
      <c r="Q1675" s="3">
        <v>1</v>
      </c>
      <c r="R1675" s="3" t="str">
        <f t="shared" si="26"/>
        <v>Cancelled</v>
      </c>
      <c r="S1675" s="3" t="s">
        <v>31</v>
      </c>
    </row>
    <row r="1676" spans="1:19" x14ac:dyDescent="0.35">
      <c r="A1676" s="3">
        <v>2675</v>
      </c>
      <c r="B1676" s="3" t="s">
        <v>660</v>
      </c>
      <c r="C1676" s="4">
        <v>45581</v>
      </c>
      <c r="D1676" s="3" t="s">
        <v>179</v>
      </c>
      <c r="E1676" s="4">
        <v>45621</v>
      </c>
      <c r="F1676" s="4">
        <v>45626</v>
      </c>
      <c r="G1676" s="3" t="s">
        <v>45</v>
      </c>
      <c r="H1676" s="3" t="s">
        <v>38</v>
      </c>
      <c r="I1676" s="3" t="s">
        <v>22</v>
      </c>
      <c r="J1676" s="3" t="s">
        <v>23</v>
      </c>
      <c r="K1676" s="3">
        <v>40</v>
      </c>
      <c r="L1676" s="3">
        <v>5</v>
      </c>
      <c r="M1676" s="3">
        <v>3466</v>
      </c>
      <c r="N1676" s="3">
        <v>17330</v>
      </c>
      <c r="O1676" s="3">
        <v>0</v>
      </c>
      <c r="P1676" s="3" t="s">
        <v>51</v>
      </c>
      <c r="Q1676" s="3">
        <v>1</v>
      </c>
      <c r="R1676" s="3" t="str">
        <f t="shared" si="26"/>
        <v>Cancelled</v>
      </c>
      <c r="S1676" s="3" t="s">
        <v>31</v>
      </c>
    </row>
    <row r="1677" spans="1:19" x14ac:dyDescent="0.35">
      <c r="A1677" s="3">
        <v>2676</v>
      </c>
      <c r="B1677" s="3" t="s">
        <v>266</v>
      </c>
      <c r="C1677" s="4">
        <v>45551</v>
      </c>
      <c r="D1677" s="3" t="s">
        <v>111</v>
      </c>
      <c r="E1677" s="4">
        <v>45574</v>
      </c>
      <c r="F1677" s="4">
        <v>45579</v>
      </c>
      <c r="G1677" s="3" t="s">
        <v>45</v>
      </c>
      <c r="H1677" s="3" t="s">
        <v>38</v>
      </c>
      <c r="I1677" s="3" t="s">
        <v>39</v>
      </c>
      <c r="J1677" s="3" t="s">
        <v>46</v>
      </c>
      <c r="K1677" s="3">
        <v>23</v>
      </c>
      <c r="L1677" s="3">
        <v>5</v>
      </c>
      <c r="M1677" s="3">
        <v>3389</v>
      </c>
      <c r="N1677" s="3">
        <v>16945</v>
      </c>
      <c r="O1677" s="3">
        <v>0</v>
      </c>
      <c r="P1677" s="3" t="s">
        <v>51</v>
      </c>
      <c r="Q1677" s="3">
        <v>1</v>
      </c>
      <c r="R1677" s="3" t="str">
        <f t="shared" si="26"/>
        <v>Cancelled</v>
      </c>
      <c r="S1677" s="3" t="s">
        <v>25</v>
      </c>
    </row>
    <row r="1678" spans="1:19" x14ac:dyDescent="0.35">
      <c r="A1678" s="3">
        <v>2677</v>
      </c>
      <c r="B1678" s="3" t="s">
        <v>255</v>
      </c>
      <c r="C1678" s="4">
        <v>45649</v>
      </c>
      <c r="D1678" s="3" t="s">
        <v>94</v>
      </c>
      <c r="E1678" s="4">
        <v>45705</v>
      </c>
      <c r="F1678" s="4">
        <v>45707</v>
      </c>
      <c r="G1678" s="3" t="s">
        <v>28</v>
      </c>
      <c r="H1678" s="3" t="s">
        <v>35</v>
      </c>
      <c r="I1678" s="3" t="s">
        <v>22</v>
      </c>
      <c r="J1678" s="3" t="s">
        <v>46</v>
      </c>
      <c r="K1678" s="3">
        <v>56</v>
      </c>
      <c r="L1678" s="3">
        <v>2</v>
      </c>
      <c r="M1678" s="3">
        <v>6363</v>
      </c>
      <c r="N1678" s="3">
        <v>12726</v>
      </c>
      <c r="O1678" s="3">
        <v>0</v>
      </c>
      <c r="P1678" s="3" t="s">
        <v>24</v>
      </c>
      <c r="Q1678" s="3">
        <v>1</v>
      </c>
      <c r="R1678" s="3" t="str">
        <f t="shared" si="26"/>
        <v>Cancelled</v>
      </c>
      <c r="S1678" s="3" t="s">
        <v>31</v>
      </c>
    </row>
    <row r="1679" spans="1:19" x14ac:dyDescent="0.35">
      <c r="A1679" s="3">
        <v>2678</v>
      </c>
      <c r="B1679" s="3" t="s">
        <v>266</v>
      </c>
      <c r="C1679" s="4">
        <v>45366</v>
      </c>
      <c r="D1679" s="3" t="s">
        <v>55</v>
      </c>
      <c r="E1679" s="4">
        <v>45372</v>
      </c>
      <c r="F1679" s="4">
        <v>45375</v>
      </c>
      <c r="G1679" s="3" t="s">
        <v>20</v>
      </c>
      <c r="H1679" s="3" t="s">
        <v>35</v>
      </c>
      <c r="I1679" s="3" t="s">
        <v>39</v>
      </c>
      <c r="J1679" s="3" t="s">
        <v>30</v>
      </c>
      <c r="K1679" s="3">
        <v>6</v>
      </c>
      <c r="L1679" s="3">
        <v>3</v>
      </c>
      <c r="M1679" s="3">
        <v>8654</v>
      </c>
      <c r="N1679" s="3">
        <v>25962</v>
      </c>
      <c r="O1679" s="3">
        <v>25962</v>
      </c>
      <c r="P1679" s="3" t="s">
        <v>51</v>
      </c>
      <c r="Q1679" s="3">
        <v>0</v>
      </c>
      <c r="R1679" s="3" t="str">
        <f t="shared" si="26"/>
        <v>Not Cancelled</v>
      </c>
      <c r="S1679" s="3" t="s">
        <v>25</v>
      </c>
    </row>
    <row r="1680" spans="1:19" x14ac:dyDescent="0.35">
      <c r="A1680" s="3">
        <v>2679</v>
      </c>
      <c r="B1680" s="3" t="s">
        <v>195</v>
      </c>
      <c r="C1680" s="4">
        <v>45646</v>
      </c>
      <c r="D1680" s="3" t="s">
        <v>19</v>
      </c>
      <c r="E1680" s="4">
        <v>45668</v>
      </c>
      <c r="F1680" s="4">
        <v>45671</v>
      </c>
      <c r="G1680" s="3" t="s">
        <v>20</v>
      </c>
      <c r="H1680" s="3" t="s">
        <v>29</v>
      </c>
      <c r="I1680" s="3" t="s">
        <v>22</v>
      </c>
      <c r="J1680" s="3" t="s">
        <v>23</v>
      </c>
      <c r="K1680" s="3">
        <v>22</v>
      </c>
      <c r="L1680" s="3">
        <v>3</v>
      </c>
      <c r="M1680" s="3">
        <v>5900</v>
      </c>
      <c r="N1680" s="3">
        <v>17700</v>
      </c>
      <c r="O1680" s="3">
        <v>17700</v>
      </c>
      <c r="P1680" s="3" t="s">
        <v>24</v>
      </c>
      <c r="Q1680" s="3">
        <v>0</v>
      </c>
      <c r="R1680" s="3" t="str">
        <f t="shared" si="26"/>
        <v>Not Cancelled</v>
      </c>
      <c r="S1680" s="3" t="s">
        <v>31</v>
      </c>
    </row>
    <row r="1681" spans="1:19" x14ac:dyDescent="0.35">
      <c r="A1681" s="3">
        <v>2680</v>
      </c>
      <c r="B1681" s="3" t="s">
        <v>1087</v>
      </c>
      <c r="C1681" s="4">
        <v>45363</v>
      </c>
      <c r="D1681" s="3" t="s">
        <v>78</v>
      </c>
      <c r="E1681" s="4">
        <v>45413</v>
      </c>
      <c r="F1681" s="4">
        <v>45414</v>
      </c>
      <c r="G1681" s="3" t="s">
        <v>34</v>
      </c>
      <c r="H1681" s="3" t="s">
        <v>38</v>
      </c>
      <c r="I1681" s="3" t="s">
        <v>22</v>
      </c>
      <c r="J1681" s="3" t="s">
        <v>23</v>
      </c>
      <c r="K1681" s="3">
        <v>50</v>
      </c>
      <c r="L1681" s="3">
        <v>1</v>
      </c>
      <c r="M1681" s="3">
        <v>2534</v>
      </c>
      <c r="N1681" s="3">
        <v>2534</v>
      </c>
      <c r="O1681" s="3">
        <v>2534</v>
      </c>
      <c r="P1681" s="3" t="s">
        <v>24</v>
      </c>
      <c r="Q1681" s="3">
        <v>0</v>
      </c>
      <c r="R1681" s="3" t="str">
        <f t="shared" si="26"/>
        <v>Not Cancelled</v>
      </c>
      <c r="S1681" s="3" t="s">
        <v>25</v>
      </c>
    </row>
    <row r="1682" spans="1:19" x14ac:dyDescent="0.35">
      <c r="A1682" s="3">
        <v>2681</v>
      </c>
      <c r="B1682" s="3" t="s">
        <v>815</v>
      </c>
      <c r="C1682" s="4">
        <v>45550</v>
      </c>
      <c r="D1682" s="3" t="s">
        <v>115</v>
      </c>
      <c r="E1682" s="4">
        <v>45588</v>
      </c>
      <c r="F1682" s="4">
        <v>45590</v>
      </c>
      <c r="G1682" s="3" t="s">
        <v>28</v>
      </c>
      <c r="H1682" s="3" t="s">
        <v>38</v>
      </c>
      <c r="I1682" s="3" t="s">
        <v>39</v>
      </c>
      <c r="J1682" s="3" t="s">
        <v>23</v>
      </c>
      <c r="K1682" s="3">
        <v>38</v>
      </c>
      <c r="L1682" s="3">
        <v>2</v>
      </c>
      <c r="M1682" s="3">
        <v>7042</v>
      </c>
      <c r="N1682" s="3">
        <v>14084</v>
      </c>
      <c r="O1682" s="3">
        <v>14084</v>
      </c>
      <c r="P1682" s="3" t="s">
        <v>24</v>
      </c>
      <c r="Q1682" s="3">
        <v>0</v>
      </c>
      <c r="R1682" s="3" t="str">
        <f t="shared" si="26"/>
        <v>Not Cancelled</v>
      </c>
      <c r="S1682" s="3" t="s">
        <v>31</v>
      </c>
    </row>
    <row r="1683" spans="1:19" x14ac:dyDescent="0.35">
      <c r="A1683" s="3">
        <v>2682</v>
      </c>
      <c r="B1683" s="3" t="s">
        <v>610</v>
      </c>
      <c r="C1683" s="4">
        <v>45479</v>
      </c>
      <c r="D1683" s="3" t="s">
        <v>105</v>
      </c>
      <c r="E1683" s="4">
        <v>45516</v>
      </c>
      <c r="F1683" s="4">
        <v>45517</v>
      </c>
      <c r="G1683" s="3" t="s">
        <v>34</v>
      </c>
      <c r="H1683" s="3" t="s">
        <v>35</v>
      </c>
      <c r="I1683" s="3" t="s">
        <v>39</v>
      </c>
      <c r="J1683" s="3" t="s">
        <v>30</v>
      </c>
      <c r="K1683" s="3">
        <v>37</v>
      </c>
      <c r="L1683" s="3">
        <v>1</v>
      </c>
      <c r="M1683" s="3">
        <v>6023</v>
      </c>
      <c r="N1683" s="3">
        <v>6023</v>
      </c>
      <c r="O1683" s="3">
        <v>0</v>
      </c>
      <c r="P1683" s="3" t="s">
        <v>24</v>
      </c>
      <c r="Q1683" s="3">
        <v>1</v>
      </c>
      <c r="R1683" s="3" t="str">
        <f t="shared" si="26"/>
        <v>Cancelled</v>
      </c>
      <c r="S1683" s="3" t="s">
        <v>25</v>
      </c>
    </row>
    <row r="1684" spans="1:19" x14ac:dyDescent="0.35">
      <c r="A1684" s="3">
        <v>2683</v>
      </c>
      <c r="B1684" s="3" t="s">
        <v>684</v>
      </c>
      <c r="C1684" s="4">
        <v>45464</v>
      </c>
      <c r="D1684" s="3" t="s">
        <v>64</v>
      </c>
      <c r="E1684" s="4">
        <v>45509</v>
      </c>
      <c r="F1684" s="4">
        <v>45513</v>
      </c>
      <c r="G1684" s="3" t="s">
        <v>42</v>
      </c>
      <c r="H1684" s="3" t="s">
        <v>60</v>
      </c>
      <c r="I1684" s="3" t="s">
        <v>22</v>
      </c>
      <c r="J1684" s="3" t="s">
        <v>23</v>
      </c>
      <c r="K1684" s="3">
        <v>45</v>
      </c>
      <c r="L1684" s="3">
        <v>4</v>
      </c>
      <c r="M1684" s="3">
        <v>4263</v>
      </c>
      <c r="N1684" s="3">
        <v>17052</v>
      </c>
      <c r="O1684" s="3">
        <v>0</v>
      </c>
      <c r="P1684" s="3" t="s">
        <v>24</v>
      </c>
      <c r="Q1684" s="3">
        <v>1</v>
      </c>
      <c r="R1684" s="3" t="str">
        <f t="shared" si="26"/>
        <v>Cancelled</v>
      </c>
      <c r="S1684" s="3" t="s">
        <v>31</v>
      </c>
    </row>
    <row r="1685" spans="1:19" x14ac:dyDescent="0.35">
      <c r="A1685" s="3">
        <v>2684</v>
      </c>
      <c r="B1685" s="3" t="s">
        <v>273</v>
      </c>
      <c r="C1685" s="4">
        <v>45581</v>
      </c>
      <c r="D1685" s="3" t="s">
        <v>124</v>
      </c>
      <c r="E1685" s="4">
        <v>45632</v>
      </c>
      <c r="F1685" s="4">
        <v>45637</v>
      </c>
      <c r="G1685" s="3" t="s">
        <v>45</v>
      </c>
      <c r="H1685" s="3" t="s">
        <v>29</v>
      </c>
      <c r="I1685" s="3" t="s">
        <v>39</v>
      </c>
      <c r="J1685" s="3" t="s">
        <v>46</v>
      </c>
      <c r="K1685" s="3">
        <v>51</v>
      </c>
      <c r="L1685" s="3">
        <v>5</v>
      </c>
      <c r="M1685" s="3">
        <v>5791</v>
      </c>
      <c r="N1685" s="3">
        <v>28955</v>
      </c>
      <c r="O1685" s="3">
        <v>0</v>
      </c>
      <c r="P1685" s="3" t="s">
        <v>24</v>
      </c>
      <c r="Q1685" s="3">
        <v>1</v>
      </c>
      <c r="R1685" s="3" t="str">
        <f t="shared" si="26"/>
        <v>Cancelled</v>
      </c>
      <c r="S1685" s="3" t="s">
        <v>31</v>
      </c>
    </row>
    <row r="1686" spans="1:19" x14ac:dyDescent="0.35">
      <c r="A1686" s="3">
        <v>2685</v>
      </c>
      <c r="B1686" s="3" t="s">
        <v>1088</v>
      </c>
      <c r="C1686" s="4">
        <v>45336</v>
      </c>
      <c r="D1686" s="3" t="s">
        <v>117</v>
      </c>
      <c r="E1686" s="4">
        <v>45390</v>
      </c>
      <c r="F1686" s="4">
        <v>45391</v>
      </c>
      <c r="G1686" s="3" t="s">
        <v>34</v>
      </c>
      <c r="H1686" s="3" t="s">
        <v>38</v>
      </c>
      <c r="I1686" s="3" t="s">
        <v>39</v>
      </c>
      <c r="J1686" s="3" t="s">
        <v>23</v>
      </c>
      <c r="K1686" s="3">
        <v>54</v>
      </c>
      <c r="L1686" s="3">
        <v>1</v>
      </c>
      <c r="M1686" s="3">
        <v>4988</v>
      </c>
      <c r="N1686" s="3">
        <v>4988</v>
      </c>
      <c r="O1686" s="3">
        <v>4988</v>
      </c>
      <c r="P1686" s="3" t="s">
        <v>24</v>
      </c>
      <c r="Q1686" s="3">
        <v>0</v>
      </c>
      <c r="R1686" s="3" t="str">
        <f t="shared" si="26"/>
        <v>Not Cancelled</v>
      </c>
      <c r="S1686" s="3" t="s">
        <v>31</v>
      </c>
    </row>
    <row r="1687" spans="1:19" x14ac:dyDescent="0.35">
      <c r="A1687" s="3">
        <v>2686</v>
      </c>
      <c r="B1687" s="3" t="s">
        <v>543</v>
      </c>
      <c r="C1687" s="4">
        <v>45352</v>
      </c>
      <c r="D1687" s="3" t="s">
        <v>59</v>
      </c>
      <c r="E1687" s="4">
        <v>45360</v>
      </c>
      <c r="F1687" s="4">
        <v>45365</v>
      </c>
      <c r="G1687" s="3" t="s">
        <v>45</v>
      </c>
      <c r="H1687" s="3" t="s">
        <v>21</v>
      </c>
      <c r="I1687" s="3" t="s">
        <v>39</v>
      </c>
      <c r="J1687" s="3" t="s">
        <v>46</v>
      </c>
      <c r="K1687" s="3">
        <v>8</v>
      </c>
      <c r="L1687" s="3">
        <v>5</v>
      </c>
      <c r="M1687" s="3">
        <v>5200</v>
      </c>
      <c r="N1687" s="3">
        <v>26000</v>
      </c>
      <c r="O1687" s="3">
        <v>26000</v>
      </c>
      <c r="P1687" s="3" t="s">
        <v>51</v>
      </c>
      <c r="Q1687" s="3">
        <v>0</v>
      </c>
      <c r="R1687" s="3" t="str">
        <f t="shared" si="26"/>
        <v>Not Cancelled</v>
      </c>
      <c r="S1687" s="3" t="s">
        <v>31</v>
      </c>
    </row>
    <row r="1688" spans="1:19" x14ac:dyDescent="0.35">
      <c r="A1688" s="3">
        <v>2687</v>
      </c>
      <c r="B1688" s="3" t="s">
        <v>659</v>
      </c>
      <c r="C1688" s="4">
        <v>45374</v>
      </c>
      <c r="D1688" s="3" t="s">
        <v>86</v>
      </c>
      <c r="E1688" s="4">
        <v>45415</v>
      </c>
      <c r="F1688" s="4">
        <v>45417</v>
      </c>
      <c r="G1688" s="3" t="s">
        <v>28</v>
      </c>
      <c r="H1688" s="3" t="s">
        <v>21</v>
      </c>
      <c r="I1688" s="3" t="s">
        <v>39</v>
      </c>
      <c r="J1688" s="3" t="s">
        <v>23</v>
      </c>
      <c r="K1688" s="3">
        <v>41</v>
      </c>
      <c r="L1688" s="3">
        <v>2</v>
      </c>
      <c r="M1688" s="3">
        <v>4058</v>
      </c>
      <c r="N1688" s="3">
        <v>8116</v>
      </c>
      <c r="O1688" s="3">
        <v>0</v>
      </c>
      <c r="P1688" s="3" t="s">
        <v>51</v>
      </c>
      <c r="Q1688" s="3">
        <v>1</v>
      </c>
      <c r="R1688" s="3" t="str">
        <f t="shared" si="26"/>
        <v>Cancelled</v>
      </c>
      <c r="S1688" s="3" t="s">
        <v>25</v>
      </c>
    </row>
    <row r="1689" spans="1:19" x14ac:dyDescent="0.35">
      <c r="A1689" s="3">
        <v>2688</v>
      </c>
      <c r="B1689" s="3" t="s">
        <v>401</v>
      </c>
      <c r="C1689" s="4">
        <v>45414</v>
      </c>
      <c r="D1689" s="3" t="s">
        <v>211</v>
      </c>
      <c r="E1689" s="4">
        <v>45463</v>
      </c>
      <c r="F1689" s="4">
        <v>45467</v>
      </c>
      <c r="G1689" s="3" t="s">
        <v>42</v>
      </c>
      <c r="H1689" s="3" t="s">
        <v>60</v>
      </c>
      <c r="I1689" s="3" t="s">
        <v>39</v>
      </c>
      <c r="J1689" s="3" t="s">
        <v>23</v>
      </c>
      <c r="K1689" s="3">
        <v>49</v>
      </c>
      <c r="L1689" s="3">
        <v>4</v>
      </c>
      <c r="M1689" s="3">
        <v>7190</v>
      </c>
      <c r="N1689" s="3">
        <v>28760</v>
      </c>
      <c r="O1689" s="3">
        <v>0</v>
      </c>
      <c r="P1689" s="3" t="s">
        <v>51</v>
      </c>
      <c r="Q1689" s="3">
        <v>1</v>
      </c>
      <c r="R1689" s="3" t="str">
        <f t="shared" si="26"/>
        <v>Cancelled</v>
      </c>
      <c r="S1689" s="3" t="s">
        <v>25</v>
      </c>
    </row>
    <row r="1690" spans="1:19" x14ac:dyDescent="0.35">
      <c r="A1690" s="3">
        <v>2689</v>
      </c>
      <c r="B1690" s="3" t="s">
        <v>815</v>
      </c>
      <c r="C1690" s="4">
        <v>45649</v>
      </c>
      <c r="D1690" s="3" t="s">
        <v>91</v>
      </c>
      <c r="E1690" s="4">
        <v>45684</v>
      </c>
      <c r="F1690" s="4">
        <v>45686</v>
      </c>
      <c r="G1690" s="3" t="s">
        <v>28</v>
      </c>
      <c r="H1690" s="3" t="s">
        <v>35</v>
      </c>
      <c r="I1690" s="3" t="s">
        <v>39</v>
      </c>
      <c r="J1690" s="3" t="s">
        <v>30</v>
      </c>
      <c r="K1690" s="3">
        <v>35</v>
      </c>
      <c r="L1690" s="3">
        <v>2</v>
      </c>
      <c r="M1690" s="3">
        <v>8621</v>
      </c>
      <c r="N1690" s="3">
        <v>17242</v>
      </c>
      <c r="O1690" s="3">
        <v>0</v>
      </c>
      <c r="P1690" s="3" t="s">
        <v>24</v>
      </c>
      <c r="Q1690" s="3">
        <v>1</v>
      </c>
      <c r="R1690" s="3" t="str">
        <f t="shared" si="26"/>
        <v>Cancelled</v>
      </c>
      <c r="S1690" s="3" t="s">
        <v>25</v>
      </c>
    </row>
    <row r="1691" spans="1:19" x14ac:dyDescent="0.35">
      <c r="A1691" s="3">
        <v>2690</v>
      </c>
      <c r="B1691" s="3" t="s">
        <v>1083</v>
      </c>
      <c r="C1691" s="4">
        <v>45307</v>
      </c>
      <c r="D1691" s="3" t="s">
        <v>124</v>
      </c>
      <c r="E1691" s="4">
        <v>45358</v>
      </c>
      <c r="F1691" s="4">
        <v>45362</v>
      </c>
      <c r="G1691" s="3" t="s">
        <v>42</v>
      </c>
      <c r="H1691" s="3" t="s">
        <v>35</v>
      </c>
      <c r="I1691" s="3" t="s">
        <v>39</v>
      </c>
      <c r="J1691" s="3" t="s">
        <v>23</v>
      </c>
      <c r="K1691" s="3">
        <v>51</v>
      </c>
      <c r="L1691" s="3">
        <v>4</v>
      </c>
      <c r="M1691" s="3">
        <v>4776</v>
      </c>
      <c r="N1691" s="3">
        <v>19104</v>
      </c>
      <c r="O1691" s="3">
        <v>0</v>
      </c>
      <c r="P1691" s="3" t="s">
        <v>51</v>
      </c>
      <c r="Q1691" s="3">
        <v>1</v>
      </c>
      <c r="R1691" s="3" t="str">
        <f t="shared" si="26"/>
        <v>Cancelled</v>
      </c>
      <c r="S1691" s="3" t="s">
        <v>31</v>
      </c>
    </row>
    <row r="1692" spans="1:19" x14ac:dyDescent="0.35">
      <c r="A1692" s="3">
        <v>2691</v>
      </c>
      <c r="B1692" s="3" t="s">
        <v>506</v>
      </c>
      <c r="C1692" s="4">
        <v>45357</v>
      </c>
      <c r="D1692" s="3" t="s">
        <v>75</v>
      </c>
      <c r="E1692" s="4">
        <v>45368</v>
      </c>
      <c r="F1692" s="4">
        <v>45372</v>
      </c>
      <c r="G1692" s="3" t="s">
        <v>42</v>
      </c>
      <c r="H1692" s="3" t="s">
        <v>35</v>
      </c>
      <c r="I1692" s="3" t="s">
        <v>39</v>
      </c>
      <c r="J1692" s="3" t="s">
        <v>23</v>
      </c>
      <c r="K1692" s="3">
        <v>11</v>
      </c>
      <c r="L1692" s="3">
        <v>4</v>
      </c>
      <c r="M1692" s="3">
        <v>6506</v>
      </c>
      <c r="N1692" s="3">
        <v>26024</v>
      </c>
      <c r="O1692" s="3">
        <v>0</v>
      </c>
      <c r="P1692" s="3" t="s">
        <v>24</v>
      </c>
      <c r="Q1692" s="3">
        <v>1</v>
      </c>
      <c r="R1692" s="3" t="str">
        <f t="shared" si="26"/>
        <v>Cancelled</v>
      </c>
      <c r="S1692" s="3" t="s">
        <v>31</v>
      </c>
    </row>
    <row r="1693" spans="1:19" x14ac:dyDescent="0.35">
      <c r="A1693" s="3">
        <v>2692</v>
      </c>
      <c r="B1693" s="3" t="s">
        <v>1089</v>
      </c>
      <c r="C1693" s="4">
        <v>45436</v>
      </c>
      <c r="D1693" s="3" t="s">
        <v>159</v>
      </c>
      <c r="E1693" s="4">
        <v>45460</v>
      </c>
      <c r="F1693" s="4">
        <v>45465</v>
      </c>
      <c r="G1693" s="3" t="s">
        <v>45</v>
      </c>
      <c r="H1693" s="3" t="s">
        <v>21</v>
      </c>
      <c r="I1693" s="3" t="s">
        <v>39</v>
      </c>
      <c r="J1693" s="3" t="s">
        <v>30</v>
      </c>
      <c r="K1693" s="3">
        <v>24</v>
      </c>
      <c r="L1693" s="3">
        <v>5</v>
      </c>
      <c r="M1693" s="3">
        <v>6939</v>
      </c>
      <c r="N1693" s="3">
        <v>34695</v>
      </c>
      <c r="O1693" s="3">
        <v>34695</v>
      </c>
      <c r="P1693" s="3" t="s">
        <v>24</v>
      </c>
      <c r="Q1693" s="3">
        <v>0</v>
      </c>
      <c r="R1693" s="3" t="str">
        <f t="shared" si="26"/>
        <v>Not Cancelled</v>
      </c>
      <c r="S1693" s="3" t="s">
        <v>31</v>
      </c>
    </row>
    <row r="1694" spans="1:19" x14ac:dyDescent="0.35">
      <c r="A1694" s="3">
        <v>2693</v>
      </c>
      <c r="B1694" s="3" t="s">
        <v>883</v>
      </c>
      <c r="C1694" s="4">
        <v>45453</v>
      </c>
      <c r="D1694" s="3" t="s">
        <v>211</v>
      </c>
      <c r="E1694" s="4">
        <v>45502</v>
      </c>
      <c r="F1694" s="4">
        <v>45504</v>
      </c>
      <c r="G1694" s="3" t="s">
        <v>28</v>
      </c>
      <c r="H1694" s="3" t="s">
        <v>35</v>
      </c>
      <c r="I1694" s="3" t="s">
        <v>22</v>
      </c>
      <c r="J1694" s="3" t="s">
        <v>46</v>
      </c>
      <c r="K1694" s="3">
        <v>49</v>
      </c>
      <c r="L1694" s="3">
        <v>2</v>
      </c>
      <c r="M1694" s="3">
        <v>3603</v>
      </c>
      <c r="N1694" s="3">
        <v>7206</v>
      </c>
      <c r="O1694" s="3">
        <v>0</v>
      </c>
      <c r="P1694" s="3" t="s">
        <v>51</v>
      </c>
      <c r="Q1694" s="3">
        <v>1</v>
      </c>
      <c r="R1694" s="3" t="str">
        <f t="shared" si="26"/>
        <v>Cancelled</v>
      </c>
      <c r="S1694" s="3" t="s">
        <v>31</v>
      </c>
    </row>
    <row r="1695" spans="1:19" x14ac:dyDescent="0.35">
      <c r="A1695" s="3">
        <v>2694</v>
      </c>
      <c r="B1695" s="3" t="s">
        <v>1090</v>
      </c>
      <c r="C1695" s="4">
        <v>45525</v>
      </c>
      <c r="D1695" s="3" t="s">
        <v>175</v>
      </c>
      <c r="E1695" s="4">
        <v>45546</v>
      </c>
      <c r="F1695" s="4">
        <v>45548</v>
      </c>
      <c r="G1695" s="3" t="s">
        <v>28</v>
      </c>
      <c r="H1695" s="3" t="s">
        <v>21</v>
      </c>
      <c r="I1695" s="3" t="s">
        <v>39</v>
      </c>
      <c r="J1695" s="3" t="s">
        <v>23</v>
      </c>
      <c r="K1695" s="3">
        <v>21</v>
      </c>
      <c r="L1695" s="3">
        <v>2</v>
      </c>
      <c r="M1695" s="3">
        <v>3919</v>
      </c>
      <c r="N1695" s="3">
        <v>7838</v>
      </c>
      <c r="O1695" s="3">
        <v>0</v>
      </c>
      <c r="P1695" s="3" t="s">
        <v>24</v>
      </c>
      <c r="Q1695" s="3">
        <v>1</v>
      </c>
      <c r="R1695" s="3" t="str">
        <f t="shared" si="26"/>
        <v>Cancelled</v>
      </c>
      <c r="S1695" s="3" t="s">
        <v>31</v>
      </c>
    </row>
    <row r="1696" spans="1:19" x14ac:dyDescent="0.35">
      <c r="A1696" s="3">
        <v>2695</v>
      </c>
      <c r="B1696" s="3" t="s">
        <v>519</v>
      </c>
      <c r="C1696" s="4">
        <v>45435</v>
      </c>
      <c r="D1696" s="3" t="s">
        <v>124</v>
      </c>
      <c r="E1696" s="4">
        <v>45486</v>
      </c>
      <c r="F1696" s="4">
        <v>45487</v>
      </c>
      <c r="G1696" s="3" t="s">
        <v>34</v>
      </c>
      <c r="H1696" s="3" t="s">
        <v>60</v>
      </c>
      <c r="I1696" s="3" t="s">
        <v>39</v>
      </c>
      <c r="J1696" s="3" t="s">
        <v>23</v>
      </c>
      <c r="K1696" s="3">
        <v>51</v>
      </c>
      <c r="L1696" s="3">
        <v>1</v>
      </c>
      <c r="M1696" s="3">
        <v>7909</v>
      </c>
      <c r="N1696" s="3">
        <v>7909</v>
      </c>
      <c r="O1696" s="3">
        <v>0</v>
      </c>
      <c r="P1696" s="3" t="s">
        <v>24</v>
      </c>
      <c r="Q1696" s="3">
        <v>1</v>
      </c>
      <c r="R1696" s="3" t="str">
        <f t="shared" si="26"/>
        <v>Cancelled</v>
      </c>
      <c r="S1696" s="3" t="s">
        <v>31</v>
      </c>
    </row>
    <row r="1697" spans="1:19" x14ac:dyDescent="0.35">
      <c r="A1697" s="3">
        <v>2696</v>
      </c>
      <c r="B1697" s="3" t="s">
        <v>529</v>
      </c>
      <c r="C1697" s="4">
        <v>45649</v>
      </c>
      <c r="D1697" s="3" t="s">
        <v>28</v>
      </c>
      <c r="E1697" s="4">
        <v>45651</v>
      </c>
      <c r="F1697" s="4">
        <v>45653</v>
      </c>
      <c r="G1697" s="3" t="s">
        <v>28</v>
      </c>
      <c r="H1697" s="3" t="s">
        <v>29</v>
      </c>
      <c r="I1697" s="3" t="s">
        <v>39</v>
      </c>
      <c r="J1697" s="3" t="s">
        <v>46</v>
      </c>
      <c r="K1697" s="3">
        <v>2</v>
      </c>
      <c r="L1697" s="3">
        <v>2</v>
      </c>
      <c r="M1697" s="3">
        <v>3978</v>
      </c>
      <c r="N1697" s="3">
        <v>7956</v>
      </c>
      <c r="O1697" s="3">
        <v>7956</v>
      </c>
      <c r="P1697" s="3" t="s">
        <v>51</v>
      </c>
      <c r="Q1697" s="3">
        <v>0</v>
      </c>
      <c r="R1697" s="3" t="str">
        <f t="shared" si="26"/>
        <v>Not Cancelled</v>
      </c>
      <c r="S1697" s="3" t="s">
        <v>25</v>
      </c>
    </row>
    <row r="1698" spans="1:19" x14ac:dyDescent="0.35">
      <c r="A1698" s="3">
        <v>2697</v>
      </c>
      <c r="B1698" s="3" t="s">
        <v>135</v>
      </c>
      <c r="C1698" s="4">
        <v>45479</v>
      </c>
      <c r="D1698" s="3" t="s">
        <v>179</v>
      </c>
      <c r="E1698" s="4">
        <v>45519</v>
      </c>
      <c r="F1698" s="4">
        <v>45520</v>
      </c>
      <c r="G1698" s="3" t="s">
        <v>34</v>
      </c>
      <c r="H1698" s="3" t="s">
        <v>38</v>
      </c>
      <c r="I1698" s="3" t="s">
        <v>39</v>
      </c>
      <c r="J1698" s="3" t="s">
        <v>30</v>
      </c>
      <c r="K1698" s="3">
        <v>40</v>
      </c>
      <c r="L1698" s="3">
        <v>1</v>
      </c>
      <c r="M1698" s="3">
        <v>6414</v>
      </c>
      <c r="N1698" s="3">
        <v>6414</v>
      </c>
      <c r="O1698" s="3">
        <v>0</v>
      </c>
      <c r="P1698" s="3" t="s">
        <v>24</v>
      </c>
      <c r="Q1698" s="3">
        <v>1</v>
      </c>
      <c r="R1698" s="3" t="str">
        <f t="shared" si="26"/>
        <v>Cancelled</v>
      </c>
      <c r="S1698" s="3" t="s">
        <v>25</v>
      </c>
    </row>
    <row r="1699" spans="1:19" x14ac:dyDescent="0.35">
      <c r="A1699" s="3">
        <v>2698</v>
      </c>
      <c r="B1699" s="3" t="s">
        <v>1091</v>
      </c>
      <c r="C1699" s="4">
        <v>45613</v>
      </c>
      <c r="D1699" s="3" t="s">
        <v>109</v>
      </c>
      <c r="E1699" s="4">
        <v>45632</v>
      </c>
      <c r="F1699" s="4">
        <v>45635</v>
      </c>
      <c r="G1699" s="3" t="s">
        <v>20</v>
      </c>
      <c r="H1699" s="3" t="s">
        <v>60</v>
      </c>
      <c r="I1699" s="3" t="s">
        <v>39</v>
      </c>
      <c r="J1699" s="3" t="s">
        <v>23</v>
      </c>
      <c r="K1699" s="3">
        <v>19</v>
      </c>
      <c r="L1699" s="3">
        <v>3</v>
      </c>
      <c r="M1699" s="3">
        <v>6242</v>
      </c>
      <c r="N1699" s="3">
        <v>18726</v>
      </c>
      <c r="O1699" s="3">
        <v>0</v>
      </c>
      <c r="P1699" s="3" t="s">
        <v>51</v>
      </c>
      <c r="Q1699" s="3">
        <v>1</v>
      </c>
      <c r="R1699" s="3" t="str">
        <f t="shared" si="26"/>
        <v>Cancelled</v>
      </c>
      <c r="S1699" s="3" t="s">
        <v>25</v>
      </c>
    </row>
    <row r="1700" spans="1:19" x14ac:dyDescent="0.35">
      <c r="A1700" s="3">
        <v>2699</v>
      </c>
      <c r="B1700" s="3" t="s">
        <v>1092</v>
      </c>
      <c r="C1700" s="4">
        <v>45304</v>
      </c>
      <c r="D1700" s="3" t="s">
        <v>153</v>
      </c>
      <c r="E1700" s="4">
        <v>45343</v>
      </c>
      <c r="F1700" s="4">
        <v>45346</v>
      </c>
      <c r="G1700" s="3" t="s">
        <v>20</v>
      </c>
      <c r="H1700" s="3" t="s">
        <v>21</v>
      </c>
      <c r="I1700" s="3" t="s">
        <v>22</v>
      </c>
      <c r="J1700" s="3" t="s">
        <v>30</v>
      </c>
      <c r="K1700" s="3">
        <v>39</v>
      </c>
      <c r="L1700" s="3">
        <v>3</v>
      </c>
      <c r="M1700" s="3">
        <v>7747</v>
      </c>
      <c r="N1700" s="3">
        <v>23241</v>
      </c>
      <c r="O1700" s="3">
        <v>0</v>
      </c>
      <c r="P1700" s="3" t="s">
        <v>24</v>
      </c>
      <c r="Q1700" s="3">
        <v>1</v>
      </c>
      <c r="R1700" s="3" t="str">
        <f t="shared" si="26"/>
        <v>Cancelled</v>
      </c>
      <c r="S1700" s="3" t="s">
        <v>25</v>
      </c>
    </row>
    <row r="1701" spans="1:19" x14ac:dyDescent="0.35">
      <c r="A1701" s="3">
        <v>2700</v>
      </c>
      <c r="B1701" s="3" t="s">
        <v>164</v>
      </c>
      <c r="C1701" s="4">
        <v>45475</v>
      </c>
      <c r="D1701" s="3" t="s">
        <v>82</v>
      </c>
      <c r="E1701" s="4">
        <v>45503</v>
      </c>
      <c r="F1701" s="4">
        <v>45506</v>
      </c>
      <c r="G1701" s="3" t="s">
        <v>20</v>
      </c>
      <c r="H1701" s="3" t="s">
        <v>60</v>
      </c>
      <c r="I1701" s="3" t="s">
        <v>22</v>
      </c>
      <c r="J1701" s="3" t="s">
        <v>46</v>
      </c>
      <c r="K1701" s="3">
        <v>28</v>
      </c>
      <c r="L1701" s="3">
        <v>3</v>
      </c>
      <c r="M1701" s="3">
        <v>5456</v>
      </c>
      <c r="N1701" s="3">
        <v>16368</v>
      </c>
      <c r="O1701" s="3">
        <v>0</v>
      </c>
      <c r="P1701" s="3" t="s">
        <v>24</v>
      </c>
      <c r="Q1701" s="3">
        <v>1</v>
      </c>
      <c r="R1701" s="3" t="str">
        <f t="shared" si="26"/>
        <v>Cancelled</v>
      </c>
      <c r="S1701" s="3" t="s">
        <v>25</v>
      </c>
    </row>
    <row r="1702" spans="1:19" x14ac:dyDescent="0.35">
      <c r="A1702" s="3">
        <v>2701</v>
      </c>
      <c r="B1702" s="3" t="s">
        <v>1075</v>
      </c>
      <c r="C1702" s="4">
        <v>45402</v>
      </c>
      <c r="D1702" s="3" t="s">
        <v>96</v>
      </c>
      <c r="E1702" s="4">
        <v>45461</v>
      </c>
      <c r="F1702" s="4">
        <v>45463</v>
      </c>
      <c r="G1702" s="3" t="s">
        <v>28</v>
      </c>
      <c r="H1702" s="3" t="s">
        <v>38</v>
      </c>
      <c r="I1702" s="3" t="s">
        <v>39</v>
      </c>
      <c r="J1702" s="3" t="s">
        <v>46</v>
      </c>
      <c r="K1702" s="3">
        <v>59</v>
      </c>
      <c r="L1702" s="3">
        <v>2</v>
      </c>
      <c r="M1702" s="3">
        <v>8517</v>
      </c>
      <c r="N1702" s="3">
        <v>17034</v>
      </c>
      <c r="O1702" s="3">
        <v>0</v>
      </c>
      <c r="P1702" s="3" t="s">
        <v>51</v>
      </c>
      <c r="Q1702" s="3">
        <v>1</v>
      </c>
      <c r="R1702" s="3" t="str">
        <f t="shared" si="26"/>
        <v>Cancelled</v>
      </c>
      <c r="S1702" s="3" t="s">
        <v>25</v>
      </c>
    </row>
    <row r="1703" spans="1:19" x14ac:dyDescent="0.35">
      <c r="A1703" s="3">
        <v>2702</v>
      </c>
      <c r="B1703" s="3" t="s">
        <v>791</v>
      </c>
      <c r="C1703" s="4">
        <v>45581</v>
      </c>
      <c r="D1703" s="3" t="s">
        <v>71</v>
      </c>
      <c r="E1703" s="4">
        <v>45598</v>
      </c>
      <c r="F1703" s="4">
        <v>45600</v>
      </c>
      <c r="G1703" s="3" t="s">
        <v>28</v>
      </c>
      <c r="H1703" s="3" t="s">
        <v>29</v>
      </c>
      <c r="I1703" s="3" t="s">
        <v>22</v>
      </c>
      <c r="J1703" s="3" t="s">
        <v>30</v>
      </c>
      <c r="K1703" s="3">
        <v>17</v>
      </c>
      <c r="L1703" s="3">
        <v>2</v>
      </c>
      <c r="M1703" s="3">
        <v>3882</v>
      </c>
      <c r="N1703" s="3">
        <v>7764</v>
      </c>
      <c r="O1703" s="3">
        <v>7764</v>
      </c>
      <c r="P1703" s="3" t="s">
        <v>51</v>
      </c>
      <c r="Q1703" s="3">
        <v>0</v>
      </c>
      <c r="R1703" s="3" t="str">
        <f t="shared" si="26"/>
        <v>Not Cancelled</v>
      </c>
      <c r="S1703" s="3" t="s">
        <v>25</v>
      </c>
    </row>
    <row r="1704" spans="1:19" x14ac:dyDescent="0.35">
      <c r="A1704" s="3">
        <v>2703</v>
      </c>
      <c r="B1704" s="3" t="s">
        <v>252</v>
      </c>
      <c r="C1704" s="4">
        <v>45586</v>
      </c>
      <c r="D1704" s="3" t="s">
        <v>55</v>
      </c>
      <c r="E1704" s="4">
        <v>45592</v>
      </c>
      <c r="F1704" s="4">
        <v>45593</v>
      </c>
      <c r="G1704" s="3" t="s">
        <v>34</v>
      </c>
      <c r="H1704" s="3" t="s">
        <v>38</v>
      </c>
      <c r="I1704" s="3" t="s">
        <v>39</v>
      </c>
      <c r="J1704" s="3" t="s">
        <v>46</v>
      </c>
      <c r="K1704" s="3">
        <v>6</v>
      </c>
      <c r="L1704" s="3">
        <v>1</v>
      </c>
      <c r="M1704" s="3">
        <v>5074</v>
      </c>
      <c r="N1704" s="3">
        <v>5074</v>
      </c>
      <c r="O1704" s="3">
        <v>0</v>
      </c>
      <c r="P1704" s="3" t="s">
        <v>51</v>
      </c>
      <c r="Q1704" s="3">
        <v>1</v>
      </c>
      <c r="R1704" s="3" t="str">
        <f t="shared" si="26"/>
        <v>Cancelled</v>
      </c>
      <c r="S1704" s="3" t="s">
        <v>25</v>
      </c>
    </row>
    <row r="1705" spans="1:19" x14ac:dyDescent="0.35">
      <c r="A1705" s="3">
        <v>2704</v>
      </c>
      <c r="B1705" s="3" t="s">
        <v>1093</v>
      </c>
      <c r="C1705" s="4">
        <v>45506</v>
      </c>
      <c r="D1705" s="3" t="s">
        <v>109</v>
      </c>
      <c r="E1705" s="4">
        <v>45525</v>
      </c>
      <c r="F1705" s="4">
        <v>45529</v>
      </c>
      <c r="G1705" s="3" t="s">
        <v>42</v>
      </c>
      <c r="H1705" s="3" t="s">
        <v>21</v>
      </c>
      <c r="I1705" s="3" t="s">
        <v>39</v>
      </c>
      <c r="J1705" s="3" t="s">
        <v>46</v>
      </c>
      <c r="K1705" s="3">
        <v>19</v>
      </c>
      <c r="L1705" s="3">
        <v>4</v>
      </c>
      <c r="M1705" s="3">
        <v>5884</v>
      </c>
      <c r="N1705" s="3">
        <v>23536</v>
      </c>
      <c r="O1705" s="3">
        <v>23536</v>
      </c>
      <c r="P1705" s="3" t="s">
        <v>24</v>
      </c>
      <c r="Q1705" s="3">
        <v>0</v>
      </c>
      <c r="R1705" s="3" t="str">
        <f t="shared" si="26"/>
        <v>Not Cancelled</v>
      </c>
      <c r="S1705" s="3" t="s">
        <v>31</v>
      </c>
    </row>
    <row r="1706" spans="1:19" x14ac:dyDescent="0.35">
      <c r="A1706" s="3">
        <v>2705</v>
      </c>
      <c r="B1706" s="3" t="s">
        <v>1047</v>
      </c>
      <c r="C1706" s="4">
        <v>45411</v>
      </c>
      <c r="D1706" s="3" t="s">
        <v>94</v>
      </c>
      <c r="E1706" s="4">
        <v>45467</v>
      </c>
      <c r="F1706" s="4">
        <v>45468</v>
      </c>
      <c r="G1706" s="3" t="s">
        <v>34</v>
      </c>
      <c r="H1706" s="3" t="s">
        <v>38</v>
      </c>
      <c r="I1706" s="3" t="s">
        <v>22</v>
      </c>
      <c r="J1706" s="3" t="s">
        <v>23</v>
      </c>
      <c r="K1706" s="3">
        <v>56</v>
      </c>
      <c r="L1706" s="3">
        <v>1</v>
      </c>
      <c r="M1706" s="3">
        <v>8718</v>
      </c>
      <c r="N1706" s="3">
        <v>8718</v>
      </c>
      <c r="O1706" s="3">
        <v>0</v>
      </c>
      <c r="P1706" s="3" t="s">
        <v>24</v>
      </c>
      <c r="Q1706" s="3">
        <v>1</v>
      </c>
      <c r="R1706" s="3" t="str">
        <f t="shared" si="26"/>
        <v>Cancelled</v>
      </c>
      <c r="S1706" s="3" t="s">
        <v>31</v>
      </c>
    </row>
    <row r="1707" spans="1:19" x14ac:dyDescent="0.35">
      <c r="A1707" s="3">
        <v>2706</v>
      </c>
      <c r="B1707" s="3" t="s">
        <v>899</v>
      </c>
      <c r="C1707" s="4">
        <v>45346</v>
      </c>
      <c r="D1707" s="3" t="s">
        <v>115</v>
      </c>
      <c r="E1707" s="4">
        <v>45384</v>
      </c>
      <c r="F1707" s="4">
        <v>45387</v>
      </c>
      <c r="G1707" s="3" t="s">
        <v>20</v>
      </c>
      <c r="H1707" s="3" t="s">
        <v>60</v>
      </c>
      <c r="I1707" s="3" t="s">
        <v>22</v>
      </c>
      <c r="J1707" s="3" t="s">
        <v>30</v>
      </c>
      <c r="K1707" s="3">
        <v>38</v>
      </c>
      <c r="L1707" s="3">
        <v>3</v>
      </c>
      <c r="M1707" s="3">
        <v>4069</v>
      </c>
      <c r="N1707" s="3">
        <v>12207</v>
      </c>
      <c r="O1707" s="3">
        <v>12207</v>
      </c>
      <c r="P1707" s="3" t="s">
        <v>51</v>
      </c>
      <c r="Q1707" s="3">
        <v>0</v>
      </c>
      <c r="R1707" s="3" t="str">
        <f t="shared" si="26"/>
        <v>Not Cancelled</v>
      </c>
      <c r="S1707" s="3" t="s">
        <v>31</v>
      </c>
    </row>
    <row r="1708" spans="1:19" x14ac:dyDescent="0.35">
      <c r="A1708" s="3">
        <v>2707</v>
      </c>
      <c r="B1708" s="3" t="s">
        <v>397</v>
      </c>
      <c r="C1708" s="4">
        <v>45318</v>
      </c>
      <c r="D1708" s="3" t="s">
        <v>82</v>
      </c>
      <c r="E1708" s="4">
        <v>45346</v>
      </c>
      <c r="F1708" s="4">
        <v>45347</v>
      </c>
      <c r="G1708" s="3" t="s">
        <v>34</v>
      </c>
      <c r="H1708" s="3" t="s">
        <v>35</v>
      </c>
      <c r="I1708" s="3" t="s">
        <v>22</v>
      </c>
      <c r="J1708" s="3" t="s">
        <v>23</v>
      </c>
      <c r="K1708" s="3">
        <v>28</v>
      </c>
      <c r="L1708" s="3">
        <v>1</v>
      </c>
      <c r="M1708" s="3">
        <v>4394</v>
      </c>
      <c r="N1708" s="3">
        <v>4394</v>
      </c>
      <c r="O1708" s="3">
        <v>4394</v>
      </c>
      <c r="P1708" s="3" t="s">
        <v>51</v>
      </c>
      <c r="Q1708" s="3">
        <v>0</v>
      </c>
      <c r="R1708" s="3" t="str">
        <f t="shared" si="26"/>
        <v>Not Cancelled</v>
      </c>
      <c r="S1708" s="3" t="s">
        <v>31</v>
      </c>
    </row>
    <row r="1709" spans="1:19" x14ac:dyDescent="0.35">
      <c r="A1709" s="3">
        <v>2708</v>
      </c>
      <c r="B1709" s="3" t="s">
        <v>861</v>
      </c>
      <c r="C1709" s="4">
        <v>45409</v>
      </c>
      <c r="D1709" s="3" t="s">
        <v>28</v>
      </c>
      <c r="E1709" s="4">
        <v>45411</v>
      </c>
      <c r="F1709" s="4">
        <v>45415</v>
      </c>
      <c r="G1709" s="3" t="s">
        <v>42</v>
      </c>
      <c r="H1709" s="3" t="s">
        <v>60</v>
      </c>
      <c r="I1709" s="3" t="s">
        <v>22</v>
      </c>
      <c r="J1709" s="3" t="s">
        <v>30</v>
      </c>
      <c r="K1709" s="3">
        <v>2</v>
      </c>
      <c r="L1709" s="3">
        <v>4</v>
      </c>
      <c r="M1709" s="3">
        <v>4743</v>
      </c>
      <c r="N1709" s="3">
        <v>18972</v>
      </c>
      <c r="O1709" s="3">
        <v>0</v>
      </c>
      <c r="P1709" s="3" t="s">
        <v>51</v>
      </c>
      <c r="Q1709" s="3">
        <v>1</v>
      </c>
      <c r="R1709" s="3" t="str">
        <f t="shared" si="26"/>
        <v>Cancelled</v>
      </c>
      <c r="S1709" s="3" t="s">
        <v>31</v>
      </c>
    </row>
    <row r="1710" spans="1:19" x14ac:dyDescent="0.35">
      <c r="A1710" s="3">
        <v>2709</v>
      </c>
      <c r="B1710" s="3" t="s">
        <v>99</v>
      </c>
      <c r="C1710" s="4">
        <v>45512</v>
      </c>
      <c r="D1710" s="3" t="s">
        <v>115</v>
      </c>
      <c r="E1710" s="4">
        <v>45550</v>
      </c>
      <c r="F1710" s="4">
        <v>45552</v>
      </c>
      <c r="G1710" s="3" t="s">
        <v>28</v>
      </c>
      <c r="H1710" s="3" t="s">
        <v>21</v>
      </c>
      <c r="I1710" s="3" t="s">
        <v>22</v>
      </c>
      <c r="J1710" s="3" t="s">
        <v>23</v>
      </c>
      <c r="K1710" s="3">
        <v>38</v>
      </c>
      <c r="L1710" s="3">
        <v>2</v>
      </c>
      <c r="M1710" s="3">
        <v>4366</v>
      </c>
      <c r="N1710" s="3">
        <v>8732</v>
      </c>
      <c r="O1710" s="3">
        <v>0</v>
      </c>
      <c r="P1710" s="3" t="s">
        <v>24</v>
      </c>
      <c r="Q1710" s="3">
        <v>1</v>
      </c>
      <c r="R1710" s="3" t="str">
        <f t="shared" si="26"/>
        <v>Cancelled</v>
      </c>
      <c r="S1710" s="3" t="s">
        <v>31</v>
      </c>
    </row>
    <row r="1711" spans="1:19" x14ac:dyDescent="0.35">
      <c r="A1711" s="3">
        <v>2710</v>
      </c>
      <c r="B1711" s="3" t="s">
        <v>964</v>
      </c>
      <c r="C1711" s="4">
        <v>45522</v>
      </c>
      <c r="D1711" s="3" t="s">
        <v>113</v>
      </c>
      <c r="E1711" s="4">
        <v>45577</v>
      </c>
      <c r="F1711" s="4">
        <v>45578</v>
      </c>
      <c r="G1711" s="3" t="s">
        <v>34</v>
      </c>
      <c r="H1711" s="3" t="s">
        <v>29</v>
      </c>
      <c r="I1711" s="3" t="s">
        <v>39</v>
      </c>
      <c r="J1711" s="3" t="s">
        <v>46</v>
      </c>
      <c r="K1711" s="3">
        <v>55</v>
      </c>
      <c r="L1711" s="3">
        <v>1</v>
      </c>
      <c r="M1711" s="3">
        <v>2528</v>
      </c>
      <c r="N1711" s="3">
        <v>2528</v>
      </c>
      <c r="O1711" s="3">
        <v>0</v>
      </c>
      <c r="P1711" s="3" t="s">
        <v>24</v>
      </c>
      <c r="Q1711" s="3">
        <v>1</v>
      </c>
      <c r="R1711" s="3" t="str">
        <f t="shared" si="26"/>
        <v>Cancelled</v>
      </c>
      <c r="S1711" s="3" t="s">
        <v>31</v>
      </c>
    </row>
    <row r="1712" spans="1:19" x14ac:dyDescent="0.35">
      <c r="A1712" s="3">
        <v>2711</v>
      </c>
      <c r="B1712" s="3" t="s">
        <v>734</v>
      </c>
      <c r="C1712" s="4">
        <v>45344</v>
      </c>
      <c r="D1712" s="3" t="s">
        <v>105</v>
      </c>
      <c r="E1712" s="4">
        <v>45381</v>
      </c>
      <c r="F1712" s="4">
        <v>45384</v>
      </c>
      <c r="G1712" s="3" t="s">
        <v>20</v>
      </c>
      <c r="H1712" s="3" t="s">
        <v>38</v>
      </c>
      <c r="I1712" s="3" t="s">
        <v>39</v>
      </c>
      <c r="J1712" s="3" t="s">
        <v>30</v>
      </c>
      <c r="K1712" s="3">
        <v>37</v>
      </c>
      <c r="L1712" s="3">
        <v>3</v>
      </c>
      <c r="M1712" s="3">
        <v>3205</v>
      </c>
      <c r="N1712" s="3">
        <v>9615</v>
      </c>
      <c r="O1712" s="3">
        <v>0</v>
      </c>
      <c r="P1712" s="3" t="s">
        <v>51</v>
      </c>
      <c r="Q1712" s="3">
        <v>1</v>
      </c>
      <c r="R1712" s="3" t="str">
        <f t="shared" si="26"/>
        <v>Cancelled</v>
      </c>
      <c r="S1712" s="3" t="s">
        <v>25</v>
      </c>
    </row>
    <row r="1713" spans="1:19" x14ac:dyDescent="0.35">
      <c r="A1713" s="3">
        <v>2712</v>
      </c>
      <c r="B1713" s="3" t="s">
        <v>252</v>
      </c>
      <c r="C1713" s="4">
        <v>45586</v>
      </c>
      <c r="D1713" s="3" t="s">
        <v>124</v>
      </c>
      <c r="E1713" s="4">
        <v>45637</v>
      </c>
      <c r="F1713" s="4">
        <v>45640</v>
      </c>
      <c r="G1713" s="3" t="s">
        <v>20</v>
      </c>
      <c r="H1713" s="3" t="s">
        <v>29</v>
      </c>
      <c r="I1713" s="3" t="s">
        <v>39</v>
      </c>
      <c r="J1713" s="3" t="s">
        <v>30</v>
      </c>
      <c r="K1713" s="3">
        <v>51</v>
      </c>
      <c r="L1713" s="3">
        <v>3</v>
      </c>
      <c r="M1713" s="3">
        <v>3520</v>
      </c>
      <c r="N1713" s="3">
        <v>10560</v>
      </c>
      <c r="O1713" s="3">
        <v>0</v>
      </c>
      <c r="P1713" s="3" t="s">
        <v>51</v>
      </c>
      <c r="Q1713" s="3">
        <v>1</v>
      </c>
      <c r="R1713" s="3" t="str">
        <f t="shared" si="26"/>
        <v>Cancelled</v>
      </c>
      <c r="S1713" s="3" t="s">
        <v>25</v>
      </c>
    </row>
    <row r="1714" spans="1:19" x14ac:dyDescent="0.35">
      <c r="A1714" s="3">
        <v>2713</v>
      </c>
      <c r="B1714" s="3" t="s">
        <v>545</v>
      </c>
      <c r="C1714" s="4">
        <v>45612</v>
      </c>
      <c r="D1714" s="3" t="s">
        <v>226</v>
      </c>
      <c r="E1714" s="4">
        <v>45664</v>
      </c>
      <c r="F1714" s="4">
        <v>45666</v>
      </c>
      <c r="G1714" s="3" t="s">
        <v>28</v>
      </c>
      <c r="H1714" s="3" t="s">
        <v>21</v>
      </c>
      <c r="I1714" s="3" t="s">
        <v>22</v>
      </c>
      <c r="J1714" s="3" t="s">
        <v>30</v>
      </c>
      <c r="K1714" s="3">
        <v>52</v>
      </c>
      <c r="L1714" s="3">
        <v>2</v>
      </c>
      <c r="M1714" s="3">
        <v>4563</v>
      </c>
      <c r="N1714" s="3">
        <v>9126</v>
      </c>
      <c r="O1714" s="3">
        <v>0</v>
      </c>
      <c r="P1714" s="3" t="s">
        <v>51</v>
      </c>
      <c r="Q1714" s="3">
        <v>1</v>
      </c>
      <c r="R1714" s="3" t="str">
        <f t="shared" si="26"/>
        <v>Cancelled</v>
      </c>
      <c r="S1714" s="3" t="s">
        <v>31</v>
      </c>
    </row>
    <row r="1715" spans="1:19" x14ac:dyDescent="0.35">
      <c r="A1715" s="3">
        <v>2714</v>
      </c>
      <c r="B1715" s="3" t="s">
        <v>550</v>
      </c>
      <c r="C1715" s="4">
        <v>45524</v>
      </c>
      <c r="D1715" s="3" t="s">
        <v>42</v>
      </c>
      <c r="E1715" s="4">
        <v>45528</v>
      </c>
      <c r="F1715" s="4">
        <v>45529</v>
      </c>
      <c r="G1715" s="3" t="s">
        <v>34</v>
      </c>
      <c r="H1715" s="3" t="s">
        <v>38</v>
      </c>
      <c r="I1715" s="3" t="s">
        <v>39</v>
      </c>
      <c r="J1715" s="3" t="s">
        <v>30</v>
      </c>
      <c r="K1715" s="3">
        <v>4</v>
      </c>
      <c r="L1715" s="3">
        <v>1</v>
      </c>
      <c r="M1715" s="3">
        <v>3946</v>
      </c>
      <c r="N1715" s="3">
        <v>3946</v>
      </c>
      <c r="O1715" s="3">
        <v>3946</v>
      </c>
      <c r="P1715" s="3" t="s">
        <v>24</v>
      </c>
      <c r="Q1715" s="3">
        <v>0</v>
      </c>
      <c r="R1715" s="3" t="str">
        <f t="shared" si="26"/>
        <v>Not Cancelled</v>
      </c>
      <c r="S1715" s="3" t="s">
        <v>25</v>
      </c>
    </row>
    <row r="1716" spans="1:19" x14ac:dyDescent="0.35">
      <c r="A1716" s="3">
        <v>2715</v>
      </c>
      <c r="B1716" s="3" t="s">
        <v>1094</v>
      </c>
      <c r="C1716" s="4">
        <v>45449</v>
      </c>
      <c r="D1716" s="3" t="s">
        <v>19</v>
      </c>
      <c r="E1716" s="4">
        <v>45471</v>
      </c>
      <c r="F1716" s="4">
        <v>45475</v>
      </c>
      <c r="G1716" s="3" t="s">
        <v>42</v>
      </c>
      <c r="H1716" s="3" t="s">
        <v>60</v>
      </c>
      <c r="I1716" s="3" t="s">
        <v>22</v>
      </c>
      <c r="J1716" s="3" t="s">
        <v>46</v>
      </c>
      <c r="K1716" s="3">
        <v>22</v>
      </c>
      <c r="L1716" s="3">
        <v>4</v>
      </c>
      <c r="M1716" s="3">
        <v>6164</v>
      </c>
      <c r="N1716" s="3">
        <v>24656</v>
      </c>
      <c r="O1716" s="3">
        <v>24656</v>
      </c>
      <c r="P1716" s="3" t="s">
        <v>51</v>
      </c>
      <c r="Q1716" s="3">
        <v>0</v>
      </c>
      <c r="R1716" s="3" t="str">
        <f t="shared" si="26"/>
        <v>Not Cancelled</v>
      </c>
      <c r="S1716" s="3" t="s">
        <v>25</v>
      </c>
    </row>
    <row r="1717" spans="1:19" x14ac:dyDescent="0.35">
      <c r="A1717" s="3">
        <v>2716</v>
      </c>
      <c r="B1717" s="3" t="s">
        <v>1095</v>
      </c>
      <c r="C1717" s="4">
        <v>45560</v>
      </c>
      <c r="D1717" s="3" t="s">
        <v>98</v>
      </c>
      <c r="E1717" s="4">
        <v>45586</v>
      </c>
      <c r="F1717" s="4">
        <v>45588</v>
      </c>
      <c r="G1717" s="3" t="s">
        <v>28</v>
      </c>
      <c r="H1717" s="3" t="s">
        <v>60</v>
      </c>
      <c r="I1717" s="3" t="s">
        <v>39</v>
      </c>
      <c r="J1717" s="3" t="s">
        <v>46</v>
      </c>
      <c r="K1717" s="3">
        <v>26</v>
      </c>
      <c r="L1717" s="3">
        <v>2</v>
      </c>
      <c r="M1717" s="3">
        <v>5487</v>
      </c>
      <c r="N1717" s="3">
        <v>10974</v>
      </c>
      <c r="O1717" s="3">
        <v>10974</v>
      </c>
      <c r="P1717" s="3" t="s">
        <v>51</v>
      </c>
      <c r="Q1717" s="3">
        <v>0</v>
      </c>
      <c r="R1717" s="3" t="str">
        <f t="shared" si="26"/>
        <v>Not Cancelled</v>
      </c>
      <c r="S1717" s="3" t="s">
        <v>25</v>
      </c>
    </row>
    <row r="1718" spans="1:19" x14ac:dyDescent="0.35">
      <c r="A1718" s="3">
        <v>2717</v>
      </c>
      <c r="B1718" s="3" t="s">
        <v>1096</v>
      </c>
      <c r="C1718" s="4">
        <v>45312</v>
      </c>
      <c r="D1718" s="3" t="s">
        <v>211</v>
      </c>
      <c r="E1718" s="4">
        <v>45361</v>
      </c>
      <c r="F1718" s="4">
        <v>45362</v>
      </c>
      <c r="G1718" s="3" t="s">
        <v>34</v>
      </c>
      <c r="H1718" s="3" t="s">
        <v>21</v>
      </c>
      <c r="I1718" s="3" t="s">
        <v>22</v>
      </c>
      <c r="J1718" s="3" t="s">
        <v>46</v>
      </c>
      <c r="K1718" s="3">
        <v>49</v>
      </c>
      <c r="L1718" s="3">
        <v>1</v>
      </c>
      <c r="M1718" s="3">
        <v>8255</v>
      </c>
      <c r="N1718" s="3">
        <v>8255</v>
      </c>
      <c r="O1718" s="3">
        <v>0</v>
      </c>
      <c r="P1718" s="3" t="s">
        <v>51</v>
      </c>
      <c r="Q1718" s="3">
        <v>1</v>
      </c>
      <c r="R1718" s="3" t="str">
        <f t="shared" si="26"/>
        <v>Cancelled</v>
      </c>
      <c r="S1718" s="3" t="s">
        <v>25</v>
      </c>
    </row>
    <row r="1719" spans="1:19" x14ac:dyDescent="0.35">
      <c r="A1719" s="3">
        <v>2718</v>
      </c>
      <c r="B1719" s="3" t="s">
        <v>552</v>
      </c>
      <c r="C1719" s="4">
        <v>45344</v>
      </c>
      <c r="D1719" s="3" t="s">
        <v>66</v>
      </c>
      <c r="E1719" s="4">
        <v>45387</v>
      </c>
      <c r="F1719" s="4">
        <v>45392</v>
      </c>
      <c r="G1719" s="3" t="s">
        <v>45</v>
      </c>
      <c r="H1719" s="3" t="s">
        <v>38</v>
      </c>
      <c r="I1719" s="3" t="s">
        <v>22</v>
      </c>
      <c r="J1719" s="3" t="s">
        <v>23</v>
      </c>
      <c r="K1719" s="3">
        <v>43</v>
      </c>
      <c r="L1719" s="3">
        <v>5</v>
      </c>
      <c r="M1719" s="3">
        <v>6102</v>
      </c>
      <c r="N1719" s="3">
        <v>30510</v>
      </c>
      <c r="O1719" s="3">
        <v>0</v>
      </c>
      <c r="P1719" s="3" t="s">
        <v>24</v>
      </c>
      <c r="Q1719" s="3">
        <v>1</v>
      </c>
      <c r="R1719" s="3" t="str">
        <f t="shared" si="26"/>
        <v>Cancelled</v>
      </c>
      <c r="S1719" s="3" t="s">
        <v>25</v>
      </c>
    </row>
    <row r="1720" spans="1:19" x14ac:dyDescent="0.35">
      <c r="A1720" s="3">
        <v>2719</v>
      </c>
      <c r="B1720" s="3" t="s">
        <v>637</v>
      </c>
      <c r="C1720" s="4">
        <v>45566</v>
      </c>
      <c r="D1720" s="3" t="s">
        <v>146</v>
      </c>
      <c r="E1720" s="4">
        <v>45602</v>
      </c>
      <c r="F1720" s="4">
        <v>45605</v>
      </c>
      <c r="G1720" s="3" t="s">
        <v>20</v>
      </c>
      <c r="H1720" s="3" t="s">
        <v>60</v>
      </c>
      <c r="I1720" s="3" t="s">
        <v>39</v>
      </c>
      <c r="J1720" s="3" t="s">
        <v>46</v>
      </c>
      <c r="K1720" s="3">
        <v>36</v>
      </c>
      <c r="L1720" s="3">
        <v>3</v>
      </c>
      <c r="M1720" s="3">
        <v>7562</v>
      </c>
      <c r="N1720" s="3">
        <v>22686</v>
      </c>
      <c r="O1720" s="3">
        <v>22686</v>
      </c>
      <c r="P1720" s="3" t="s">
        <v>24</v>
      </c>
      <c r="Q1720" s="3">
        <v>0</v>
      </c>
      <c r="R1720" s="3" t="str">
        <f t="shared" si="26"/>
        <v>Not Cancelled</v>
      </c>
      <c r="S1720" s="3" t="s">
        <v>31</v>
      </c>
    </row>
    <row r="1721" spans="1:19" x14ac:dyDescent="0.35">
      <c r="A1721" s="3">
        <v>2720</v>
      </c>
      <c r="B1721" s="3" t="s">
        <v>791</v>
      </c>
      <c r="C1721" s="4">
        <v>45604</v>
      </c>
      <c r="D1721" s="3" t="s">
        <v>237</v>
      </c>
      <c r="E1721" s="4">
        <v>45662</v>
      </c>
      <c r="F1721" s="4">
        <v>45666</v>
      </c>
      <c r="G1721" s="3" t="s">
        <v>42</v>
      </c>
      <c r="H1721" s="3" t="s">
        <v>21</v>
      </c>
      <c r="I1721" s="3" t="s">
        <v>39</v>
      </c>
      <c r="J1721" s="3" t="s">
        <v>23</v>
      </c>
      <c r="K1721" s="3">
        <v>58</v>
      </c>
      <c r="L1721" s="3">
        <v>4</v>
      </c>
      <c r="M1721" s="3">
        <v>6185</v>
      </c>
      <c r="N1721" s="3">
        <v>24740</v>
      </c>
      <c r="O1721" s="3">
        <v>0</v>
      </c>
      <c r="P1721" s="3" t="s">
        <v>51</v>
      </c>
      <c r="Q1721" s="3">
        <v>1</v>
      </c>
      <c r="R1721" s="3" t="str">
        <f t="shared" si="26"/>
        <v>Cancelled</v>
      </c>
      <c r="S1721" s="3" t="s">
        <v>25</v>
      </c>
    </row>
    <row r="1722" spans="1:19" x14ac:dyDescent="0.35">
      <c r="A1722" s="3">
        <v>2721</v>
      </c>
      <c r="B1722" s="3" t="s">
        <v>695</v>
      </c>
      <c r="C1722" s="4">
        <v>45572</v>
      </c>
      <c r="D1722" s="3" t="s">
        <v>44</v>
      </c>
      <c r="E1722" s="4">
        <v>45585</v>
      </c>
      <c r="F1722" s="4">
        <v>45589</v>
      </c>
      <c r="G1722" s="3" t="s">
        <v>42</v>
      </c>
      <c r="H1722" s="3" t="s">
        <v>21</v>
      </c>
      <c r="I1722" s="3" t="s">
        <v>39</v>
      </c>
      <c r="J1722" s="3" t="s">
        <v>23</v>
      </c>
      <c r="K1722" s="3">
        <v>13</v>
      </c>
      <c r="L1722" s="3">
        <v>4</v>
      </c>
      <c r="M1722" s="3">
        <v>8872</v>
      </c>
      <c r="N1722" s="3">
        <v>35488</v>
      </c>
      <c r="O1722" s="3">
        <v>0</v>
      </c>
      <c r="P1722" s="3" t="s">
        <v>24</v>
      </c>
      <c r="Q1722" s="3">
        <v>1</v>
      </c>
      <c r="R1722" s="3" t="str">
        <f t="shared" si="26"/>
        <v>Cancelled</v>
      </c>
      <c r="S1722" s="3" t="s">
        <v>31</v>
      </c>
    </row>
    <row r="1723" spans="1:19" x14ac:dyDescent="0.35">
      <c r="A1723" s="3">
        <v>2722</v>
      </c>
      <c r="B1723" s="3" t="s">
        <v>969</v>
      </c>
      <c r="C1723" s="4">
        <v>45505</v>
      </c>
      <c r="D1723" s="3" t="s">
        <v>226</v>
      </c>
      <c r="E1723" s="4">
        <v>45557</v>
      </c>
      <c r="F1723" s="4">
        <v>45561</v>
      </c>
      <c r="G1723" s="3" t="s">
        <v>42</v>
      </c>
      <c r="H1723" s="3" t="s">
        <v>29</v>
      </c>
      <c r="I1723" s="3" t="s">
        <v>39</v>
      </c>
      <c r="J1723" s="3" t="s">
        <v>46</v>
      </c>
      <c r="K1723" s="3">
        <v>52</v>
      </c>
      <c r="L1723" s="3">
        <v>4</v>
      </c>
      <c r="M1723" s="3">
        <v>5868</v>
      </c>
      <c r="N1723" s="3">
        <v>23472</v>
      </c>
      <c r="O1723" s="3">
        <v>23472</v>
      </c>
      <c r="P1723" s="3" t="s">
        <v>51</v>
      </c>
      <c r="Q1723" s="3">
        <v>0</v>
      </c>
      <c r="R1723" s="3" t="str">
        <f t="shared" si="26"/>
        <v>Not Cancelled</v>
      </c>
      <c r="S1723" s="3" t="s">
        <v>31</v>
      </c>
    </row>
    <row r="1724" spans="1:19" x14ac:dyDescent="0.35">
      <c r="A1724" s="3">
        <v>2723</v>
      </c>
      <c r="B1724" s="3" t="s">
        <v>899</v>
      </c>
      <c r="C1724" s="4">
        <v>45322</v>
      </c>
      <c r="D1724" s="3" t="s">
        <v>237</v>
      </c>
      <c r="E1724" s="4">
        <v>45380</v>
      </c>
      <c r="F1724" s="4">
        <v>45383</v>
      </c>
      <c r="G1724" s="3" t="s">
        <v>20</v>
      </c>
      <c r="H1724" s="3" t="s">
        <v>60</v>
      </c>
      <c r="I1724" s="3" t="s">
        <v>22</v>
      </c>
      <c r="J1724" s="3" t="s">
        <v>46</v>
      </c>
      <c r="K1724" s="3">
        <v>58</v>
      </c>
      <c r="L1724" s="3">
        <v>3</v>
      </c>
      <c r="M1724" s="3">
        <v>6081</v>
      </c>
      <c r="N1724" s="3">
        <v>18243</v>
      </c>
      <c r="O1724" s="3">
        <v>0</v>
      </c>
      <c r="P1724" s="3" t="s">
        <v>51</v>
      </c>
      <c r="Q1724" s="3">
        <v>1</v>
      </c>
      <c r="R1724" s="3" t="str">
        <f t="shared" si="26"/>
        <v>Cancelled</v>
      </c>
      <c r="S1724" s="3" t="s">
        <v>31</v>
      </c>
    </row>
    <row r="1725" spans="1:19" x14ac:dyDescent="0.35">
      <c r="A1725" s="3">
        <v>2724</v>
      </c>
      <c r="B1725" s="3" t="s">
        <v>1097</v>
      </c>
      <c r="C1725" s="4">
        <v>45628</v>
      </c>
      <c r="D1725" s="3" t="s">
        <v>144</v>
      </c>
      <c r="E1725" s="4">
        <v>45660</v>
      </c>
      <c r="F1725" s="4">
        <v>45661</v>
      </c>
      <c r="G1725" s="3" t="s">
        <v>34</v>
      </c>
      <c r="H1725" s="3" t="s">
        <v>38</v>
      </c>
      <c r="I1725" s="3" t="s">
        <v>39</v>
      </c>
      <c r="J1725" s="3" t="s">
        <v>46</v>
      </c>
      <c r="K1725" s="3">
        <v>32</v>
      </c>
      <c r="L1725" s="3">
        <v>1</v>
      </c>
      <c r="M1725" s="3">
        <v>5262</v>
      </c>
      <c r="N1725" s="3">
        <v>5262</v>
      </c>
      <c r="O1725" s="3">
        <v>5262</v>
      </c>
      <c r="P1725" s="3" t="s">
        <v>51</v>
      </c>
      <c r="Q1725" s="3">
        <v>0</v>
      </c>
      <c r="R1725" s="3" t="str">
        <f t="shared" si="26"/>
        <v>Not Cancelled</v>
      </c>
      <c r="S1725" s="3" t="s">
        <v>25</v>
      </c>
    </row>
    <row r="1726" spans="1:19" x14ac:dyDescent="0.35">
      <c r="A1726" s="3">
        <v>2725</v>
      </c>
      <c r="B1726" s="3" t="s">
        <v>1098</v>
      </c>
      <c r="C1726" s="4">
        <v>45474</v>
      </c>
      <c r="D1726" s="3" t="s">
        <v>71</v>
      </c>
      <c r="E1726" s="4">
        <v>45491</v>
      </c>
      <c r="F1726" s="4">
        <v>45493</v>
      </c>
      <c r="G1726" s="3" t="s">
        <v>28</v>
      </c>
      <c r="H1726" s="3" t="s">
        <v>60</v>
      </c>
      <c r="I1726" s="3" t="s">
        <v>22</v>
      </c>
      <c r="J1726" s="3" t="s">
        <v>23</v>
      </c>
      <c r="K1726" s="3">
        <v>17</v>
      </c>
      <c r="L1726" s="3">
        <v>2</v>
      </c>
      <c r="M1726" s="3">
        <v>6537</v>
      </c>
      <c r="N1726" s="3">
        <v>13074</v>
      </c>
      <c r="O1726" s="3">
        <v>13074</v>
      </c>
      <c r="P1726" s="3" t="s">
        <v>51</v>
      </c>
      <c r="Q1726" s="3">
        <v>0</v>
      </c>
      <c r="R1726" s="3" t="str">
        <f t="shared" si="26"/>
        <v>Not Cancelled</v>
      </c>
      <c r="S1726" s="3" t="s">
        <v>31</v>
      </c>
    </row>
    <row r="1727" spans="1:19" x14ac:dyDescent="0.35">
      <c r="A1727" s="3">
        <v>2726</v>
      </c>
      <c r="B1727" s="3" t="s">
        <v>1099</v>
      </c>
      <c r="C1727" s="4">
        <v>45314</v>
      </c>
      <c r="D1727" s="3" t="s">
        <v>86</v>
      </c>
      <c r="E1727" s="4">
        <v>45355</v>
      </c>
      <c r="F1727" s="4">
        <v>45356</v>
      </c>
      <c r="G1727" s="3" t="s">
        <v>34</v>
      </c>
      <c r="H1727" s="3" t="s">
        <v>60</v>
      </c>
      <c r="I1727" s="3" t="s">
        <v>39</v>
      </c>
      <c r="J1727" s="3" t="s">
        <v>30</v>
      </c>
      <c r="K1727" s="3">
        <v>41</v>
      </c>
      <c r="L1727" s="3">
        <v>1</v>
      </c>
      <c r="M1727" s="3">
        <v>3072</v>
      </c>
      <c r="N1727" s="3">
        <v>3072</v>
      </c>
      <c r="O1727" s="3">
        <v>0</v>
      </c>
      <c r="P1727" s="3" t="s">
        <v>24</v>
      </c>
      <c r="Q1727" s="3">
        <v>1</v>
      </c>
      <c r="R1727" s="3" t="str">
        <f t="shared" si="26"/>
        <v>Cancelled</v>
      </c>
      <c r="S1727" s="3" t="s">
        <v>31</v>
      </c>
    </row>
    <row r="1728" spans="1:19" x14ac:dyDescent="0.35">
      <c r="A1728" s="3">
        <v>2727</v>
      </c>
      <c r="B1728" s="3" t="s">
        <v>1100</v>
      </c>
      <c r="C1728" s="4">
        <v>45323</v>
      </c>
      <c r="D1728" s="3" t="s">
        <v>146</v>
      </c>
      <c r="E1728" s="4">
        <v>45359</v>
      </c>
      <c r="F1728" s="4">
        <v>45361</v>
      </c>
      <c r="G1728" s="3" t="s">
        <v>28</v>
      </c>
      <c r="H1728" s="3" t="s">
        <v>60</v>
      </c>
      <c r="I1728" s="3" t="s">
        <v>39</v>
      </c>
      <c r="J1728" s="3" t="s">
        <v>46</v>
      </c>
      <c r="K1728" s="3">
        <v>36</v>
      </c>
      <c r="L1728" s="3">
        <v>2</v>
      </c>
      <c r="M1728" s="3">
        <v>8202</v>
      </c>
      <c r="N1728" s="3">
        <v>16404</v>
      </c>
      <c r="O1728" s="3">
        <v>16404</v>
      </c>
      <c r="P1728" s="3" t="s">
        <v>51</v>
      </c>
      <c r="Q1728" s="3">
        <v>0</v>
      </c>
      <c r="R1728" s="3" t="str">
        <f t="shared" si="26"/>
        <v>Not Cancelled</v>
      </c>
      <c r="S1728" s="3" t="s">
        <v>31</v>
      </c>
    </row>
    <row r="1729" spans="1:19" x14ac:dyDescent="0.35">
      <c r="A1729" s="3">
        <v>2728</v>
      </c>
      <c r="B1729" s="3" t="s">
        <v>389</v>
      </c>
      <c r="C1729" s="4">
        <v>45365</v>
      </c>
      <c r="D1729" s="3" t="s">
        <v>113</v>
      </c>
      <c r="E1729" s="4">
        <v>45420</v>
      </c>
      <c r="F1729" s="4">
        <v>45424</v>
      </c>
      <c r="G1729" s="3" t="s">
        <v>42</v>
      </c>
      <c r="H1729" s="3" t="s">
        <v>21</v>
      </c>
      <c r="I1729" s="3" t="s">
        <v>39</v>
      </c>
      <c r="J1729" s="3" t="s">
        <v>23</v>
      </c>
      <c r="K1729" s="3">
        <v>55</v>
      </c>
      <c r="L1729" s="3">
        <v>4</v>
      </c>
      <c r="M1729" s="3">
        <v>6588</v>
      </c>
      <c r="N1729" s="3">
        <v>26352</v>
      </c>
      <c r="O1729" s="3">
        <v>0</v>
      </c>
      <c r="P1729" s="3" t="s">
        <v>51</v>
      </c>
      <c r="Q1729" s="3">
        <v>1</v>
      </c>
      <c r="R1729" s="3" t="str">
        <f t="shared" si="26"/>
        <v>Cancelled</v>
      </c>
      <c r="S1729" s="3" t="s">
        <v>31</v>
      </c>
    </row>
    <row r="1730" spans="1:19" x14ac:dyDescent="0.35">
      <c r="A1730" s="3">
        <v>2729</v>
      </c>
      <c r="B1730" s="3" t="s">
        <v>279</v>
      </c>
      <c r="C1730" s="4">
        <v>45301</v>
      </c>
      <c r="D1730" s="3" t="s">
        <v>41</v>
      </c>
      <c r="E1730" s="4">
        <v>45347</v>
      </c>
      <c r="F1730" s="4">
        <v>45348</v>
      </c>
      <c r="G1730" s="3" t="s">
        <v>34</v>
      </c>
      <c r="H1730" s="3" t="s">
        <v>35</v>
      </c>
      <c r="I1730" s="3" t="s">
        <v>39</v>
      </c>
      <c r="J1730" s="3" t="s">
        <v>23</v>
      </c>
      <c r="K1730" s="3">
        <v>46</v>
      </c>
      <c r="L1730" s="3">
        <v>1</v>
      </c>
      <c r="M1730" s="3">
        <v>3114</v>
      </c>
      <c r="N1730" s="3">
        <v>3114</v>
      </c>
      <c r="O1730" s="3">
        <v>0</v>
      </c>
      <c r="P1730" s="3" t="s">
        <v>24</v>
      </c>
      <c r="Q1730" s="3">
        <v>1</v>
      </c>
      <c r="R1730" s="3" t="str">
        <f t="shared" si="26"/>
        <v>Cancelled</v>
      </c>
      <c r="S1730" s="3" t="s">
        <v>25</v>
      </c>
    </row>
    <row r="1731" spans="1:19" x14ac:dyDescent="0.35">
      <c r="A1731" s="3">
        <v>2730</v>
      </c>
      <c r="B1731" s="3" t="s">
        <v>278</v>
      </c>
      <c r="C1731" s="4">
        <v>45345</v>
      </c>
      <c r="D1731" s="3" t="s">
        <v>109</v>
      </c>
      <c r="E1731" s="4">
        <v>45364</v>
      </c>
      <c r="F1731" s="4">
        <v>45368</v>
      </c>
      <c r="G1731" s="3" t="s">
        <v>42</v>
      </c>
      <c r="H1731" s="3" t="s">
        <v>35</v>
      </c>
      <c r="I1731" s="3" t="s">
        <v>39</v>
      </c>
      <c r="J1731" s="3" t="s">
        <v>46</v>
      </c>
      <c r="K1731" s="3">
        <v>19</v>
      </c>
      <c r="L1731" s="3">
        <v>4</v>
      </c>
      <c r="M1731" s="3">
        <v>6550</v>
      </c>
      <c r="N1731" s="3">
        <v>26200</v>
      </c>
      <c r="O1731" s="3">
        <v>0</v>
      </c>
      <c r="P1731" s="3" t="s">
        <v>51</v>
      </c>
      <c r="Q1731" s="3">
        <v>1</v>
      </c>
      <c r="R1731" s="3" t="str">
        <f t="shared" ref="R1731:R1794" si="27">IF(Q1731=0,"Not Cancelled","Cancelled")</f>
        <v>Cancelled</v>
      </c>
      <c r="S1731" s="3" t="s">
        <v>31</v>
      </c>
    </row>
    <row r="1732" spans="1:19" x14ac:dyDescent="0.35">
      <c r="A1732" s="3">
        <v>2731</v>
      </c>
      <c r="B1732" s="3" t="s">
        <v>384</v>
      </c>
      <c r="C1732" s="4">
        <v>45343</v>
      </c>
      <c r="D1732" s="3" t="s">
        <v>237</v>
      </c>
      <c r="E1732" s="4">
        <v>45401</v>
      </c>
      <c r="F1732" s="4">
        <v>45406</v>
      </c>
      <c r="G1732" s="3" t="s">
        <v>45</v>
      </c>
      <c r="H1732" s="3" t="s">
        <v>29</v>
      </c>
      <c r="I1732" s="3" t="s">
        <v>22</v>
      </c>
      <c r="J1732" s="3" t="s">
        <v>23</v>
      </c>
      <c r="K1732" s="3">
        <v>58</v>
      </c>
      <c r="L1732" s="3">
        <v>5</v>
      </c>
      <c r="M1732" s="3">
        <v>2825</v>
      </c>
      <c r="N1732" s="3">
        <v>14125</v>
      </c>
      <c r="O1732" s="3">
        <v>0</v>
      </c>
      <c r="P1732" s="3" t="s">
        <v>24</v>
      </c>
      <c r="Q1732" s="3">
        <v>1</v>
      </c>
      <c r="R1732" s="3" t="str">
        <f t="shared" si="27"/>
        <v>Cancelled</v>
      </c>
      <c r="S1732" s="3" t="s">
        <v>31</v>
      </c>
    </row>
    <row r="1733" spans="1:19" x14ac:dyDescent="0.35">
      <c r="A1733" s="3">
        <v>2732</v>
      </c>
      <c r="B1733" s="3" t="s">
        <v>750</v>
      </c>
      <c r="C1733" s="4">
        <v>45439</v>
      </c>
      <c r="D1733" s="3" t="s">
        <v>91</v>
      </c>
      <c r="E1733" s="4">
        <v>45474</v>
      </c>
      <c r="F1733" s="4">
        <v>45478</v>
      </c>
      <c r="G1733" s="3" t="s">
        <v>42</v>
      </c>
      <c r="H1733" s="3" t="s">
        <v>60</v>
      </c>
      <c r="I1733" s="3" t="s">
        <v>39</v>
      </c>
      <c r="J1733" s="3" t="s">
        <v>46</v>
      </c>
      <c r="K1733" s="3">
        <v>35</v>
      </c>
      <c r="L1733" s="3">
        <v>4</v>
      </c>
      <c r="M1733" s="3">
        <v>6240</v>
      </c>
      <c r="N1733" s="3">
        <v>24960</v>
      </c>
      <c r="O1733" s="3">
        <v>0</v>
      </c>
      <c r="P1733" s="3" t="s">
        <v>51</v>
      </c>
      <c r="Q1733" s="3">
        <v>1</v>
      </c>
      <c r="R1733" s="3" t="str">
        <f t="shared" si="27"/>
        <v>Cancelled</v>
      </c>
      <c r="S1733" s="3" t="s">
        <v>31</v>
      </c>
    </row>
    <row r="1734" spans="1:19" x14ac:dyDescent="0.35">
      <c r="A1734" s="3">
        <v>2733</v>
      </c>
      <c r="B1734" s="3" t="s">
        <v>512</v>
      </c>
      <c r="C1734" s="4">
        <v>45451</v>
      </c>
      <c r="D1734" s="3" t="s">
        <v>41</v>
      </c>
      <c r="E1734" s="4">
        <v>45497</v>
      </c>
      <c r="F1734" s="4">
        <v>45501</v>
      </c>
      <c r="G1734" s="3" t="s">
        <v>42</v>
      </c>
      <c r="H1734" s="3" t="s">
        <v>35</v>
      </c>
      <c r="I1734" s="3" t="s">
        <v>22</v>
      </c>
      <c r="J1734" s="3" t="s">
        <v>23</v>
      </c>
      <c r="K1734" s="3">
        <v>46</v>
      </c>
      <c r="L1734" s="3">
        <v>4</v>
      </c>
      <c r="M1734" s="3">
        <v>2858</v>
      </c>
      <c r="N1734" s="3">
        <v>11432</v>
      </c>
      <c r="O1734" s="3">
        <v>0</v>
      </c>
      <c r="P1734" s="3" t="s">
        <v>51</v>
      </c>
      <c r="Q1734" s="3">
        <v>1</v>
      </c>
      <c r="R1734" s="3" t="str">
        <f t="shared" si="27"/>
        <v>Cancelled</v>
      </c>
      <c r="S1734" s="3" t="s">
        <v>31</v>
      </c>
    </row>
    <row r="1735" spans="1:19" x14ac:dyDescent="0.35">
      <c r="A1735" s="3">
        <v>2734</v>
      </c>
      <c r="B1735" s="3" t="s">
        <v>1019</v>
      </c>
      <c r="C1735" s="4">
        <v>45305</v>
      </c>
      <c r="D1735" s="3" t="s">
        <v>179</v>
      </c>
      <c r="E1735" s="4">
        <v>45345</v>
      </c>
      <c r="F1735" s="4">
        <v>45347</v>
      </c>
      <c r="G1735" s="3" t="s">
        <v>28</v>
      </c>
      <c r="H1735" s="3" t="s">
        <v>29</v>
      </c>
      <c r="I1735" s="3" t="s">
        <v>39</v>
      </c>
      <c r="J1735" s="3" t="s">
        <v>30</v>
      </c>
      <c r="K1735" s="3">
        <v>40</v>
      </c>
      <c r="L1735" s="3">
        <v>2</v>
      </c>
      <c r="M1735" s="3">
        <v>6277</v>
      </c>
      <c r="N1735" s="3">
        <v>12554</v>
      </c>
      <c r="O1735" s="3">
        <v>12554</v>
      </c>
      <c r="P1735" s="3" t="s">
        <v>51</v>
      </c>
      <c r="Q1735" s="3">
        <v>0</v>
      </c>
      <c r="R1735" s="3" t="str">
        <f t="shared" si="27"/>
        <v>Not Cancelled</v>
      </c>
      <c r="S1735" s="3" t="s">
        <v>25</v>
      </c>
    </row>
    <row r="1736" spans="1:19" x14ac:dyDescent="0.35">
      <c r="A1736" s="3">
        <v>2735</v>
      </c>
      <c r="B1736" s="3" t="s">
        <v>99</v>
      </c>
      <c r="C1736" s="4">
        <v>45469</v>
      </c>
      <c r="D1736" s="3" t="s">
        <v>94</v>
      </c>
      <c r="E1736" s="4">
        <v>45525</v>
      </c>
      <c r="F1736" s="4">
        <v>45530</v>
      </c>
      <c r="G1736" s="3" t="s">
        <v>45</v>
      </c>
      <c r="H1736" s="3" t="s">
        <v>21</v>
      </c>
      <c r="I1736" s="3" t="s">
        <v>22</v>
      </c>
      <c r="J1736" s="3" t="s">
        <v>23</v>
      </c>
      <c r="K1736" s="3">
        <v>56</v>
      </c>
      <c r="L1736" s="3">
        <v>5</v>
      </c>
      <c r="M1736" s="3">
        <v>8406</v>
      </c>
      <c r="N1736" s="3">
        <v>42030</v>
      </c>
      <c r="O1736" s="3">
        <v>0</v>
      </c>
      <c r="P1736" s="3" t="s">
        <v>51</v>
      </c>
      <c r="Q1736" s="3">
        <v>1</v>
      </c>
      <c r="R1736" s="3" t="str">
        <f t="shared" si="27"/>
        <v>Cancelled</v>
      </c>
      <c r="S1736" s="3" t="s">
        <v>31</v>
      </c>
    </row>
    <row r="1737" spans="1:19" x14ac:dyDescent="0.35">
      <c r="A1737" s="3">
        <v>2736</v>
      </c>
      <c r="B1737" s="3" t="s">
        <v>1101</v>
      </c>
      <c r="C1737" s="4">
        <v>45344</v>
      </c>
      <c r="D1737" s="3" t="s">
        <v>96</v>
      </c>
      <c r="E1737" s="4">
        <v>45403</v>
      </c>
      <c r="F1737" s="4">
        <v>45407</v>
      </c>
      <c r="G1737" s="3" t="s">
        <v>42</v>
      </c>
      <c r="H1737" s="3" t="s">
        <v>60</v>
      </c>
      <c r="I1737" s="3" t="s">
        <v>39</v>
      </c>
      <c r="J1737" s="3" t="s">
        <v>46</v>
      </c>
      <c r="K1737" s="3">
        <v>59</v>
      </c>
      <c r="L1737" s="3">
        <v>4</v>
      </c>
      <c r="M1737" s="3">
        <v>4871</v>
      </c>
      <c r="N1737" s="3">
        <v>19484</v>
      </c>
      <c r="O1737" s="3">
        <v>0</v>
      </c>
      <c r="P1737" s="3" t="s">
        <v>24</v>
      </c>
      <c r="Q1737" s="3">
        <v>1</v>
      </c>
      <c r="R1737" s="3" t="str">
        <f t="shared" si="27"/>
        <v>Cancelled</v>
      </c>
      <c r="S1737" s="3" t="s">
        <v>31</v>
      </c>
    </row>
    <row r="1738" spans="1:19" x14ac:dyDescent="0.35">
      <c r="A1738" s="3">
        <v>2737</v>
      </c>
      <c r="B1738" s="3" t="s">
        <v>1102</v>
      </c>
      <c r="C1738" s="4">
        <v>45626</v>
      </c>
      <c r="D1738" s="3" t="s">
        <v>82</v>
      </c>
      <c r="E1738" s="4">
        <v>45654</v>
      </c>
      <c r="F1738" s="4">
        <v>45658</v>
      </c>
      <c r="G1738" s="3" t="s">
        <v>42</v>
      </c>
      <c r="H1738" s="3" t="s">
        <v>38</v>
      </c>
      <c r="I1738" s="3" t="s">
        <v>39</v>
      </c>
      <c r="J1738" s="3" t="s">
        <v>30</v>
      </c>
      <c r="K1738" s="3">
        <v>28</v>
      </c>
      <c r="L1738" s="3">
        <v>4</v>
      </c>
      <c r="M1738" s="3">
        <v>4221</v>
      </c>
      <c r="N1738" s="3">
        <v>16884</v>
      </c>
      <c r="O1738" s="3">
        <v>0</v>
      </c>
      <c r="P1738" s="3" t="s">
        <v>51</v>
      </c>
      <c r="Q1738" s="3">
        <v>1</v>
      </c>
      <c r="R1738" s="3" t="str">
        <f t="shared" si="27"/>
        <v>Cancelled</v>
      </c>
      <c r="S1738" s="3" t="s">
        <v>31</v>
      </c>
    </row>
    <row r="1739" spans="1:19" x14ac:dyDescent="0.35">
      <c r="A1739" s="3">
        <v>2738</v>
      </c>
      <c r="B1739" s="3" t="s">
        <v>786</v>
      </c>
      <c r="C1739" s="4">
        <v>45313</v>
      </c>
      <c r="D1739" s="3" t="s">
        <v>34</v>
      </c>
      <c r="E1739" s="4">
        <v>45314</v>
      </c>
      <c r="F1739" s="4">
        <v>45319</v>
      </c>
      <c r="G1739" s="3" t="s">
        <v>45</v>
      </c>
      <c r="H1739" s="3" t="s">
        <v>21</v>
      </c>
      <c r="I1739" s="3" t="s">
        <v>39</v>
      </c>
      <c r="J1739" s="3" t="s">
        <v>46</v>
      </c>
      <c r="K1739" s="3">
        <v>1</v>
      </c>
      <c r="L1739" s="3">
        <v>5</v>
      </c>
      <c r="M1739" s="3">
        <v>3849</v>
      </c>
      <c r="N1739" s="3">
        <v>19245</v>
      </c>
      <c r="O1739" s="3">
        <v>19245</v>
      </c>
      <c r="P1739" s="3" t="s">
        <v>24</v>
      </c>
      <c r="Q1739" s="3">
        <v>0</v>
      </c>
      <c r="R1739" s="3" t="str">
        <f t="shared" si="27"/>
        <v>Not Cancelled</v>
      </c>
      <c r="S1739" s="3" t="s">
        <v>31</v>
      </c>
    </row>
    <row r="1740" spans="1:19" x14ac:dyDescent="0.35">
      <c r="A1740" s="3">
        <v>2739</v>
      </c>
      <c r="B1740" s="3" t="s">
        <v>1103</v>
      </c>
      <c r="C1740" s="4">
        <v>45321</v>
      </c>
      <c r="D1740" s="3" t="s">
        <v>140</v>
      </c>
      <c r="E1740" s="4">
        <v>45363</v>
      </c>
      <c r="F1740" s="4">
        <v>45368</v>
      </c>
      <c r="G1740" s="3" t="s">
        <v>45</v>
      </c>
      <c r="H1740" s="3" t="s">
        <v>29</v>
      </c>
      <c r="I1740" s="3" t="s">
        <v>22</v>
      </c>
      <c r="J1740" s="3" t="s">
        <v>23</v>
      </c>
      <c r="K1740" s="3">
        <v>42</v>
      </c>
      <c r="L1740" s="3">
        <v>5</v>
      </c>
      <c r="M1740" s="3">
        <v>6196</v>
      </c>
      <c r="N1740" s="3">
        <v>30980</v>
      </c>
      <c r="O1740" s="3">
        <v>0</v>
      </c>
      <c r="P1740" s="3" t="s">
        <v>24</v>
      </c>
      <c r="Q1740" s="3">
        <v>1</v>
      </c>
      <c r="R1740" s="3" t="str">
        <f t="shared" si="27"/>
        <v>Cancelled</v>
      </c>
      <c r="S1740" s="3" t="s">
        <v>31</v>
      </c>
    </row>
    <row r="1741" spans="1:19" x14ac:dyDescent="0.35">
      <c r="A1741" s="3">
        <v>2740</v>
      </c>
      <c r="B1741" s="3" t="s">
        <v>900</v>
      </c>
      <c r="C1741" s="4">
        <v>45482</v>
      </c>
      <c r="D1741" s="3" t="s">
        <v>27</v>
      </c>
      <c r="E1741" s="4">
        <v>45500</v>
      </c>
      <c r="F1741" s="4">
        <v>45501</v>
      </c>
      <c r="G1741" s="3" t="s">
        <v>34</v>
      </c>
      <c r="H1741" s="3" t="s">
        <v>21</v>
      </c>
      <c r="I1741" s="3" t="s">
        <v>22</v>
      </c>
      <c r="J1741" s="3" t="s">
        <v>30</v>
      </c>
      <c r="K1741" s="3">
        <v>18</v>
      </c>
      <c r="L1741" s="3">
        <v>1</v>
      </c>
      <c r="M1741" s="3">
        <v>6396</v>
      </c>
      <c r="N1741" s="3">
        <v>6396</v>
      </c>
      <c r="O1741" s="3">
        <v>0</v>
      </c>
      <c r="P1741" s="3" t="s">
        <v>24</v>
      </c>
      <c r="Q1741" s="3">
        <v>1</v>
      </c>
      <c r="R1741" s="3" t="str">
        <f t="shared" si="27"/>
        <v>Cancelled</v>
      </c>
      <c r="S1741" s="3" t="s">
        <v>31</v>
      </c>
    </row>
    <row r="1742" spans="1:19" x14ac:dyDescent="0.35">
      <c r="A1742" s="3">
        <v>2741</v>
      </c>
      <c r="B1742" s="3" t="s">
        <v>313</v>
      </c>
      <c r="C1742" s="4">
        <v>45551</v>
      </c>
      <c r="D1742" s="3" t="s">
        <v>73</v>
      </c>
      <c r="E1742" s="4">
        <v>45599</v>
      </c>
      <c r="F1742" s="4">
        <v>45601</v>
      </c>
      <c r="G1742" s="3" t="s">
        <v>28</v>
      </c>
      <c r="H1742" s="3" t="s">
        <v>38</v>
      </c>
      <c r="I1742" s="3" t="s">
        <v>39</v>
      </c>
      <c r="J1742" s="3" t="s">
        <v>30</v>
      </c>
      <c r="K1742" s="3">
        <v>48</v>
      </c>
      <c r="L1742" s="3">
        <v>2</v>
      </c>
      <c r="M1742" s="3">
        <v>6760</v>
      </c>
      <c r="N1742" s="3">
        <v>13520</v>
      </c>
      <c r="O1742" s="3">
        <v>13520</v>
      </c>
      <c r="P1742" s="3" t="s">
        <v>51</v>
      </c>
      <c r="Q1742" s="3">
        <v>0</v>
      </c>
      <c r="R1742" s="3" t="str">
        <f t="shared" si="27"/>
        <v>Not Cancelled</v>
      </c>
      <c r="S1742" s="3" t="s">
        <v>25</v>
      </c>
    </row>
    <row r="1743" spans="1:19" x14ac:dyDescent="0.35">
      <c r="A1743" s="3">
        <v>2742</v>
      </c>
      <c r="B1743" s="3" t="s">
        <v>52</v>
      </c>
      <c r="C1743" s="4">
        <v>45496</v>
      </c>
      <c r="D1743" s="3" t="s">
        <v>179</v>
      </c>
      <c r="E1743" s="4">
        <v>45536</v>
      </c>
      <c r="F1743" s="4">
        <v>45541</v>
      </c>
      <c r="G1743" s="3" t="s">
        <v>45</v>
      </c>
      <c r="H1743" s="3" t="s">
        <v>21</v>
      </c>
      <c r="I1743" s="3" t="s">
        <v>39</v>
      </c>
      <c r="J1743" s="3" t="s">
        <v>23</v>
      </c>
      <c r="K1743" s="3">
        <v>40</v>
      </c>
      <c r="L1743" s="3">
        <v>5</v>
      </c>
      <c r="M1743" s="3">
        <v>4096</v>
      </c>
      <c r="N1743" s="3">
        <v>20480</v>
      </c>
      <c r="O1743" s="3">
        <v>20480</v>
      </c>
      <c r="P1743" s="3" t="s">
        <v>24</v>
      </c>
      <c r="Q1743" s="3">
        <v>0</v>
      </c>
      <c r="R1743" s="3" t="str">
        <f t="shared" si="27"/>
        <v>Not Cancelled</v>
      </c>
      <c r="S1743" s="3" t="s">
        <v>31</v>
      </c>
    </row>
    <row r="1744" spans="1:19" x14ac:dyDescent="0.35">
      <c r="A1744" s="3">
        <v>2743</v>
      </c>
      <c r="B1744" s="3" t="s">
        <v>1048</v>
      </c>
      <c r="C1744" s="4">
        <v>45350</v>
      </c>
      <c r="D1744" s="3" t="s">
        <v>69</v>
      </c>
      <c r="E1744" s="4">
        <v>45383</v>
      </c>
      <c r="F1744" s="4">
        <v>45388</v>
      </c>
      <c r="G1744" s="3" t="s">
        <v>45</v>
      </c>
      <c r="H1744" s="3" t="s">
        <v>29</v>
      </c>
      <c r="I1744" s="3" t="s">
        <v>39</v>
      </c>
      <c r="J1744" s="3" t="s">
        <v>30</v>
      </c>
      <c r="K1744" s="3">
        <v>33</v>
      </c>
      <c r="L1744" s="3">
        <v>5</v>
      </c>
      <c r="M1744" s="3">
        <v>4127</v>
      </c>
      <c r="N1744" s="3">
        <v>20635</v>
      </c>
      <c r="O1744" s="3">
        <v>0</v>
      </c>
      <c r="P1744" s="3" t="s">
        <v>24</v>
      </c>
      <c r="Q1744" s="3">
        <v>1</v>
      </c>
      <c r="R1744" s="3" t="str">
        <f t="shared" si="27"/>
        <v>Cancelled</v>
      </c>
      <c r="S1744" s="3" t="s">
        <v>25</v>
      </c>
    </row>
    <row r="1745" spans="1:19" x14ac:dyDescent="0.35">
      <c r="A1745" s="3">
        <v>2744</v>
      </c>
      <c r="B1745" s="3" t="s">
        <v>137</v>
      </c>
      <c r="C1745" s="4">
        <v>45555</v>
      </c>
      <c r="D1745" s="3" t="s">
        <v>102</v>
      </c>
      <c r="E1745" s="4">
        <v>45567</v>
      </c>
      <c r="F1745" s="4">
        <v>45570</v>
      </c>
      <c r="G1745" s="3" t="s">
        <v>20</v>
      </c>
      <c r="H1745" s="3" t="s">
        <v>38</v>
      </c>
      <c r="I1745" s="3" t="s">
        <v>22</v>
      </c>
      <c r="J1745" s="3" t="s">
        <v>30</v>
      </c>
      <c r="K1745" s="3">
        <v>12</v>
      </c>
      <c r="L1745" s="3">
        <v>3</v>
      </c>
      <c r="M1745" s="3">
        <v>5002</v>
      </c>
      <c r="N1745" s="3">
        <v>15006</v>
      </c>
      <c r="O1745" s="3">
        <v>0</v>
      </c>
      <c r="P1745" s="3" t="s">
        <v>24</v>
      </c>
      <c r="Q1745" s="3">
        <v>1</v>
      </c>
      <c r="R1745" s="3" t="str">
        <f t="shared" si="27"/>
        <v>Cancelled</v>
      </c>
      <c r="S1745" s="3" t="s">
        <v>25</v>
      </c>
    </row>
    <row r="1746" spans="1:19" x14ac:dyDescent="0.35">
      <c r="A1746" s="3">
        <v>2745</v>
      </c>
      <c r="B1746" s="3" t="s">
        <v>1104</v>
      </c>
      <c r="C1746" s="4">
        <v>45303</v>
      </c>
      <c r="D1746" s="3" t="s">
        <v>59</v>
      </c>
      <c r="E1746" s="4">
        <v>45311</v>
      </c>
      <c r="F1746" s="4">
        <v>45316</v>
      </c>
      <c r="G1746" s="3" t="s">
        <v>45</v>
      </c>
      <c r="H1746" s="3" t="s">
        <v>38</v>
      </c>
      <c r="I1746" s="3" t="s">
        <v>39</v>
      </c>
      <c r="J1746" s="3" t="s">
        <v>30</v>
      </c>
      <c r="K1746" s="3">
        <v>8</v>
      </c>
      <c r="L1746" s="3">
        <v>5</v>
      </c>
      <c r="M1746" s="3">
        <v>7772</v>
      </c>
      <c r="N1746" s="3">
        <v>38860</v>
      </c>
      <c r="O1746" s="3">
        <v>38860</v>
      </c>
      <c r="P1746" s="3" t="s">
        <v>51</v>
      </c>
      <c r="Q1746" s="3">
        <v>0</v>
      </c>
      <c r="R1746" s="3" t="str">
        <f t="shared" si="27"/>
        <v>Not Cancelled</v>
      </c>
      <c r="S1746" s="3" t="s">
        <v>31</v>
      </c>
    </row>
    <row r="1747" spans="1:19" x14ac:dyDescent="0.35">
      <c r="A1747" s="3">
        <v>2746</v>
      </c>
      <c r="B1747" s="3" t="s">
        <v>278</v>
      </c>
      <c r="C1747" s="4">
        <v>45410</v>
      </c>
      <c r="D1747" s="3" t="s">
        <v>159</v>
      </c>
      <c r="E1747" s="4">
        <v>45434</v>
      </c>
      <c r="F1747" s="4">
        <v>45436</v>
      </c>
      <c r="G1747" s="3" t="s">
        <v>28</v>
      </c>
      <c r="H1747" s="3" t="s">
        <v>21</v>
      </c>
      <c r="I1747" s="3" t="s">
        <v>22</v>
      </c>
      <c r="J1747" s="3" t="s">
        <v>46</v>
      </c>
      <c r="K1747" s="3">
        <v>24</v>
      </c>
      <c r="L1747" s="3">
        <v>2</v>
      </c>
      <c r="M1747" s="3">
        <v>6308</v>
      </c>
      <c r="N1747" s="3">
        <v>12616</v>
      </c>
      <c r="O1747" s="3">
        <v>12616</v>
      </c>
      <c r="P1747" s="3" t="s">
        <v>51</v>
      </c>
      <c r="Q1747" s="3">
        <v>0</v>
      </c>
      <c r="R1747" s="3" t="str">
        <f t="shared" si="27"/>
        <v>Not Cancelled</v>
      </c>
      <c r="S1747" s="3" t="s">
        <v>25</v>
      </c>
    </row>
    <row r="1748" spans="1:19" x14ac:dyDescent="0.35">
      <c r="A1748" s="3">
        <v>2747</v>
      </c>
      <c r="B1748" s="3" t="s">
        <v>1100</v>
      </c>
      <c r="C1748" s="4">
        <v>45581</v>
      </c>
      <c r="D1748" s="3" t="s">
        <v>88</v>
      </c>
      <c r="E1748" s="4">
        <v>45597</v>
      </c>
      <c r="F1748" s="4">
        <v>45601</v>
      </c>
      <c r="G1748" s="3" t="s">
        <v>42</v>
      </c>
      <c r="H1748" s="3" t="s">
        <v>38</v>
      </c>
      <c r="I1748" s="3" t="s">
        <v>39</v>
      </c>
      <c r="J1748" s="3" t="s">
        <v>46</v>
      </c>
      <c r="K1748" s="3">
        <v>16</v>
      </c>
      <c r="L1748" s="3">
        <v>4</v>
      </c>
      <c r="M1748" s="3">
        <v>7746</v>
      </c>
      <c r="N1748" s="3">
        <v>30984</v>
      </c>
      <c r="O1748" s="3">
        <v>0</v>
      </c>
      <c r="P1748" s="3" t="s">
        <v>24</v>
      </c>
      <c r="Q1748" s="3">
        <v>1</v>
      </c>
      <c r="R1748" s="3" t="str">
        <f t="shared" si="27"/>
        <v>Cancelled</v>
      </c>
      <c r="S1748" s="3" t="s">
        <v>31</v>
      </c>
    </row>
    <row r="1749" spans="1:19" x14ac:dyDescent="0.35">
      <c r="A1749" s="3">
        <v>2748</v>
      </c>
      <c r="B1749" s="3" t="s">
        <v>1105</v>
      </c>
      <c r="C1749" s="4">
        <v>45629</v>
      </c>
      <c r="D1749" s="3" t="s">
        <v>78</v>
      </c>
      <c r="E1749" s="4">
        <v>45679</v>
      </c>
      <c r="F1749" s="4">
        <v>45683</v>
      </c>
      <c r="G1749" s="3" t="s">
        <v>42</v>
      </c>
      <c r="H1749" s="3" t="s">
        <v>21</v>
      </c>
      <c r="I1749" s="3" t="s">
        <v>22</v>
      </c>
      <c r="J1749" s="3" t="s">
        <v>30</v>
      </c>
      <c r="K1749" s="3">
        <v>50</v>
      </c>
      <c r="L1749" s="3">
        <v>4</v>
      </c>
      <c r="M1749" s="3">
        <v>2692</v>
      </c>
      <c r="N1749" s="3">
        <v>10768</v>
      </c>
      <c r="O1749" s="3">
        <v>0</v>
      </c>
      <c r="P1749" s="3" t="s">
        <v>24</v>
      </c>
      <c r="Q1749" s="3">
        <v>1</v>
      </c>
      <c r="R1749" s="3" t="str">
        <f t="shared" si="27"/>
        <v>Cancelled</v>
      </c>
      <c r="S1749" s="3" t="s">
        <v>25</v>
      </c>
    </row>
    <row r="1750" spans="1:19" x14ac:dyDescent="0.35">
      <c r="A1750" s="3">
        <v>2749</v>
      </c>
      <c r="B1750" s="3" t="s">
        <v>1106</v>
      </c>
      <c r="C1750" s="4">
        <v>45539</v>
      </c>
      <c r="D1750" s="3" t="s">
        <v>42</v>
      </c>
      <c r="E1750" s="4">
        <v>45543</v>
      </c>
      <c r="F1750" s="4">
        <v>45547</v>
      </c>
      <c r="G1750" s="3" t="s">
        <v>42</v>
      </c>
      <c r="H1750" s="3" t="s">
        <v>60</v>
      </c>
      <c r="I1750" s="3" t="s">
        <v>22</v>
      </c>
      <c r="J1750" s="3" t="s">
        <v>23</v>
      </c>
      <c r="K1750" s="3">
        <v>4</v>
      </c>
      <c r="L1750" s="3">
        <v>4</v>
      </c>
      <c r="M1750" s="3">
        <v>5174</v>
      </c>
      <c r="N1750" s="3">
        <v>20696</v>
      </c>
      <c r="O1750" s="3">
        <v>20696</v>
      </c>
      <c r="P1750" s="3" t="s">
        <v>51</v>
      </c>
      <c r="Q1750" s="3">
        <v>0</v>
      </c>
      <c r="R1750" s="3" t="str">
        <f t="shared" si="27"/>
        <v>Not Cancelled</v>
      </c>
      <c r="S1750" s="3" t="s">
        <v>31</v>
      </c>
    </row>
    <row r="1751" spans="1:19" x14ac:dyDescent="0.35">
      <c r="A1751" s="3">
        <v>2750</v>
      </c>
      <c r="B1751" s="3" t="s">
        <v>1107</v>
      </c>
      <c r="C1751" s="4">
        <v>45645</v>
      </c>
      <c r="D1751" s="3" t="s">
        <v>115</v>
      </c>
      <c r="E1751" s="4">
        <v>45683</v>
      </c>
      <c r="F1751" s="4">
        <v>45687</v>
      </c>
      <c r="G1751" s="3" t="s">
        <v>42</v>
      </c>
      <c r="H1751" s="3" t="s">
        <v>38</v>
      </c>
      <c r="I1751" s="3" t="s">
        <v>22</v>
      </c>
      <c r="J1751" s="3" t="s">
        <v>23</v>
      </c>
      <c r="K1751" s="3">
        <v>38</v>
      </c>
      <c r="L1751" s="3">
        <v>4</v>
      </c>
      <c r="M1751" s="3">
        <v>6345</v>
      </c>
      <c r="N1751" s="3">
        <v>25380</v>
      </c>
      <c r="O1751" s="3">
        <v>0</v>
      </c>
      <c r="P1751" s="3" t="s">
        <v>24</v>
      </c>
      <c r="Q1751" s="3">
        <v>1</v>
      </c>
      <c r="R1751" s="3" t="str">
        <f t="shared" si="27"/>
        <v>Cancelled</v>
      </c>
      <c r="S1751" s="3" t="s">
        <v>25</v>
      </c>
    </row>
    <row r="1752" spans="1:19" x14ac:dyDescent="0.35">
      <c r="A1752" s="3">
        <v>2751</v>
      </c>
      <c r="B1752" s="3" t="s">
        <v>1027</v>
      </c>
      <c r="C1752" s="4">
        <v>45418</v>
      </c>
      <c r="D1752" s="3" t="s">
        <v>62</v>
      </c>
      <c r="E1752" s="4">
        <v>45462</v>
      </c>
      <c r="F1752" s="4">
        <v>45465</v>
      </c>
      <c r="G1752" s="3" t="s">
        <v>20</v>
      </c>
      <c r="H1752" s="3" t="s">
        <v>21</v>
      </c>
      <c r="I1752" s="3" t="s">
        <v>39</v>
      </c>
      <c r="J1752" s="3" t="s">
        <v>46</v>
      </c>
      <c r="K1752" s="3">
        <v>44</v>
      </c>
      <c r="L1752" s="3">
        <v>3</v>
      </c>
      <c r="M1752" s="3">
        <v>5077</v>
      </c>
      <c r="N1752" s="3">
        <v>15231</v>
      </c>
      <c r="O1752" s="3">
        <v>0</v>
      </c>
      <c r="P1752" s="3" t="s">
        <v>24</v>
      </c>
      <c r="Q1752" s="3">
        <v>1</v>
      </c>
      <c r="R1752" s="3" t="str">
        <f t="shared" si="27"/>
        <v>Cancelled</v>
      </c>
      <c r="S1752" s="3" t="s">
        <v>25</v>
      </c>
    </row>
    <row r="1753" spans="1:19" x14ac:dyDescent="0.35">
      <c r="A1753" s="3">
        <v>2752</v>
      </c>
      <c r="B1753" s="3" t="s">
        <v>945</v>
      </c>
      <c r="C1753" s="4">
        <v>45366</v>
      </c>
      <c r="D1753" s="3" t="s">
        <v>185</v>
      </c>
      <c r="E1753" s="4">
        <v>45393</v>
      </c>
      <c r="F1753" s="4">
        <v>45398</v>
      </c>
      <c r="G1753" s="3" t="s">
        <v>45</v>
      </c>
      <c r="H1753" s="3" t="s">
        <v>60</v>
      </c>
      <c r="I1753" s="3" t="s">
        <v>22</v>
      </c>
      <c r="J1753" s="3" t="s">
        <v>23</v>
      </c>
      <c r="K1753" s="3">
        <v>27</v>
      </c>
      <c r="L1753" s="3">
        <v>5</v>
      </c>
      <c r="M1753" s="3">
        <v>2591</v>
      </c>
      <c r="N1753" s="3">
        <v>12955</v>
      </c>
      <c r="O1753" s="3">
        <v>12955</v>
      </c>
      <c r="P1753" s="3" t="s">
        <v>24</v>
      </c>
      <c r="Q1753" s="3">
        <v>0</v>
      </c>
      <c r="R1753" s="3" t="str">
        <f t="shared" si="27"/>
        <v>Not Cancelled</v>
      </c>
      <c r="S1753" s="3" t="s">
        <v>31</v>
      </c>
    </row>
    <row r="1754" spans="1:19" x14ac:dyDescent="0.35">
      <c r="A1754" s="3">
        <v>2753</v>
      </c>
      <c r="B1754" s="3" t="s">
        <v>559</v>
      </c>
      <c r="C1754" s="4">
        <v>45652</v>
      </c>
      <c r="D1754" s="3" t="s">
        <v>165</v>
      </c>
      <c r="E1754" s="4">
        <v>45661</v>
      </c>
      <c r="F1754" s="4">
        <v>45665</v>
      </c>
      <c r="G1754" s="3" t="s">
        <v>42</v>
      </c>
      <c r="H1754" s="3" t="s">
        <v>38</v>
      </c>
      <c r="I1754" s="3" t="s">
        <v>39</v>
      </c>
      <c r="J1754" s="3" t="s">
        <v>30</v>
      </c>
      <c r="K1754" s="3">
        <v>9</v>
      </c>
      <c r="L1754" s="3">
        <v>4</v>
      </c>
      <c r="M1754" s="3">
        <v>6734</v>
      </c>
      <c r="N1754" s="3">
        <v>26936</v>
      </c>
      <c r="O1754" s="3">
        <v>26936</v>
      </c>
      <c r="P1754" s="3" t="s">
        <v>51</v>
      </c>
      <c r="Q1754" s="3">
        <v>0</v>
      </c>
      <c r="R1754" s="3" t="str">
        <f t="shared" si="27"/>
        <v>Not Cancelled</v>
      </c>
      <c r="S1754" s="3" t="s">
        <v>25</v>
      </c>
    </row>
    <row r="1755" spans="1:19" x14ac:dyDescent="0.35">
      <c r="A1755" s="3">
        <v>2754</v>
      </c>
      <c r="B1755" s="3" t="s">
        <v>1108</v>
      </c>
      <c r="C1755" s="4">
        <v>45495</v>
      </c>
      <c r="D1755" s="3" t="s">
        <v>148</v>
      </c>
      <c r="E1755" s="4">
        <v>45542</v>
      </c>
      <c r="F1755" s="4">
        <v>45543</v>
      </c>
      <c r="G1755" s="3" t="s">
        <v>34</v>
      </c>
      <c r="H1755" s="3" t="s">
        <v>60</v>
      </c>
      <c r="I1755" s="3" t="s">
        <v>22</v>
      </c>
      <c r="J1755" s="3" t="s">
        <v>23</v>
      </c>
      <c r="K1755" s="3">
        <v>47</v>
      </c>
      <c r="L1755" s="3">
        <v>1</v>
      </c>
      <c r="M1755" s="3">
        <v>2980</v>
      </c>
      <c r="N1755" s="3">
        <v>2980</v>
      </c>
      <c r="O1755" s="3">
        <v>0</v>
      </c>
      <c r="P1755" s="3" t="s">
        <v>24</v>
      </c>
      <c r="Q1755" s="3">
        <v>1</v>
      </c>
      <c r="R1755" s="3" t="str">
        <f t="shared" si="27"/>
        <v>Cancelled</v>
      </c>
      <c r="S1755" s="3" t="s">
        <v>25</v>
      </c>
    </row>
    <row r="1756" spans="1:19" x14ac:dyDescent="0.35">
      <c r="A1756" s="3">
        <v>2755</v>
      </c>
      <c r="B1756" s="3" t="s">
        <v>1109</v>
      </c>
      <c r="C1756" s="4">
        <v>45340</v>
      </c>
      <c r="D1756" s="3" t="s">
        <v>88</v>
      </c>
      <c r="E1756" s="4">
        <v>45356</v>
      </c>
      <c r="F1756" s="4">
        <v>45360</v>
      </c>
      <c r="G1756" s="3" t="s">
        <v>42</v>
      </c>
      <c r="H1756" s="3" t="s">
        <v>38</v>
      </c>
      <c r="I1756" s="3" t="s">
        <v>39</v>
      </c>
      <c r="J1756" s="3" t="s">
        <v>46</v>
      </c>
      <c r="K1756" s="3">
        <v>16</v>
      </c>
      <c r="L1756" s="3">
        <v>4</v>
      </c>
      <c r="M1756" s="3">
        <v>7952</v>
      </c>
      <c r="N1756" s="3">
        <v>31808</v>
      </c>
      <c r="O1756" s="3">
        <v>31808</v>
      </c>
      <c r="P1756" s="3" t="s">
        <v>24</v>
      </c>
      <c r="Q1756" s="3">
        <v>0</v>
      </c>
      <c r="R1756" s="3" t="str">
        <f t="shared" si="27"/>
        <v>Not Cancelled</v>
      </c>
      <c r="S1756" s="3" t="s">
        <v>25</v>
      </c>
    </row>
    <row r="1757" spans="1:19" x14ac:dyDescent="0.35">
      <c r="A1757" s="3">
        <v>2756</v>
      </c>
      <c r="B1757" s="3" t="s">
        <v>453</v>
      </c>
      <c r="C1757" s="4">
        <v>45370</v>
      </c>
      <c r="D1757" s="3" t="s">
        <v>94</v>
      </c>
      <c r="E1757" s="4">
        <v>45426</v>
      </c>
      <c r="F1757" s="4">
        <v>45431</v>
      </c>
      <c r="G1757" s="3" t="s">
        <v>45</v>
      </c>
      <c r="H1757" s="3" t="s">
        <v>29</v>
      </c>
      <c r="I1757" s="3" t="s">
        <v>22</v>
      </c>
      <c r="J1757" s="3" t="s">
        <v>46</v>
      </c>
      <c r="K1757" s="3">
        <v>56</v>
      </c>
      <c r="L1757" s="3">
        <v>5</v>
      </c>
      <c r="M1757" s="3">
        <v>5416</v>
      </c>
      <c r="N1757" s="3">
        <v>27080</v>
      </c>
      <c r="O1757" s="3">
        <v>0</v>
      </c>
      <c r="P1757" s="3" t="s">
        <v>51</v>
      </c>
      <c r="Q1757" s="3">
        <v>1</v>
      </c>
      <c r="R1757" s="3" t="str">
        <f t="shared" si="27"/>
        <v>Cancelled</v>
      </c>
      <c r="S1757" s="3" t="s">
        <v>25</v>
      </c>
    </row>
    <row r="1758" spans="1:19" x14ac:dyDescent="0.35">
      <c r="A1758" s="3">
        <v>2757</v>
      </c>
      <c r="B1758" s="3" t="s">
        <v>1110</v>
      </c>
      <c r="C1758" s="4">
        <v>45532</v>
      </c>
      <c r="D1758" s="3" t="s">
        <v>102</v>
      </c>
      <c r="E1758" s="4">
        <v>45544</v>
      </c>
      <c r="F1758" s="4">
        <v>45548</v>
      </c>
      <c r="G1758" s="3" t="s">
        <v>42</v>
      </c>
      <c r="H1758" s="3" t="s">
        <v>29</v>
      </c>
      <c r="I1758" s="3" t="s">
        <v>22</v>
      </c>
      <c r="J1758" s="3" t="s">
        <v>30</v>
      </c>
      <c r="K1758" s="3">
        <v>12</v>
      </c>
      <c r="L1758" s="3">
        <v>4</v>
      </c>
      <c r="M1758" s="3">
        <v>6935</v>
      </c>
      <c r="N1758" s="3">
        <v>27740</v>
      </c>
      <c r="O1758" s="3">
        <v>27740</v>
      </c>
      <c r="P1758" s="3" t="s">
        <v>24</v>
      </c>
      <c r="Q1758" s="3">
        <v>0</v>
      </c>
      <c r="R1758" s="3" t="str">
        <f t="shared" si="27"/>
        <v>Not Cancelled</v>
      </c>
      <c r="S1758" s="3" t="s">
        <v>25</v>
      </c>
    </row>
    <row r="1759" spans="1:19" x14ac:dyDescent="0.35">
      <c r="A1759" s="3">
        <v>2758</v>
      </c>
      <c r="B1759" s="3" t="s">
        <v>1111</v>
      </c>
      <c r="C1759" s="4">
        <v>45640</v>
      </c>
      <c r="D1759" s="3" t="s">
        <v>48</v>
      </c>
      <c r="E1759" s="4">
        <v>45671</v>
      </c>
      <c r="F1759" s="4">
        <v>45674</v>
      </c>
      <c r="G1759" s="3" t="s">
        <v>20</v>
      </c>
      <c r="H1759" s="3" t="s">
        <v>21</v>
      </c>
      <c r="I1759" s="3" t="s">
        <v>39</v>
      </c>
      <c r="J1759" s="3" t="s">
        <v>46</v>
      </c>
      <c r="K1759" s="3">
        <v>31</v>
      </c>
      <c r="L1759" s="3">
        <v>3</v>
      </c>
      <c r="M1759" s="3">
        <v>3575</v>
      </c>
      <c r="N1759" s="3">
        <v>10725</v>
      </c>
      <c r="O1759" s="3">
        <v>0</v>
      </c>
      <c r="P1759" s="3" t="s">
        <v>51</v>
      </c>
      <c r="Q1759" s="3">
        <v>1</v>
      </c>
      <c r="R1759" s="3" t="str">
        <f t="shared" si="27"/>
        <v>Cancelled</v>
      </c>
      <c r="S1759" s="3" t="s">
        <v>31</v>
      </c>
    </row>
    <row r="1760" spans="1:19" x14ac:dyDescent="0.35">
      <c r="A1760" s="3">
        <v>2759</v>
      </c>
      <c r="B1760" s="3" t="s">
        <v>678</v>
      </c>
      <c r="C1760" s="4">
        <v>45445</v>
      </c>
      <c r="D1760" s="3" t="s">
        <v>159</v>
      </c>
      <c r="E1760" s="4">
        <v>45469</v>
      </c>
      <c r="F1760" s="4">
        <v>45471</v>
      </c>
      <c r="G1760" s="3" t="s">
        <v>28</v>
      </c>
      <c r="H1760" s="3" t="s">
        <v>35</v>
      </c>
      <c r="I1760" s="3" t="s">
        <v>39</v>
      </c>
      <c r="J1760" s="3" t="s">
        <v>46</v>
      </c>
      <c r="K1760" s="3">
        <v>24</v>
      </c>
      <c r="L1760" s="3">
        <v>2</v>
      </c>
      <c r="M1760" s="3">
        <v>5013</v>
      </c>
      <c r="N1760" s="3">
        <v>10026</v>
      </c>
      <c r="O1760" s="3">
        <v>10026</v>
      </c>
      <c r="P1760" s="3" t="s">
        <v>51</v>
      </c>
      <c r="Q1760" s="3">
        <v>0</v>
      </c>
      <c r="R1760" s="3" t="str">
        <f t="shared" si="27"/>
        <v>Not Cancelled</v>
      </c>
      <c r="S1760" s="3" t="s">
        <v>25</v>
      </c>
    </row>
    <row r="1761" spans="1:19" x14ac:dyDescent="0.35">
      <c r="A1761" s="3">
        <v>2760</v>
      </c>
      <c r="B1761" s="3" t="s">
        <v>901</v>
      </c>
      <c r="C1761" s="4">
        <v>45565</v>
      </c>
      <c r="D1761" s="3" t="s">
        <v>113</v>
      </c>
      <c r="E1761" s="4">
        <v>45620</v>
      </c>
      <c r="F1761" s="4">
        <v>45622</v>
      </c>
      <c r="G1761" s="3" t="s">
        <v>28</v>
      </c>
      <c r="H1761" s="3" t="s">
        <v>29</v>
      </c>
      <c r="I1761" s="3" t="s">
        <v>22</v>
      </c>
      <c r="J1761" s="3" t="s">
        <v>46</v>
      </c>
      <c r="K1761" s="3">
        <v>55</v>
      </c>
      <c r="L1761" s="3">
        <v>2</v>
      </c>
      <c r="M1761" s="3">
        <v>3298</v>
      </c>
      <c r="N1761" s="3">
        <v>6596</v>
      </c>
      <c r="O1761" s="3">
        <v>6596</v>
      </c>
      <c r="P1761" s="3" t="s">
        <v>51</v>
      </c>
      <c r="Q1761" s="3">
        <v>0</v>
      </c>
      <c r="R1761" s="3" t="str">
        <f t="shared" si="27"/>
        <v>Not Cancelled</v>
      </c>
      <c r="S1761" s="3" t="s">
        <v>25</v>
      </c>
    </row>
    <row r="1762" spans="1:19" x14ac:dyDescent="0.35">
      <c r="A1762" s="3">
        <v>2761</v>
      </c>
      <c r="B1762" s="3" t="s">
        <v>999</v>
      </c>
      <c r="C1762" s="4">
        <v>45387</v>
      </c>
      <c r="D1762" s="3" t="s">
        <v>33</v>
      </c>
      <c r="E1762" s="4">
        <v>45401</v>
      </c>
      <c r="F1762" s="4">
        <v>45406</v>
      </c>
      <c r="G1762" s="3" t="s">
        <v>45</v>
      </c>
      <c r="H1762" s="3" t="s">
        <v>35</v>
      </c>
      <c r="I1762" s="3" t="s">
        <v>22</v>
      </c>
      <c r="J1762" s="3" t="s">
        <v>23</v>
      </c>
      <c r="K1762" s="3">
        <v>14</v>
      </c>
      <c r="L1762" s="3">
        <v>5</v>
      </c>
      <c r="M1762" s="3">
        <v>7070</v>
      </c>
      <c r="N1762" s="3">
        <v>35350</v>
      </c>
      <c r="O1762" s="3">
        <v>35350</v>
      </c>
      <c r="P1762" s="3" t="s">
        <v>24</v>
      </c>
      <c r="Q1762" s="3">
        <v>0</v>
      </c>
      <c r="R1762" s="3" t="str">
        <f t="shared" si="27"/>
        <v>Not Cancelled</v>
      </c>
      <c r="S1762" s="3" t="s">
        <v>31</v>
      </c>
    </row>
    <row r="1763" spans="1:19" x14ac:dyDescent="0.35">
      <c r="A1763" s="3">
        <v>2762</v>
      </c>
      <c r="B1763" s="3" t="s">
        <v>555</v>
      </c>
      <c r="C1763" s="4">
        <v>45505</v>
      </c>
      <c r="D1763" s="3" t="s">
        <v>64</v>
      </c>
      <c r="E1763" s="4">
        <v>45550</v>
      </c>
      <c r="F1763" s="4">
        <v>45552</v>
      </c>
      <c r="G1763" s="3" t="s">
        <v>28</v>
      </c>
      <c r="H1763" s="3" t="s">
        <v>60</v>
      </c>
      <c r="I1763" s="3" t="s">
        <v>39</v>
      </c>
      <c r="J1763" s="3" t="s">
        <v>46</v>
      </c>
      <c r="K1763" s="3">
        <v>45</v>
      </c>
      <c r="L1763" s="3">
        <v>2</v>
      </c>
      <c r="M1763" s="3">
        <v>8058</v>
      </c>
      <c r="N1763" s="3">
        <v>16116</v>
      </c>
      <c r="O1763" s="3">
        <v>16116</v>
      </c>
      <c r="P1763" s="3" t="s">
        <v>24</v>
      </c>
      <c r="Q1763" s="3">
        <v>0</v>
      </c>
      <c r="R1763" s="3" t="str">
        <f t="shared" si="27"/>
        <v>Not Cancelled</v>
      </c>
      <c r="S1763" s="3" t="s">
        <v>31</v>
      </c>
    </row>
    <row r="1764" spans="1:19" x14ac:dyDescent="0.35">
      <c r="A1764" s="3">
        <v>2763</v>
      </c>
      <c r="B1764" s="3" t="s">
        <v>995</v>
      </c>
      <c r="C1764" s="4">
        <v>45585</v>
      </c>
      <c r="D1764" s="3" t="s">
        <v>107</v>
      </c>
      <c r="E1764" s="4">
        <v>45610</v>
      </c>
      <c r="F1764" s="4">
        <v>45612</v>
      </c>
      <c r="G1764" s="3" t="s">
        <v>28</v>
      </c>
      <c r="H1764" s="3" t="s">
        <v>60</v>
      </c>
      <c r="I1764" s="3" t="s">
        <v>22</v>
      </c>
      <c r="J1764" s="3" t="s">
        <v>23</v>
      </c>
      <c r="K1764" s="3">
        <v>25</v>
      </c>
      <c r="L1764" s="3">
        <v>2</v>
      </c>
      <c r="M1764" s="3">
        <v>6449</v>
      </c>
      <c r="N1764" s="3">
        <v>12898</v>
      </c>
      <c r="O1764" s="3">
        <v>12898</v>
      </c>
      <c r="P1764" s="3" t="s">
        <v>24</v>
      </c>
      <c r="Q1764" s="3">
        <v>0</v>
      </c>
      <c r="R1764" s="3" t="str">
        <f t="shared" si="27"/>
        <v>Not Cancelled</v>
      </c>
      <c r="S1764" s="3" t="s">
        <v>31</v>
      </c>
    </row>
    <row r="1765" spans="1:19" x14ac:dyDescent="0.35">
      <c r="A1765" s="3">
        <v>2764</v>
      </c>
      <c r="B1765" s="3" t="s">
        <v>762</v>
      </c>
      <c r="C1765" s="4">
        <v>45500</v>
      </c>
      <c r="D1765" s="3" t="s">
        <v>128</v>
      </c>
      <c r="E1765" s="4">
        <v>45534</v>
      </c>
      <c r="F1765" s="4">
        <v>45535</v>
      </c>
      <c r="G1765" s="3" t="s">
        <v>34</v>
      </c>
      <c r="H1765" s="3" t="s">
        <v>35</v>
      </c>
      <c r="I1765" s="3" t="s">
        <v>22</v>
      </c>
      <c r="J1765" s="3" t="s">
        <v>46</v>
      </c>
      <c r="K1765" s="3">
        <v>34</v>
      </c>
      <c r="L1765" s="3">
        <v>1</v>
      </c>
      <c r="M1765" s="3">
        <v>3104</v>
      </c>
      <c r="N1765" s="3">
        <v>3104</v>
      </c>
      <c r="O1765" s="3">
        <v>0</v>
      </c>
      <c r="P1765" s="3" t="s">
        <v>24</v>
      </c>
      <c r="Q1765" s="3">
        <v>1</v>
      </c>
      <c r="R1765" s="3" t="str">
        <f t="shared" si="27"/>
        <v>Cancelled</v>
      </c>
      <c r="S1765" s="3" t="s">
        <v>25</v>
      </c>
    </row>
    <row r="1766" spans="1:19" x14ac:dyDescent="0.35">
      <c r="A1766" s="3">
        <v>2765</v>
      </c>
      <c r="B1766" s="3" t="s">
        <v>852</v>
      </c>
      <c r="C1766" s="4">
        <v>45634</v>
      </c>
      <c r="D1766" s="3" t="s">
        <v>20</v>
      </c>
      <c r="E1766" s="4">
        <v>45637</v>
      </c>
      <c r="F1766" s="4">
        <v>45642</v>
      </c>
      <c r="G1766" s="3" t="s">
        <v>45</v>
      </c>
      <c r="H1766" s="3" t="s">
        <v>21</v>
      </c>
      <c r="I1766" s="3" t="s">
        <v>39</v>
      </c>
      <c r="J1766" s="3" t="s">
        <v>46</v>
      </c>
      <c r="K1766" s="3">
        <v>3</v>
      </c>
      <c r="L1766" s="3">
        <v>5</v>
      </c>
      <c r="M1766" s="3">
        <v>5479</v>
      </c>
      <c r="N1766" s="3">
        <v>27395</v>
      </c>
      <c r="O1766" s="3">
        <v>27395</v>
      </c>
      <c r="P1766" s="3" t="s">
        <v>24</v>
      </c>
      <c r="Q1766" s="3">
        <v>0</v>
      </c>
      <c r="R1766" s="3" t="str">
        <f t="shared" si="27"/>
        <v>Not Cancelled</v>
      </c>
      <c r="S1766" s="3" t="s">
        <v>25</v>
      </c>
    </row>
    <row r="1767" spans="1:19" x14ac:dyDescent="0.35">
      <c r="A1767" s="3">
        <v>2766</v>
      </c>
      <c r="B1767" s="3" t="s">
        <v>301</v>
      </c>
      <c r="C1767" s="4">
        <v>45379</v>
      </c>
      <c r="D1767" s="3" t="s">
        <v>237</v>
      </c>
      <c r="E1767" s="4">
        <v>45437</v>
      </c>
      <c r="F1767" s="4">
        <v>45442</v>
      </c>
      <c r="G1767" s="3" t="s">
        <v>45</v>
      </c>
      <c r="H1767" s="3" t="s">
        <v>38</v>
      </c>
      <c r="I1767" s="3" t="s">
        <v>39</v>
      </c>
      <c r="J1767" s="3" t="s">
        <v>23</v>
      </c>
      <c r="K1767" s="3">
        <v>58</v>
      </c>
      <c r="L1767" s="3">
        <v>5</v>
      </c>
      <c r="M1767" s="3">
        <v>7416</v>
      </c>
      <c r="N1767" s="3">
        <v>37080</v>
      </c>
      <c r="O1767" s="3">
        <v>0</v>
      </c>
      <c r="P1767" s="3" t="s">
        <v>24</v>
      </c>
      <c r="Q1767" s="3">
        <v>1</v>
      </c>
      <c r="R1767" s="3" t="str">
        <f t="shared" si="27"/>
        <v>Cancelled</v>
      </c>
      <c r="S1767" s="3" t="s">
        <v>25</v>
      </c>
    </row>
    <row r="1768" spans="1:19" x14ac:dyDescent="0.35">
      <c r="A1768" s="3">
        <v>2767</v>
      </c>
      <c r="B1768" s="3" t="s">
        <v>641</v>
      </c>
      <c r="C1768" s="4">
        <v>45597</v>
      </c>
      <c r="D1768" s="3" t="s">
        <v>159</v>
      </c>
      <c r="E1768" s="4">
        <v>45621</v>
      </c>
      <c r="F1768" s="4">
        <v>45623</v>
      </c>
      <c r="G1768" s="3" t="s">
        <v>28</v>
      </c>
      <c r="H1768" s="3" t="s">
        <v>35</v>
      </c>
      <c r="I1768" s="3" t="s">
        <v>39</v>
      </c>
      <c r="J1768" s="3" t="s">
        <v>23</v>
      </c>
      <c r="K1768" s="3">
        <v>24</v>
      </c>
      <c r="L1768" s="3">
        <v>2</v>
      </c>
      <c r="M1768" s="3">
        <v>3097</v>
      </c>
      <c r="N1768" s="3">
        <v>6194</v>
      </c>
      <c r="O1768" s="3">
        <v>6194</v>
      </c>
      <c r="P1768" s="3" t="s">
        <v>24</v>
      </c>
      <c r="Q1768" s="3">
        <v>0</v>
      </c>
      <c r="R1768" s="3" t="str">
        <f t="shared" si="27"/>
        <v>Not Cancelled</v>
      </c>
      <c r="S1768" s="3" t="s">
        <v>25</v>
      </c>
    </row>
    <row r="1769" spans="1:19" x14ac:dyDescent="0.35">
      <c r="A1769" s="3">
        <v>2768</v>
      </c>
      <c r="B1769" s="3" t="s">
        <v>1062</v>
      </c>
      <c r="C1769" s="4">
        <v>45555</v>
      </c>
      <c r="D1769" s="3" t="s">
        <v>117</v>
      </c>
      <c r="E1769" s="4">
        <v>45609</v>
      </c>
      <c r="F1769" s="4">
        <v>45611</v>
      </c>
      <c r="G1769" s="3" t="s">
        <v>28</v>
      </c>
      <c r="H1769" s="3" t="s">
        <v>35</v>
      </c>
      <c r="I1769" s="3" t="s">
        <v>22</v>
      </c>
      <c r="J1769" s="3" t="s">
        <v>30</v>
      </c>
      <c r="K1769" s="3">
        <v>54</v>
      </c>
      <c r="L1769" s="3">
        <v>2</v>
      </c>
      <c r="M1769" s="3">
        <v>4032</v>
      </c>
      <c r="N1769" s="3">
        <v>8064</v>
      </c>
      <c r="O1769" s="3">
        <v>0</v>
      </c>
      <c r="P1769" s="3" t="s">
        <v>24</v>
      </c>
      <c r="Q1769" s="3">
        <v>1</v>
      </c>
      <c r="R1769" s="3" t="str">
        <f t="shared" si="27"/>
        <v>Cancelled</v>
      </c>
      <c r="S1769" s="3" t="s">
        <v>31</v>
      </c>
    </row>
    <row r="1770" spans="1:19" x14ac:dyDescent="0.35">
      <c r="A1770" s="3">
        <v>2769</v>
      </c>
      <c r="B1770" s="3" t="s">
        <v>87</v>
      </c>
      <c r="C1770" s="4">
        <v>45616</v>
      </c>
      <c r="D1770" s="3" t="s">
        <v>140</v>
      </c>
      <c r="E1770" s="4">
        <v>45658</v>
      </c>
      <c r="F1770" s="4">
        <v>45660</v>
      </c>
      <c r="G1770" s="3" t="s">
        <v>28</v>
      </c>
      <c r="H1770" s="3" t="s">
        <v>35</v>
      </c>
      <c r="I1770" s="3" t="s">
        <v>22</v>
      </c>
      <c r="J1770" s="3" t="s">
        <v>30</v>
      </c>
      <c r="K1770" s="3">
        <v>42</v>
      </c>
      <c r="L1770" s="3">
        <v>2</v>
      </c>
      <c r="M1770" s="3">
        <v>3013</v>
      </c>
      <c r="N1770" s="3">
        <v>6026</v>
      </c>
      <c r="O1770" s="3">
        <v>6026</v>
      </c>
      <c r="P1770" s="3" t="s">
        <v>51</v>
      </c>
      <c r="Q1770" s="3">
        <v>0</v>
      </c>
      <c r="R1770" s="3" t="str">
        <f t="shared" si="27"/>
        <v>Not Cancelled</v>
      </c>
      <c r="S1770" s="3" t="s">
        <v>31</v>
      </c>
    </row>
    <row r="1771" spans="1:19" x14ac:dyDescent="0.35">
      <c r="A1771" s="3">
        <v>2770</v>
      </c>
      <c r="B1771" s="3" t="s">
        <v>503</v>
      </c>
      <c r="C1771" s="4">
        <v>45611</v>
      </c>
      <c r="D1771" s="3" t="s">
        <v>165</v>
      </c>
      <c r="E1771" s="4">
        <v>45620</v>
      </c>
      <c r="F1771" s="4">
        <v>45623</v>
      </c>
      <c r="G1771" s="3" t="s">
        <v>20</v>
      </c>
      <c r="H1771" s="3" t="s">
        <v>35</v>
      </c>
      <c r="I1771" s="3" t="s">
        <v>22</v>
      </c>
      <c r="J1771" s="3" t="s">
        <v>23</v>
      </c>
      <c r="K1771" s="3">
        <v>9</v>
      </c>
      <c r="L1771" s="3">
        <v>3</v>
      </c>
      <c r="M1771" s="3">
        <v>8122</v>
      </c>
      <c r="N1771" s="3">
        <v>24366</v>
      </c>
      <c r="O1771" s="3">
        <v>24366</v>
      </c>
      <c r="P1771" s="3" t="s">
        <v>24</v>
      </c>
      <c r="Q1771" s="3">
        <v>0</v>
      </c>
      <c r="R1771" s="3" t="str">
        <f t="shared" si="27"/>
        <v>Not Cancelled</v>
      </c>
      <c r="S1771" s="3" t="s">
        <v>25</v>
      </c>
    </row>
    <row r="1772" spans="1:19" x14ac:dyDescent="0.35">
      <c r="A1772" s="3">
        <v>2771</v>
      </c>
      <c r="B1772" s="3" t="s">
        <v>345</v>
      </c>
      <c r="C1772" s="4">
        <v>45448</v>
      </c>
      <c r="D1772" s="3" t="s">
        <v>98</v>
      </c>
      <c r="E1772" s="4">
        <v>45474</v>
      </c>
      <c r="F1772" s="4">
        <v>45478</v>
      </c>
      <c r="G1772" s="3" t="s">
        <v>42</v>
      </c>
      <c r="H1772" s="3" t="s">
        <v>35</v>
      </c>
      <c r="I1772" s="3" t="s">
        <v>39</v>
      </c>
      <c r="J1772" s="3" t="s">
        <v>46</v>
      </c>
      <c r="K1772" s="3">
        <v>26</v>
      </c>
      <c r="L1772" s="3">
        <v>4</v>
      </c>
      <c r="M1772" s="3">
        <v>4377</v>
      </c>
      <c r="N1772" s="3">
        <v>17508</v>
      </c>
      <c r="O1772" s="3">
        <v>17508</v>
      </c>
      <c r="P1772" s="3" t="s">
        <v>24</v>
      </c>
      <c r="Q1772" s="3">
        <v>0</v>
      </c>
      <c r="R1772" s="3" t="str">
        <f t="shared" si="27"/>
        <v>Not Cancelled</v>
      </c>
      <c r="S1772" s="3" t="s">
        <v>25</v>
      </c>
    </row>
    <row r="1773" spans="1:19" x14ac:dyDescent="0.35">
      <c r="A1773" s="3">
        <v>2772</v>
      </c>
      <c r="B1773" s="3" t="s">
        <v>1112</v>
      </c>
      <c r="C1773" s="4">
        <v>45447</v>
      </c>
      <c r="D1773" s="3" t="s">
        <v>157</v>
      </c>
      <c r="E1773" s="4">
        <v>45467</v>
      </c>
      <c r="F1773" s="4">
        <v>45470</v>
      </c>
      <c r="G1773" s="3" t="s">
        <v>20</v>
      </c>
      <c r="H1773" s="3" t="s">
        <v>21</v>
      </c>
      <c r="I1773" s="3" t="s">
        <v>22</v>
      </c>
      <c r="J1773" s="3" t="s">
        <v>30</v>
      </c>
      <c r="K1773" s="3">
        <v>20</v>
      </c>
      <c r="L1773" s="3">
        <v>3</v>
      </c>
      <c r="M1773" s="3">
        <v>6472</v>
      </c>
      <c r="N1773" s="3">
        <v>19416</v>
      </c>
      <c r="O1773" s="3">
        <v>19416</v>
      </c>
      <c r="P1773" s="3" t="s">
        <v>51</v>
      </c>
      <c r="Q1773" s="3">
        <v>0</v>
      </c>
      <c r="R1773" s="3" t="str">
        <f t="shared" si="27"/>
        <v>Not Cancelled</v>
      </c>
      <c r="S1773" s="3" t="s">
        <v>25</v>
      </c>
    </row>
    <row r="1774" spans="1:19" x14ac:dyDescent="0.35">
      <c r="A1774" s="3">
        <v>2773</v>
      </c>
      <c r="B1774" s="3" t="s">
        <v>1113</v>
      </c>
      <c r="C1774" s="4">
        <v>45430</v>
      </c>
      <c r="D1774" s="3" t="s">
        <v>179</v>
      </c>
      <c r="E1774" s="4">
        <v>45470</v>
      </c>
      <c r="F1774" s="4">
        <v>45475</v>
      </c>
      <c r="G1774" s="3" t="s">
        <v>45</v>
      </c>
      <c r="H1774" s="3" t="s">
        <v>29</v>
      </c>
      <c r="I1774" s="3" t="s">
        <v>39</v>
      </c>
      <c r="J1774" s="3" t="s">
        <v>23</v>
      </c>
      <c r="K1774" s="3">
        <v>40</v>
      </c>
      <c r="L1774" s="3">
        <v>5</v>
      </c>
      <c r="M1774" s="3">
        <v>6343</v>
      </c>
      <c r="N1774" s="3">
        <v>31715</v>
      </c>
      <c r="O1774" s="3">
        <v>0</v>
      </c>
      <c r="P1774" s="3" t="s">
        <v>24</v>
      </c>
      <c r="Q1774" s="3">
        <v>1</v>
      </c>
      <c r="R1774" s="3" t="str">
        <f t="shared" si="27"/>
        <v>Cancelled</v>
      </c>
      <c r="S1774" s="3" t="s">
        <v>25</v>
      </c>
    </row>
    <row r="1775" spans="1:19" x14ac:dyDescent="0.35">
      <c r="A1775" s="3">
        <v>2774</v>
      </c>
      <c r="B1775" s="3" t="s">
        <v>1114</v>
      </c>
      <c r="C1775" s="4">
        <v>45412</v>
      </c>
      <c r="D1775" s="3" t="s">
        <v>37</v>
      </c>
      <c r="E1775" s="4">
        <v>45422</v>
      </c>
      <c r="F1775" s="4">
        <v>45423</v>
      </c>
      <c r="G1775" s="3" t="s">
        <v>34</v>
      </c>
      <c r="H1775" s="3" t="s">
        <v>38</v>
      </c>
      <c r="I1775" s="3" t="s">
        <v>39</v>
      </c>
      <c r="J1775" s="3" t="s">
        <v>23</v>
      </c>
      <c r="K1775" s="3">
        <v>10</v>
      </c>
      <c r="L1775" s="3">
        <v>1</v>
      </c>
      <c r="M1775" s="3">
        <v>4199</v>
      </c>
      <c r="N1775" s="3">
        <v>4199</v>
      </c>
      <c r="O1775" s="3">
        <v>0</v>
      </c>
      <c r="P1775" s="3" t="s">
        <v>51</v>
      </c>
      <c r="Q1775" s="3">
        <v>1</v>
      </c>
      <c r="R1775" s="3" t="str">
        <f t="shared" si="27"/>
        <v>Cancelled</v>
      </c>
      <c r="S1775" s="3" t="s">
        <v>31</v>
      </c>
    </row>
    <row r="1776" spans="1:19" x14ac:dyDescent="0.35">
      <c r="A1776" s="3">
        <v>2775</v>
      </c>
      <c r="B1776" s="3" t="s">
        <v>485</v>
      </c>
      <c r="C1776" s="4">
        <v>45356</v>
      </c>
      <c r="D1776" s="3" t="s">
        <v>109</v>
      </c>
      <c r="E1776" s="4">
        <v>45375</v>
      </c>
      <c r="F1776" s="4">
        <v>45379</v>
      </c>
      <c r="G1776" s="3" t="s">
        <v>42</v>
      </c>
      <c r="H1776" s="3" t="s">
        <v>29</v>
      </c>
      <c r="I1776" s="3" t="s">
        <v>22</v>
      </c>
      <c r="J1776" s="3" t="s">
        <v>46</v>
      </c>
      <c r="K1776" s="3">
        <v>19</v>
      </c>
      <c r="L1776" s="3">
        <v>4</v>
      </c>
      <c r="M1776" s="3">
        <v>3529</v>
      </c>
      <c r="N1776" s="3">
        <v>14116</v>
      </c>
      <c r="O1776" s="3">
        <v>0</v>
      </c>
      <c r="P1776" s="3" t="s">
        <v>24</v>
      </c>
      <c r="Q1776" s="3">
        <v>1</v>
      </c>
      <c r="R1776" s="3" t="str">
        <f t="shared" si="27"/>
        <v>Cancelled</v>
      </c>
      <c r="S1776" s="3" t="s">
        <v>31</v>
      </c>
    </row>
    <row r="1777" spans="1:19" x14ac:dyDescent="0.35">
      <c r="A1777" s="3">
        <v>2776</v>
      </c>
      <c r="B1777" s="3" t="s">
        <v>106</v>
      </c>
      <c r="C1777" s="4">
        <v>45398</v>
      </c>
      <c r="D1777" s="3" t="s">
        <v>20</v>
      </c>
      <c r="E1777" s="4">
        <v>45401</v>
      </c>
      <c r="F1777" s="4">
        <v>45402</v>
      </c>
      <c r="G1777" s="3" t="s">
        <v>34</v>
      </c>
      <c r="H1777" s="3" t="s">
        <v>35</v>
      </c>
      <c r="I1777" s="3" t="s">
        <v>39</v>
      </c>
      <c r="J1777" s="3" t="s">
        <v>23</v>
      </c>
      <c r="K1777" s="3">
        <v>3</v>
      </c>
      <c r="L1777" s="3">
        <v>1</v>
      </c>
      <c r="M1777" s="3">
        <v>7095</v>
      </c>
      <c r="N1777" s="3">
        <v>7095</v>
      </c>
      <c r="O1777" s="3">
        <v>7095</v>
      </c>
      <c r="P1777" s="3" t="s">
        <v>24</v>
      </c>
      <c r="Q1777" s="3">
        <v>0</v>
      </c>
      <c r="R1777" s="3" t="str">
        <f t="shared" si="27"/>
        <v>Not Cancelled</v>
      </c>
      <c r="S1777" s="3" t="s">
        <v>25</v>
      </c>
    </row>
    <row r="1778" spans="1:19" x14ac:dyDescent="0.35">
      <c r="A1778" s="3">
        <v>2777</v>
      </c>
      <c r="B1778" s="3" t="s">
        <v>531</v>
      </c>
      <c r="C1778" s="4">
        <v>45438</v>
      </c>
      <c r="D1778" s="3" t="s">
        <v>159</v>
      </c>
      <c r="E1778" s="4">
        <v>45462</v>
      </c>
      <c r="F1778" s="4">
        <v>45467</v>
      </c>
      <c r="G1778" s="3" t="s">
        <v>45</v>
      </c>
      <c r="H1778" s="3" t="s">
        <v>29</v>
      </c>
      <c r="I1778" s="3" t="s">
        <v>22</v>
      </c>
      <c r="J1778" s="3" t="s">
        <v>30</v>
      </c>
      <c r="K1778" s="3">
        <v>24</v>
      </c>
      <c r="L1778" s="3">
        <v>5</v>
      </c>
      <c r="M1778" s="3">
        <v>8280</v>
      </c>
      <c r="N1778" s="3">
        <v>41400</v>
      </c>
      <c r="O1778" s="3">
        <v>41400</v>
      </c>
      <c r="P1778" s="3" t="s">
        <v>51</v>
      </c>
      <c r="Q1778" s="3">
        <v>0</v>
      </c>
      <c r="R1778" s="3" t="str">
        <f t="shared" si="27"/>
        <v>Not Cancelled</v>
      </c>
      <c r="S1778" s="3" t="s">
        <v>31</v>
      </c>
    </row>
    <row r="1779" spans="1:19" x14ac:dyDescent="0.35">
      <c r="A1779" s="3">
        <v>2778</v>
      </c>
      <c r="B1779" s="3" t="s">
        <v>1115</v>
      </c>
      <c r="C1779" s="4">
        <v>45428</v>
      </c>
      <c r="D1779" s="3" t="s">
        <v>45</v>
      </c>
      <c r="E1779" s="4">
        <v>45433</v>
      </c>
      <c r="F1779" s="4">
        <v>45438</v>
      </c>
      <c r="G1779" s="3" t="s">
        <v>45</v>
      </c>
      <c r="H1779" s="3" t="s">
        <v>21</v>
      </c>
      <c r="I1779" s="3" t="s">
        <v>39</v>
      </c>
      <c r="J1779" s="3" t="s">
        <v>46</v>
      </c>
      <c r="K1779" s="3">
        <v>5</v>
      </c>
      <c r="L1779" s="3">
        <v>5</v>
      </c>
      <c r="M1779" s="3">
        <v>3216</v>
      </c>
      <c r="N1779" s="3">
        <v>16080</v>
      </c>
      <c r="O1779" s="3">
        <v>16080</v>
      </c>
      <c r="P1779" s="3" t="s">
        <v>51</v>
      </c>
      <c r="Q1779" s="3">
        <v>0</v>
      </c>
      <c r="R1779" s="3" t="str">
        <f t="shared" si="27"/>
        <v>Not Cancelled</v>
      </c>
      <c r="S1779" s="3" t="s">
        <v>25</v>
      </c>
    </row>
    <row r="1780" spans="1:19" x14ac:dyDescent="0.35">
      <c r="A1780" s="3">
        <v>2779</v>
      </c>
      <c r="B1780" s="3" t="s">
        <v>716</v>
      </c>
      <c r="C1780" s="4">
        <v>45453</v>
      </c>
      <c r="D1780" s="3" t="s">
        <v>20</v>
      </c>
      <c r="E1780" s="4">
        <v>45456</v>
      </c>
      <c r="F1780" s="4">
        <v>45457</v>
      </c>
      <c r="G1780" s="3" t="s">
        <v>34</v>
      </c>
      <c r="H1780" s="3" t="s">
        <v>60</v>
      </c>
      <c r="I1780" s="3" t="s">
        <v>39</v>
      </c>
      <c r="J1780" s="3" t="s">
        <v>23</v>
      </c>
      <c r="K1780" s="3">
        <v>3</v>
      </c>
      <c r="L1780" s="3">
        <v>1</v>
      </c>
      <c r="M1780" s="3">
        <v>7737</v>
      </c>
      <c r="N1780" s="3">
        <v>7737</v>
      </c>
      <c r="O1780" s="3">
        <v>7737</v>
      </c>
      <c r="P1780" s="3" t="s">
        <v>24</v>
      </c>
      <c r="Q1780" s="3">
        <v>0</v>
      </c>
      <c r="R1780" s="3" t="str">
        <f t="shared" si="27"/>
        <v>Not Cancelled</v>
      </c>
      <c r="S1780" s="3" t="s">
        <v>25</v>
      </c>
    </row>
    <row r="1781" spans="1:19" x14ac:dyDescent="0.35">
      <c r="A1781" s="3">
        <v>2780</v>
      </c>
      <c r="B1781" s="3" t="s">
        <v>350</v>
      </c>
      <c r="C1781" s="4">
        <v>45391</v>
      </c>
      <c r="D1781" s="3" t="s">
        <v>237</v>
      </c>
      <c r="E1781" s="4">
        <v>45449</v>
      </c>
      <c r="F1781" s="4">
        <v>45450</v>
      </c>
      <c r="G1781" s="3" t="s">
        <v>34</v>
      </c>
      <c r="H1781" s="3" t="s">
        <v>29</v>
      </c>
      <c r="I1781" s="3" t="s">
        <v>39</v>
      </c>
      <c r="J1781" s="3" t="s">
        <v>23</v>
      </c>
      <c r="K1781" s="3">
        <v>58</v>
      </c>
      <c r="L1781" s="3">
        <v>1</v>
      </c>
      <c r="M1781" s="3">
        <v>8104</v>
      </c>
      <c r="N1781" s="3">
        <v>8104</v>
      </c>
      <c r="O1781" s="3">
        <v>0</v>
      </c>
      <c r="P1781" s="3" t="s">
        <v>51</v>
      </c>
      <c r="Q1781" s="3">
        <v>1</v>
      </c>
      <c r="R1781" s="3" t="str">
        <f t="shared" si="27"/>
        <v>Cancelled</v>
      </c>
      <c r="S1781" s="3" t="s">
        <v>31</v>
      </c>
    </row>
    <row r="1782" spans="1:19" x14ac:dyDescent="0.35">
      <c r="A1782" s="3">
        <v>2781</v>
      </c>
      <c r="B1782" s="3" t="s">
        <v>579</v>
      </c>
      <c r="C1782" s="4">
        <v>45629</v>
      </c>
      <c r="D1782" s="3" t="s">
        <v>185</v>
      </c>
      <c r="E1782" s="4">
        <v>45656</v>
      </c>
      <c r="F1782" s="4">
        <v>45657</v>
      </c>
      <c r="G1782" s="3" t="s">
        <v>34</v>
      </c>
      <c r="H1782" s="3" t="s">
        <v>38</v>
      </c>
      <c r="I1782" s="3" t="s">
        <v>22</v>
      </c>
      <c r="J1782" s="3" t="s">
        <v>46</v>
      </c>
      <c r="K1782" s="3">
        <v>27</v>
      </c>
      <c r="L1782" s="3">
        <v>1</v>
      </c>
      <c r="M1782" s="3">
        <v>6586</v>
      </c>
      <c r="N1782" s="3">
        <v>6586</v>
      </c>
      <c r="O1782" s="3">
        <v>0</v>
      </c>
      <c r="P1782" s="3" t="s">
        <v>24</v>
      </c>
      <c r="Q1782" s="3">
        <v>1</v>
      </c>
      <c r="R1782" s="3" t="str">
        <f t="shared" si="27"/>
        <v>Cancelled</v>
      </c>
      <c r="S1782" s="3" t="s">
        <v>25</v>
      </c>
    </row>
    <row r="1783" spans="1:19" x14ac:dyDescent="0.35">
      <c r="A1783" s="3">
        <v>2782</v>
      </c>
      <c r="B1783" s="3" t="s">
        <v>1116</v>
      </c>
      <c r="C1783" s="4">
        <v>45598</v>
      </c>
      <c r="D1783" s="3" t="s">
        <v>88</v>
      </c>
      <c r="E1783" s="4">
        <v>45614</v>
      </c>
      <c r="F1783" s="4">
        <v>45619</v>
      </c>
      <c r="G1783" s="3" t="s">
        <v>45</v>
      </c>
      <c r="H1783" s="3" t="s">
        <v>21</v>
      </c>
      <c r="I1783" s="3" t="s">
        <v>39</v>
      </c>
      <c r="J1783" s="3" t="s">
        <v>46</v>
      </c>
      <c r="K1783" s="3">
        <v>16</v>
      </c>
      <c r="L1783" s="3">
        <v>5</v>
      </c>
      <c r="M1783" s="3">
        <v>3165</v>
      </c>
      <c r="N1783" s="3">
        <v>15825</v>
      </c>
      <c r="O1783" s="3">
        <v>0</v>
      </c>
      <c r="P1783" s="3" t="s">
        <v>24</v>
      </c>
      <c r="Q1783" s="3">
        <v>1</v>
      </c>
      <c r="R1783" s="3" t="str">
        <f t="shared" si="27"/>
        <v>Cancelled</v>
      </c>
      <c r="S1783" s="3" t="s">
        <v>31</v>
      </c>
    </row>
    <row r="1784" spans="1:19" x14ac:dyDescent="0.35">
      <c r="A1784" s="3">
        <v>2783</v>
      </c>
      <c r="B1784" s="3" t="s">
        <v>84</v>
      </c>
      <c r="C1784" s="4">
        <v>45432</v>
      </c>
      <c r="D1784" s="3" t="s">
        <v>211</v>
      </c>
      <c r="E1784" s="4">
        <v>45481</v>
      </c>
      <c r="F1784" s="4">
        <v>45483</v>
      </c>
      <c r="G1784" s="3" t="s">
        <v>28</v>
      </c>
      <c r="H1784" s="3" t="s">
        <v>60</v>
      </c>
      <c r="I1784" s="3" t="s">
        <v>22</v>
      </c>
      <c r="J1784" s="3" t="s">
        <v>46</v>
      </c>
      <c r="K1784" s="3">
        <v>49</v>
      </c>
      <c r="L1784" s="3">
        <v>2</v>
      </c>
      <c r="M1784" s="3">
        <v>4708</v>
      </c>
      <c r="N1784" s="3">
        <v>9416</v>
      </c>
      <c r="O1784" s="3">
        <v>0</v>
      </c>
      <c r="P1784" s="3" t="s">
        <v>24</v>
      </c>
      <c r="Q1784" s="3">
        <v>1</v>
      </c>
      <c r="R1784" s="3" t="str">
        <f t="shared" si="27"/>
        <v>Cancelled</v>
      </c>
      <c r="S1784" s="3" t="s">
        <v>25</v>
      </c>
    </row>
    <row r="1785" spans="1:19" x14ac:dyDescent="0.35">
      <c r="A1785" s="3">
        <v>2784</v>
      </c>
      <c r="B1785" s="3" t="s">
        <v>789</v>
      </c>
      <c r="C1785" s="4">
        <v>45374</v>
      </c>
      <c r="D1785" s="3" t="s">
        <v>277</v>
      </c>
      <c r="E1785" s="4">
        <v>45389</v>
      </c>
      <c r="F1785" s="4">
        <v>45390</v>
      </c>
      <c r="G1785" s="3" t="s">
        <v>34</v>
      </c>
      <c r="H1785" s="3" t="s">
        <v>21</v>
      </c>
      <c r="I1785" s="3" t="s">
        <v>39</v>
      </c>
      <c r="J1785" s="3" t="s">
        <v>30</v>
      </c>
      <c r="K1785" s="3">
        <v>15</v>
      </c>
      <c r="L1785" s="3">
        <v>1</v>
      </c>
      <c r="M1785" s="3">
        <v>8913</v>
      </c>
      <c r="N1785" s="3">
        <v>8913</v>
      </c>
      <c r="O1785" s="3">
        <v>8913</v>
      </c>
      <c r="P1785" s="3" t="s">
        <v>24</v>
      </c>
      <c r="Q1785" s="3">
        <v>0</v>
      </c>
      <c r="R1785" s="3" t="str">
        <f t="shared" si="27"/>
        <v>Not Cancelled</v>
      </c>
      <c r="S1785" s="3" t="s">
        <v>31</v>
      </c>
    </row>
    <row r="1786" spans="1:19" x14ac:dyDescent="0.35">
      <c r="A1786" s="3">
        <v>2785</v>
      </c>
      <c r="B1786" s="3" t="s">
        <v>605</v>
      </c>
      <c r="C1786" s="4">
        <v>45468</v>
      </c>
      <c r="D1786" s="3" t="s">
        <v>91</v>
      </c>
      <c r="E1786" s="4">
        <v>45503</v>
      </c>
      <c r="F1786" s="4">
        <v>45507</v>
      </c>
      <c r="G1786" s="3" t="s">
        <v>42</v>
      </c>
      <c r="H1786" s="3" t="s">
        <v>35</v>
      </c>
      <c r="I1786" s="3" t="s">
        <v>39</v>
      </c>
      <c r="J1786" s="3" t="s">
        <v>30</v>
      </c>
      <c r="K1786" s="3">
        <v>35</v>
      </c>
      <c r="L1786" s="3">
        <v>4</v>
      </c>
      <c r="M1786" s="3">
        <v>3579</v>
      </c>
      <c r="N1786" s="3">
        <v>14316</v>
      </c>
      <c r="O1786" s="3">
        <v>0</v>
      </c>
      <c r="P1786" s="3" t="s">
        <v>24</v>
      </c>
      <c r="Q1786" s="3">
        <v>1</v>
      </c>
      <c r="R1786" s="3" t="str">
        <f t="shared" si="27"/>
        <v>Cancelled</v>
      </c>
      <c r="S1786" s="3" t="s">
        <v>25</v>
      </c>
    </row>
    <row r="1787" spans="1:19" x14ac:dyDescent="0.35">
      <c r="A1787" s="3">
        <v>2786</v>
      </c>
      <c r="B1787" s="3" t="s">
        <v>1117</v>
      </c>
      <c r="C1787" s="4">
        <v>45489</v>
      </c>
      <c r="D1787" s="3" t="s">
        <v>102</v>
      </c>
      <c r="E1787" s="4">
        <v>45501</v>
      </c>
      <c r="F1787" s="4">
        <v>45506</v>
      </c>
      <c r="G1787" s="3" t="s">
        <v>45</v>
      </c>
      <c r="H1787" s="3" t="s">
        <v>60</v>
      </c>
      <c r="I1787" s="3" t="s">
        <v>39</v>
      </c>
      <c r="J1787" s="3" t="s">
        <v>23</v>
      </c>
      <c r="K1787" s="3">
        <v>12</v>
      </c>
      <c r="L1787" s="3">
        <v>5</v>
      </c>
      <c r="M1787" s="3">
        <v>2727</v>
      </c>
      <c r="N1787" s="3">
        <v>13635</v>
      </c>
      <c r="O1787" s="3">
        <v>0</v>
      </c>
      <c r="P1787" s="3" t="s">
        <v>24</v>
      </c>
      <c r="Q1787" s="3">
        <v>1</v>
      </c>
      <c r="R1787" s="3" t="str">
        <f t="shared" si="27"/>
        <v>Cancelled</v>
      </c>
      <c r="S1787" s="3" t="s">
        <v>31</v>
      </c>
    </row>
    <row r="1788" spans="1:19" x14ac:dyDescent="0.35">
      <c r="A1788" s="3">
        <v>2787</v>
      </c>
      <c r="B1788" s="3" t="s">
        <v>208</v>
      </c>
      <c r="C1788" s="4">
        <v>45403</v>
      </c>
      <c r="D1788" s="3" t="s">
        <v>86</v>
      </c>
      <c r="E1788" s="4">
        <v>45444</v>
      </c>
      <c r="F1788" s="4">
        <v>45447</v>
      </c>
      <c r="G1788" s="3" t="s">
        <v>20</v>
      </c>
      <c r="H1788" s="3" t="s">
        <v>38</v>
      </c>
      <c r="I1788" s="3" t="s">
        <v>22</v>
      </c>
      <c r="J1788" s="3" t="s">
        <v>23</v>
      </c>
      <c r="K1788" s="3">
        <v>41</v>
      </c>
      <c r="L1788" s="3">
        <v>3</v>
      </c>
      <c r="M1788" s="3">
        <v>2648</v>
      </c>
      <c r="N1788" s="3">
        <v>7944</v>
      </c>
      <c r="O1788" s="3">
        <v>0</v>
      </c>
      <c r="P1788" s="3" t="s">
        <v>51</v>
      </c>
      <c r="Q1788" s="3">
        <v>1</v>
      </c>
      <c r="R1788" s="3" t="str">
        <f t="shared" si="27"/>
        <v>Cancelled</v>
      </c>
      <c r="S1788" s="3" t="s">
        <v>25</v>
      </c>
    </row>
    <row r="1789" spans="1:19" x14ac:dyDescent="0.35">
      <c r="A1789" s="3">
        <v>2788</v>
      </c>
      <c r="B1789" s="3" t="s">
        <v>173</v>
      </c>
      <c r="C1789" s="4">
        <v>45347</v>
      </c>
      <c r="D1789" s="3" t="s">
        <v>133</v>
      </c>
      <c r="E1789" s="4">
        <v>45400</v>
      </c>
      <c r="F1789" s="4">
        <v>45403</v>
      </c>
      <c r="G1789" s="3" t="s">
        <v>20</v>
      </c>
      <c r="H1789" s="3" t="s">
        <v>60</v>
      </c>
      <c r="I1789" s="3" t="s">
        <v>22</v>
      </c>
      <c r="J1789" s="3" t="s">
        <v>46</v>
      </c>
      <c r="K1789" s="3">
        <v>53</v>
      </c>
      <c r="L1789" s="3">
        <v>3</v>
      </c>
      <c r="M1789" s="3">
        <v>3569</v>
      </c>
      <c r="N1789" s="3">
        <v>10707</v>
      </c>
      <c r="O1789" s="3">
        <v>0</v>
      </c>
      <c r="P1789" s="3" t="s">
        <v>51</v>
      </c>
      <c r="Q1789" s="3">
        <v>1</v>
      </c>
      <c r="R1789" s="3" t="str">
        <f t="shared" si="27"/>
        <v>Cancelled</v>
      </c>
      <c r="S1789" s="3" t="s">
        <v>25</v>
      </c>
    </row>
    <row r="1790" spans="1:19" x14ac:dyDescent="0.35">
      <c r="A1790" s="3">
        <v>2789</v>
      </c>
      <c r="B1790" s="3" t="s">
        <v>1118</v>
      </c>
      <c r="C1790" s="4">
        <v>45470</v>
      </c>
      <c r="D1790" s="3" t="s">
        <v>62</v>
      </c>
      <c r="E1790" s="4">
        <v>45514</v>
      </c>
      <c r="F1790" s="4">
        <v>45518</v>
      </c>
      <c r="G1790" s="3" t="s">
        <v>42</v>
      </c>
      <c r="H1790" s="3" t="s">
        <v>38</v>
      </c>
      <c r="I1790" s="3" t="s">
        <v>22</v>
      </c>
      <c r="J1790" s="3" t="s">
        <v>23</v>
      </c>
      <c r="K1790" s="3">
        <v>44</v>
      </c>
      <c r="L1790" s="3">
        <v>4</v>
      </c>
      <c r="M1790" s="3">
        <v>7763</v>
      </c>
      <c r="N1790" s="3">
        <v>31052</v>
      </c>
      <c r="O1790" s="3">
        <v>31052</v>
      </c>
      <c r="P1790" s="3" t="s">
        <v>51</v>
      </c>
      <c r="Q1790" s="3">
        <v>0</v>
      </c>
      <c r="R1790" s="3" t="str">
        <f t="shared" si="27"/>
        <v>Not Cancelled</v>
      </c>
      <c r="S1790" s="3" t="s">
        <v>31</v>
      </c>
    </row>
    <row r="1791" spans="1:19" x14ac:dyDescent="0.35">
      <c r="A1791" s="3">
        <v>2790</v>
      </c>
      <c r="B1791" s="3" t="s">
        <v>823</v>
      </c>
      <c r="C1791" s="4">
        <v>45477</v>
      </c>
      <c r="D1791" s="3" t="s">
        <v>98</v>
      </c>
      <c r="E1791" s="4">
        <v>45503</v>
      </c>
      <c r="F1791" s="4">
        <v>45505</v>
      </c>
      <c r="G1791" s="3" t="s">
        <v>28</v>
      </c>
      <c r="H1791" s="3" t="s">
        <v>35</v>
      </c>
      <c r="I1791" s="3" t="s">
        <v>22</v>
      </c>
      <c r="J1791" s="3" t="s">
        <v>23</v>
      </c>
      <c r="K1791" s="3">
        <v>26</v>
      </c>
      <c r="L1791" s="3">
        <v>2</v>
      </c>
      <c r="M1791" s="3">
        <v>7227</v>
      </c>
      <c r="N1791" s="3">
        <v>14454</v>
      </c>
      <c r="O1791" s="3">
        <v>0</v>
      </c>
      <c r="P1791" s="3" t="s">
        <v>24</v>
      </c>
      <c r="Q1791" s="3">
        <v>1</v>
      </c>
      <c r="R1791" s="3" t="str">
        <f t="shared" si="27"/>
        <v>Cancelled</v>
      </c>
      <c r="S1791" s="3" t="s">
        <v>25</v>
      </c>
    </row>
    <row r="1792" spans="1:19" x14ac:dyDescent="0.35">
      <c r="A1792" s="3">
        <v>2791</v>
      </c>
      <c r="B1792" s="3" t="s">
        <v>1119</v>
      </c>
      <c r="C1792" s="4">
        <v>45509</v>
      </c>
      <c r="D1792" s="3" t="s">
        <v>148</v>
      </c>
      <c r="E1792" s="4">
        <v>45556</v>
      </c>
      <c r="F1792" s="4">
        <v>45557</v>
      </c>
      <c r="G1792" s="3" t="s">
        <v>34</v>
      </c>
      <c r="H1792" s="3" t="s">
        <v>38</v>
      </c>
      <c r="I1792" s="3" t="s">
        <v>22</v>
      </c>
      <c r="J1792" s="3" t="s">
        <v>46</v>
      </c>
      <c r="K1792" s="3">
        <v>47</v>
      </c>
      <c r="L1792" s="3">
        <v>1</v>
      </c>
      <c r="M1792" s="3">
        <v>3863</v>
      </c>
      <c r="N1792" s="3">
        <v>3863</v>
      </c>
      <c r="O1792" s="3">
        <v>0</v>
      </c>
      <c r="P1792" s="3" t="s">
        <v>51</v>
      </c>
      <c r="Q1792" s="3">
        <v>1</v>
      </c>
      <c r="R1792" s="3" t="str">
        <f t="shared" si="27"/>
        <v>Cancelled</v>
      </c>
      <c r="S1792" s="3" t="s">
        <v>31</v>
      </c>
    </row>
    <row r="1793" spans="1:19" x14ac:dyDescent="0.35">
      <c r="A1793" s="3">
        <v>2792</v>
      </c>
      <c r="B1793" s="3" t="s">
        <v>404</v>
      </c>
      <c r="C1793" s="4">
        <v>45607</v>
      </c>
      <c r="D1793" s="3" t="s">
        <v>128</v>
      </c>
      <c r="E1793" s="4">
        <v>45641</v>
      </c>
      <c r="F1793" s="4">
        <v>45646</v>
      </c>
      <c r="G1793" s="3" t="s">
        <v>45</v>
      </c>
      <c r="H1793" s="3" t="s">
        <v>21</v>
      </c>
      <c r="I1793" s="3" t="s">
        <v>39</v>
      </c>
      <c r="J1793" s="3" t="s">
        <v>30</v>
      </c>
      <c r="K1793" s="3">
        <v>34</v>
      </c>
      <c r="L1793" s="3">
        <v>5</v>
      </c>
      <c r="M1793" s="3">
        <v>7008</v>
      </c>
      <c r="N1793" s="3">
        <v>35040</v>
      </c>
      <c r="O1793" s="3">
        <v>0</v>
      </c>
      <c r="P1793" s="3" t="s">
        <v>24</v>
      </c>
      <c r="Q1793" s="3">
        <v>1</v>
      </c>
      <c r="R1793" s="3" t="str">
        <f t="shared" si="27"/>
        <v>Cancelled</v>
      </c>
      <c r="S1793" s="3" t="s">
        <v>31</v>
      </c>
    </row>
    <row r="1794" spans="1:19" x14ac:dyDescent="0.35">
      <c r="A1794" s="3">
        <v>2793</v>
      </c>
      <c r="B1794" s="3" t="s">
        <v>1120</v>
      </c>
      <c r="C1794" s="4">
        <v>45508</v>
      </c>
      <c r="D1794" s="3" t="s">
        <v>111</v>
      </c>
      <c r="E1794" s="4">
        <v>45531</v>
      </c>
      <c r="F1794" s="4">
        <v>45532</v>
      </c>
      <c r="G1794" s="3" t="s">
        <v>34</v>
      </c>
      <c r="H1794" s="3" t="s">
        <v>29</v>
      </c>
      <c r="I1794" s="3" t="s">
        <v>39</v>
      </c>
      <c r="J1794" s="3" t="s">
        <v>30</v>
      </c>
      <c r="K1794" s="3">
        <v>23</v>
      </c>
      <c r="L1794" s="3">
        <v>1</v>
      </c>
      <c r="M1794" s="3">
        <v>4255</v>
      </c>
      <c r="N1794" s="3">
        <v>4255</v>
      </c>
      <c r="O1794" s="3">
        <v>4255</v>
      </c>
      <c r="P1794" s="3" t="s">
        <v>51</v>
      </c>
      <c r="Q1794" s="3">
        <v>0</v>
      </c>
      <c r="R1794" s="3" t="str">
        <f t="shared" si="27"/>
        <v>Not Cancelled</v>
      </c>
      <c r="S1794" s="3" t="s">
        <v>25</v>
      </c>
    </row>
    <row r="1795" spans="1:19" x14ac:dyDescent="0.35">
      <c r="A1795" s="3">
        <v>2794</v>
      </c>
      <c r="B1795" s="3" t="s">
        <v>723</v>
      </c>
      <c r="C1795" s="4">
        <v>45411</v>
      </c>
      <c r="D1795" s="3" t="s">
        <v>48</v>
      </c>
      <c r="E1795" s="4">
        <v>45442</v>
      </c>
      <c r="F1795" s="4">
        <v>45447</v>
      </c>
      <c r="G1795" s="3" t="s">
        <v>45</v>
      </c>
      <c r="H1795" s="3" t="s">
        <v>21</v>
      </c>
      <c r="I1795" s="3" t="s">
        <v>22</v>
      </c>
      <c r="J1795" s="3" t="s">
        <v>30</v>
      </c>
      <c r="K1795" s="3">
        <v>31</v>
      </c>
      <c r="L1795" s="3">
        <v>5</v>
      </c>
      <c r="M1795" s="3">
        <v>3019</v>
      </c>
      <c r="N1795" s="3">
        <v>15095</v>
      </c>
      <c r="O1795" s="3">
        <v>0</v>
      </c>
      <c r="P1795" s="3" t="s">
        <v>24</v>
      </c>
      <c r="Q1795" s="3">
        <v>1</v>
      </c>
      <c r="R1795" s="3" t="str">
        <f t="shared" ref="R1795:R1858" si="28">IF(Q1795=0,"Not Cancelled","Cancelled")</f>
        <v>Cancelled</v>
      </c>
      <c r="S1795" s="3" t="s">
        <v>25</v>
      </c>
    </row>
    <row r="1796" spans="1:19" x14ac:dyDescent="0.35">
      <c r="A1796" s="3">
        <v>2795</v>
      </c>
      <c r="B1796" s="3" t="s">
        <v>494</v>
      </c>
      <c r="C1796" s="4">
        <v>45466</v>
      </c>
      <c r="D1796" s="3" t="s">
        <v>78</v>
      </c>
      <c r="E1796" s="4">
        <v>45516</v>
      </c>
      <c r="F1796" s="4">
        <v>45519</v>
      </c>
      <c r="G1796" s="3" t="s">
        <v>20</v>
      </c>
      <c r="H1796" s="3" t="s">
        <v>21</v>
      </c>
      <c r="I1796" s="3" t="s">
        <v>22</v>
      </c>
      <c r="J1796" s="3" t="s">
        <v>23</v>
      </c>
      <c r="K1796" s="3">
        <v>50</v>
      </c>
      <c r="L1796" s="3">
        <v>3</v>
      </c>
      <c r="M1796" s="3">
        <v>7963</v>
      </c>
      <c r="N1796" s="3">
        <v>23889</v>
      </c>
      <c r="O1796" s="3">
        <v>0</v>
      </c>
      <c r="P1796" s="3" t="s">
        <v>24</v>
      </c>
      <c r="Q1796" s="3">
        <v>1</v>
      </c>
      <c r="R1796" s="3" t="str">
        <f t="shared" si="28"/>
        <v>Cancelled</v>
      </c>
      <c r="S1796" s="3" t="s">
        <v>25</v>
      </c>
    </row>
    <row r="1797" spans="1:19" x14ac:dyDescent="0.35">
      <c r="A1797" s="3">
        <v>2796</v>
      </c>
      <c r="B1797" s="3" t="s">
        <v>517</v>
      </c>
      <c r="C1797" s="4">
        <v>45314</v>
      </c>
      <c r="D1797" s="3" t="s">
        <v>157</v>
      </c>
      <c r="E1797" s="4">
        <v>45334</v>
      </c>
      <c r="F1797" s="4">
        <v>45335</v>
      </c>
      <c r="G1797" s="3" t="s">
        <v>34</v>
      </c>
      <c r="H1797" s="3" t="s">
        <v>60</v>
      </c>
      <c r="I1797" s="3" t="s">
        <v>22</v>
      </c>
      <c r="J1797" s="3" t="s">
        <v>46</v>
      </c>
      <c r="K1797" s="3">
        <v>20</v>
      </c>
      <c r="L1797" s="3">
        <v>1</v>
      </c>
      <c r="M1797" s="3">
        <v>6044</v>
      </c>
      <c r="N1797" s="3">
        <v>6044</v>
      </c>
      <c r="O1797" s="3">
        <v>6044</v>
      </c>
      <c r="P1797" s="3" t="s">
        <v>24</v>
      </c>
      <c r="Q1797" s="3">
        <v>0</v>
      </c>
      <c r="R1797" s="3" t="str">
        <f t="shared" si="28"/>
        <v>Not Cancelled</v>
      </c>
      <c r="S1797" s="3" t="s">
        <v>25</v>
      </c>
    </row>
    <row r="1798" spans="1:19" x14ac:dyDescent="0.35">
      <c r="A1798" s="3">
        <v>2797</v>
      </c>
      <c r="B1798" s="3" t="s">
        <v>340</v>
      </c>
      <c r="C1798" s="4">
        <v>45504</v>
      </c>
      <c r="D1798" s="3" t="s">
        <v>102</v>
      </c>
      <c r="E1798" s="4">
        <v>45516</v>
      </c>
      <c r="F1798" s="4">
        <v>45520</v>
      </c>
      <c r="G1798" s="3" t="s">
        <v>42</v>
      </c>
      <c r="H1798" s="3" t="s">
        <v>35</v>
      </c>
      <c r="I1798" s="3" t="s">
        <v>22</v>
      </c>
      <c r="J1798" s="3" t="s">
        <v>30</v>
      </c>
      <c r="K1798" s="3">
        <v>12</v>
      </c>
      <c r="L1798" s="3">
        <v>4</v>
      </c>
      <c r="M1798" s="3">
        <v>4822</v>
      </c>
      <c r="N1798" s="3">
        <v>19288</v>
      </c>
      <c r="O1798" s="3">
        <v>19288</v>
      </c>
      <c r="P1798" s="3" t="s">
        <v>24</v>
      </c>
      <c r="Q1798" s="3">
        <v>0</v>
      </c>
      <c r="R1798" s="3" t="str">
        <f t="shared" si="28"/>
        <v>Not Cancelled</v>
      </c>
      <c r="S1798" s="3" t="s">
        <v>31</v>
      </c>
    </row>
    <row r="1799" spans="1:19" x14ac:dyDescent="0.35">
      <c r="A1799" s="3">
        <v>2798</v>
      </c>
      <c r="B1799" s="3" t="s">
        <v>532</v>
      </c>
      <c r="C1799" s="4">
        <v>45526</v>
      </c>
      <c r="D1799" s="3" t="s">
        <v>111</v>
      </c>
      <c r="E1799" s="4">
        <v>45549</v>
      </c>
      <c r="F1799" s="4">
        <v>45551</v>
      </c>
      <c r="G1799" s="3" t="s">
        <v>28</v>
      </c>
      <c r="H1799" s="3" t="s">
        <v>29</v>
      </c>
      <c r="I1799" s="3" t="s">
        <v>39</v>
      </c>
      <c r="J1799" s="3" t="s">
        <v>23</v>
      </c>
      <c r="K1799" s="3">
        <v>23</v>
      </c>
      <c r="L1799" s="3">
        <v>2</v>
      </c>
      <c r="M1799" s="3">
        <v>8996</v>
      </c>
      <c r="N1799" s="3">
        <v>17992</v>
      </c>
      <c r="O1799" s="3">
        <v>17992</v>
      </c>
      <c r="P1799" s="3" t="s">
        <v>24</v>
      </c>
      <c r="Q1799" s="3">
        <v>0</v>
      </c>
      <c r="R1799" s="3" t="str">
        <f t="shared" si="28"/>
        <v>Not Cancelled</v>
      </c>
      <c r="S1799" s="3" t="s">
        <v>25</v>
      </c>
    </row>
    <row r="1800" spans="1:19" x14ac:dyDescent="0.35">
      <c r="A1800" s="3">
        <v>2799</v>
      </c>
      <c r="B1800" s="3" t="s">
        <v>617</v>
      </c>
      <c r="C1800" s="4">
        <v>45304</v>
      </c>
      <c r="D1800" s="3" t="s">
        <v>42</v>
      </c>
      <c r="E1800" s="4">
        <v>45308</v>
      </c>
      <c r="F1800" s="4">
        <v>45312</v>
      </c>
      <c r="G1800" s="3" t="s">
        <v>42</v>
      </c>
      <c r="H1800" s="3" t="s">
        <v>38</v>
      </c>
      <c r="I1800" s="3" t="s">
        <v>22</v>
      </c>
      <c r="J1800" s="3" t="s">
        <v>46</v>
      </c>
      <c r="K1800" s="3">
        <v>4</v>
      </c>
      <c r="L1800" s="3">
        <v>4</v>
      </c>
      <c r="M1800" s="3">
        <v>3602</v>
      </c>
      <c r="N1800" s="3">
        <v>14408</v>
      </c>
      <c r="O1800" s="3">
        <v>14408</v>
      </c>
      <c r="P1800" s="3" t="s">
        <v>51</v>
      </c>
      <c r="Q1800" s="3">
        <v>0</v>
      </c>
      <c r="R1800" s="3" t="str">
        <f t="shared" si="28"/>
        <v>Not Cancelled</v>
      </c>
      <c r="S1800" s="3" t="s">
        <v>25</v>
      </c>
    </row>
    <row r="1801" spans="1:19" x14ac:dyDescent="0.35">
      <c r="A1801" s="3">
        <v>2800</v>
      </c>
      <c r="B1801" s="3" t="s">
        <v>36</v>
      </c>
      <c r="C1801" s="4">
        <v>45392</v>
      </c>
      <c r="D1801" s="3" t="s">
        <v>111</v>
      </c>
      <c r="E1801" s="4">
        <v>45415</v>
      </c>
      <c r="F1801" s="4">
        <v>45417</v>
      </c>
      <c r="G1801" s="3" t="s">
        <v>28</v>
      </c>
      <c r="H1801" s="3" t="s">
        <v>60</v>
      </c>
      <c r="I1801" s="3" t="s">
        <v>22</v>
      </c>
      <c r="J1801" s="3" t="s">
        <v>30</v>
      </c>
      <c r="K1801" s="3">
        <v>23</v>
      </c>
      <c r="L1801" s="3">
        <v>2</v>
      </c>
      <c r="M1801" s="3">
        <v>3097</v>
      </c>
      <c r="N1801" s="3">
        <v>6194</v>
      </c>
      <c r="O1801" s="3">
        <v>0</v>
      </c>
      <c r="P1801" s="3" t="s">
        <v>24</v>
      </c>
      <c r="Q1801" s="3">
        <v>1</v>
      </c>
      <c r="R1801" s="3" t="str">
        <f t="shared" si="28"/>
        <v>Cancelled</v>
      </c>
      <c r="S1801" s="3" t="s">
        <v>25</v>
      </c>
    </row>
    <row r="1802" spans="1:19" x14ac:dyDescent="0.35">
      <c r="A1802" s="3">
        <v>2801</v>
      </c>
      <c r="B1802" s="3" t="s">
        <v>1121</v>
      </c>
      <c r="C1802" s="4">
        <v>45315</v>
      </c>
      <c r="D1802" s="3" t="s">
        <v>73</v>
      </c>
      <c r="E1802" s="4">
        <v>45363</v>
      </c>
      <c r="F1802" s="4">
        <v>45364</v>
      </c>
      <c r="G1802" s="3" t="s">
        <v>34</v>
      </c>
      <c r="H1802" s="3" t="s">
        <v>35</v>
      </c>
      <c r="I1802" s="3" t="s">
        <v>22</v>
      </c>
      <c r="J1802" s="3" t="s">
        <v>30</v>
      </c>
      <c r="K1802" s="3">
        <v>48</v>
      </c>
      <c r="L1802" s="3">
        <v>1</v>
      </c>
      <c r="M1802" s="3">
        <v>8255</v>
      </c>
      <c r="N1802" s="3">
        <v>8255</v>
      </c>
      <c r="O1802" s="3">
        <v>0</v>
      </c>
      <c r="P1802" s="3" t="s">
        <v>51</v>
      </c>
      <c r="Q1802" s="3">
        <v>1</v>
      </c>
      <c r="R1802" s="3" t="str">
        <f t="shared" si="28"/>
        <v>Cancelled</v>
      </c>
      <c r="S1802" s="3" t="s">
        <v>31</v>
      </c>
    </row>
    <row r="1803" spans="1:19" x14ac:dyDescent="0.35">
      <c r="A1803" s="3">
        <v>2802</v>
      </c>
      <c r="B1803" s="3" t="s">
        <v>735</v>
      </c>
      <c r="C1803" s="4">
        <v>45655</v>
      </c>
      <c r="D1803" s="3" t="s">
        <v>113</v>
      </c>
      <c r="E1803" s="4">
        <v>45710</v>
      </c>
      <c r="F1803" s="4">
        <v>45711</v>
      </c>
      <c r="G1803" s="3" t="s">
        <v>34</v>
      </c>
      <c r="H1803" s="3" t="s">
        <v>29</v>
      </c>
      <c r="I1803" s="3" t="s">
        <v>22</v>
      </c>
      <c r="J1803" s="3" t="s">
        <v>46</v>
      </c>
      <c r="K1803" s="3">
        <v>55</v>
      </c>
      <c r="L1803" s="3">
        <v>1</v>
      </c>
      <c r="M1803" s="3">
        <v>5773</v>
      </c>
      <c r="N1803" s="3">
        <v>5773</v>
      </c>
      <c r="O1803" s="3">
        <v>0</v>
      </c>
      <c r="P1803" s="3" t="s">
        <v>24</v>
      </c>
      <c r="Q1803" s="3">
        <v>1</v>
      </c>
      <c r="R1803" s="3" t="str">
        <f t="shared" si="28"/>
        <v>Cancelled</v>
      </c>
      <c r="S1803" s="3" t="s">
        <v>25</v>
      </c>
    </row>
    <row r="1804" spans="1:19" x14ac:dyDescent="0.35">
      <c r="A1804" s="3">
        <v>2803</v>
      </c>
      <c r="B1804" s="3" t="s">
        <v>874</v>
      </c>
      <c r="C1804" s="4">
        <v>45302</v>
      </c>
      <c r="D1804" s="3" t="s">
        <v>73</v>
      </c>
      <c r="E1804" s="4">
        <v>45350</v>
      </c>
      <c r="F1804" s="4">
        <v>45352</v>
      </c>
      <c r="G1804" s="3" t="s">
        <v>28</v>
      </c>
      <c r="H1804" s="3" t="s">
        <v>21</v>
      </c>
      <c r="I1804" s="3" t="s">
        <v>39</v>
      </c>
      <c r="J1804" s="3" t="s">
        <v>23</v>
      </c>
      <c r="K1804" s="3">
        <v>48</v>
      </c>
      <c r="L1804" s="3">
        <v>2</v>
      </c>
      <c r="M1804" s="3">
        <v>6549</v>
      </c>
      <c r="N1804" s="3">
        <v>13098</v>
      </c>
      <c r="O1804" s="3">
        <v>0</v>
      </c>
      <c r="P1804" s="3" t="s">
        <v>24</v>
      </c>
      <c r="Q1804" s="3">
        <v>1</v>
      </c>
      <c r="R1804" s="3" t="str">
        <f t="shared" si="28"/>
        <v>Cancelled</v>
      </c>
      <c r="S1804" s="3" t="s">
        <v>31</v>
      </c>
    </row>
    <row r="1805" spans="1:19" x14ac:dyDescent="0.35">
      <c r="A1805" s="3">
        <v>2804</v>
      </c>
      <c r="B1805" s="3" t="s">
        <v>546</v>
      </c>
      <c r="C1805" s="4">
        <v>45564</v>
      </c>
      <c r="D1805" s="3" t="s">
        <v>34</v>
      </c>
      <c r="E1805" s="4">
        <v>45565</v>
      </c>
      <c r="F1805" s="4">
        <v>45568</v>
      </c>
      <c r="G1805" s="3" t="s">
        <v>20</v>
      </c>
      <c r="H1805" s="3" t="s">
        <v>35</v>
      </c>
      <c r="I1805" s="3" t="s">
        <v>39</v>
      </c>
      <c r="J1805" s="3" t="s">
        <v>23</v>
      </c>
      <c r="K1805" s="3">
        <v>1</v>
      </c>
      <c r="L1805" s="3">
        <v>3</v>
      </c>
      <c r="M1805" s="3">
        <v>8281</v>
      </c>
      <c r="N1805" s="3">
        <v>24843</v>
      </c>
      <c r="O1805" s="3">
        <v>0</v>
      </c>
      <c r="P1805" s="3" t="s">
        <v>24</v>
      </c>
      <c r="Q1805" s="3">
        <v>1</v>
      </c>
      <c r="R1805" s="3" t="str">
        <f t="shared" si="28"/>
        <v>Cancelled</v>
      </c>
      <c r="S1805" s="3" t="s">
        <v>25</v>
      </c>
    </row>
    <row r="1806" spans="1:19" x14ac:dyDescent="0.35">
      <c r="A1806" s="3">
        <v>2805</v>
      </c>
      <c r="B1806" s="3" t="s">
        <v>304</v>
      </c>
      <c r="C1806" s="4">
        <v>45572</v>
      </c>
      <c r="D1806" s="3" t="s">
        <v>117</v>
      </c>
      <c r="E1806" s="4">
        <v>45626</v>
      </c>
      <c r="F1806" s="4">
        <v>45631</v>
      </c>
      <c r="G1806" s="3" t="s">
        <v>45</v>
      </c>
      <c r="H1806" s="3" t="s">
        <v>35</v>
      </c>
      <c r="I1806" s="3" t="s">
        <v>22</v>
      </c>
      <c r="J1806" s="3" t="s">
        <v>30</v>
      </c>
      <c r="K1806" s="3">
        <v>54</v>
      </c>
      <c r="L1806" s="3">
        <v>5</v>
      </c>
      <c r="M1806" s="3">
        <v>5105</v>
      </c>
      <c r="N1806" s="3">
        <v>25525</v>
      </c>
      <c r="O1806" s="3">
        <v>0</v>
      </c>
      <c r="P1806" s="3" t="s">
        <v>51</v>
      </c>
      <c r="Q1806" s="3">
        <v>1</v>
      </c>
      <c r="R1806" s="3" t="str">
        <f t="shared" si="28"/>
        <v>Cancelled</v>
      </c>
      <c r="S1806" s="3" t="s">
        <v>31</v>
      </c>
    </row>
    <row r="1807" spans="1:19" x14ac:dyDescent="0.35">
      <c r="A1807" s="3">
        <v>2806</v>
      </c>
      <c r="B1807" s="3" t="s">
        <v>293</v>
      </c>
      <c r="C1807" s="4">
        <v>45385</v>
      </c>
      <c r="D1807" s="3" t="s">
        <v>107</v>
      </c>
      <c r="E1807" s="4">
        <v>45410</v>
      </c>
      <c r="F1807" s="4">
        <v>45414</v>
      </c>
      <c r="G1807" s="3" t="s">
        <v>42</v>
      </c>
      <c r="H1807" s="3" t="s">
        <v>35</v>
      </c>
      <c r="I1807" s="3" t="s">
        <v>39</v>
      </c>
      <c r="J1807" s="3" t="s">
        <v>46</v>
      </c>
      <c r="K1807" s="3">
        <v>25</v>
      </c>
      <c r="L1807" s="3">
        <v>4</v>
      </c>
      <c r="M1807" s="3">
        <v>8756</v>
      </c>
      <c r="N1807" s="3">
        <v>35024</v>
      </c>
      <c r="O1807" s="3">
        <v>35024</v>
      </c>
      <c r="P1807" s="3" t="s">
        <v>24</v>
      </c>
      <c r="Q1807" s="3">
        <v>0</v>
      </c>
      <c r="R1807" s="3" t="str">
        <f t="shared" si="28"/>
        <v>Not Cancelled</v>
      </c>
      <c r="S1807" s="3" t="s">
        <v>25</v>
      </c>
    </row>
    <row r="1808" spans="1:19" x14ac:dyDescent="0.35">
      <c r="A1808" s="3">
        <v>2807</v>
      </c>
      <c r="B1808" s="3" t="s">
        <v>1122</v>
      </c>
      <c r="C1808" s="4">
        <v>45492</v>
      </c>
      <c r="D1808" s="3" t="s">
        <v>28</v>
      </c>
      <c r="E1808" s="4">
        <v>45494</v>
      </c>
      <c r="F1808" s="4">
        <v>45498</v>
      </c>
      <c r="G1808" s="3" t="s">
        <v>42</v>
      </c>
      <c r="H1808" s="3" t="s">
        <v>21</v>
      </c>
      <c r="I1808" s="3" t="s">
        <v>39</v>
      </c>
      <c r="J1808" s="3" t="s">
        <v>23</v>
      </c>
      <c r="K1808" s="3">
        <v>2</v>
      </c>
      <c r="L1808" s="3">
        <v>4</v>
      </c>
      <c r="M1808" s="3">
        <v>4688</v>
      </c>
      <c r="N1808" s="3">
        <v>18752</v>
      </c>
      <c r="O1808" s="3">
        <v>0</v>
      </c>
      <c r="P1808" s="3" t="s">
        <v>51</v>
      </c>
      <c r="Q1808" s="3">
        <v>1</v>
      </c>
      <c r="R1808" s="3" t="str">
        <f t="shared" si="28"/>
        <v>Cancelled</v>
      </c>
      <c r="S1808" s="3" t="s">
        <v>25</v>
      </c>
    </row>
    <row r="1809" spans="1:19" x14ac:dyDescent="0.35">
      <c r="A1809" s="3">
        <v>2808</v>
      </c>
      <c r="B1809" s="3" t="s">
        <v>924</v>
      </c>
      <c r="C1809" s="4">
        <v>45312</v>
      </c>
      <c r="D1809" s="3" t="s">
        <v>50</v>
      </c>
      <c r="E1809" s="4">
        <v>45342</v>
      </c>
      <c r="F1809" s="4">
        <v>45346</v>
      </c>
      <c r="G1809" s="3" t="s">
        <v>42</v>
      </c>
      <c r="H1809" s="3" t="s">
        <v>38</v>
      </c>
      <c r="I1809" s="3" t="s">
        <v>22</v>
      </c>
      <c r="J1809" s="3" t="s">
        <v>46</v>
      </c>
      <c r="K1809" s="3">
        <v>30</v>
      </c>
      <c r="L1809" s="3">
        <v>4</v>
      </c>
      <c r="M1809" s="3">
        <v>8520</v>
      </c>
      <c r="N1809" s="3">
        <v>34080</v>
      </c>
      <c r="O1809" s="3">
        <v>34080</v>
      </c>
      <c r="P1809" s="3" t="s">
        <v>24</v>
      </c>
      <c r="Q1809" s="3">
        <v>0</v>
      </c>
      <c r="R1809" s="3" t="str">
        <f t="shared" si="28"/>
        <v>Not Cancelled</v>
      </c>
      <c r="S1809" s="3" t="s">
        <v>31</v>
      </c>
    </row>
    <row r="1810" spans="1:19" x14ac:dyDescent="0.35">
      <c r="A1810" s="3">
        <v>2809</v>
      </c>
      <c r="B1810" s="3" t="s">
        <v>369</v>
      </c>
      <c r="C1810" s="4">
        <v>45631</v>
      </c>
      <c r="D1810" s="3" t="s">
        <v>20</v>
      </c>
      <c r="E1810" s="4">
        <v>45634</v>
      </c>
      <c r="F1810" s="4">
        <v>45635</v>
      </c>
      <c r="G1810" s="3" t="s">
        <v>34</v>
      </c>
      <c r="H1810" s="3" t="s">
        <v>60</v>
      </c>
      <c r="I1810" s="3" t="s">
        <v>22</v>
      </c>
      <c r="J1810" s="3" t="s">
        <v>46</v>
      </c>
      <c r="K1810" s="3">
        <v>3</v>
      </c>
      <c r="L1810" s="3">
        <v>1</v>
      </c>
      <c r="M1810" s="3">
        <v>7325</v>
      </c>
      <c r="N1810" s="3">
        <v>7325</v>
      </c>
      <c r="O1810" s="3">
        <v>7325</v>
      </c>
      <c r="P1810" s="3" t="s">
        <v>51</v>
      </c>
      <c r="Q1810" s="3">
        <v>0</v>
      </c>
      <c r="R1810" s="3" t="str">
        <f t="shared" si="28"/>
        <v>Not Cancelled</v>
      </c>
      <c r="S1810" s="3" t="s">
        <v>25</v>
      </c>
    </row>
    <row r="1811" spans="1:19" x14ac:dyDescent="0.35">
      <c r="A1811" s="3">
        <v>2810</v>
      </c>
      <c r="B1811" s="3" t="s">
        <v>56</v>
      </c>
      <c r="C1811" s="4">
        <v>45502</v>
      </c>
      <c r="D1811" s="3" t="s">
        <v>237</v>
      </c>
      <c r="E1811" s="4">
        <v>45560</v>
      </c>
      <c r="F1811" s="4">
        <v>45564</v>
      </c>
      <c r="G1811" s="3" t="s">
        <v>42</v>
      </c>
      <c r="H1811" s="3" t="s">
        <v>38</v>
      </c>
      <c r="I1811" s="3" t="s">
        <v>39</v>
      </c>
      <c r="J1811" s="3" t="s">
        <v>30</v>
      </c>
      <c r="K1811" s="3">
        <v>58</v>
      </c>
      <c r="L1811" s="3">
        <v>4</v>
      </c>
      <c r="M1811" s="3">
        <v>3088</v>
      </c>
      <c r="N1811" s="3">
        <v>12352</v>
      </c>
      <c r="O1811" s="3">
        <v>0</v>
      </c>
      <c r="P1811" s="3" t="s">
        <v>51</v>
      </c>
      <c r="Q1811" s="3">
        <v>1</v>
      </c>
      <c r="R1811" s="3" t="str">
        <f t="shared" si="28"/>
        <v>Cancelled</v>
      </c>
      <c r="S1811" s="3" t="s">
        <v>25</v>
      </c>
    </row>
    <row r="1812" spans="1:19" x14ac:dyDescent="0.35">
      <c r="A1812" s="3">
        <v>2811</v>
      </c>
      <c r="B1812" s="3" t="s">
        <v>538</v>
      </c>
      <c r="C1812" s="4">
        <v>45431</v>
      </c>
      <c r="D1812" s="3" t="s">
        <v>175</v>
      </c>
      <c r="E1812" s="4">
        <v>45452</v>
      </c>
      <c r="F1812" s="4">
        <v>45457</v>
      </c>
      <c r="G1812" s="3" t="s">
        <v>45</v>
      </c>
      <c r="H1812" s="3" t="s">
        <v>29</v>
      </c>
      <c r="I1812" s="3" t="s">
        <v>39</v>
      </c>
      <c r="J1812" s="3" t="s">
        <v>46</v>
      </c>
      <c r="K1812" s="3">
        <v>21</v>
      </c>
      <c r="L1812" s="3">
        <v>5</v>
      </c>
      <c r="M1812" s="3">
        <v>6972</v>
      </c>
      <c r="N1812" s="3">
        <v>34860</v>
      </c>
      <c r="O1812" s="3">
        <v>34860</v>
      </c>
      <c r="P1812" s="3" t="s">
        <v>51</v>
      </c>
      <c r="Q1812" s="3">
        <v>0</v>
      </c>
      <c r="R1812" s="3" t="str">
        <f t="shared" si="28"/>
        <v>Not Cancelled</v>
      </c>
      <c r="S1812" s="3" t="s">
        <v>25</v>
      </c>
    </row>
    <row r="1813" spans="1:19" x14ac:dyDescent="0.35">
      <c r="A1813" s="3">
        <v>2812</v>
      </c>
      <c r="B1813" s="3" t="s">
        <v>1123</v>
      </c>
      <c r="C1813" s="4">
        <v>45584</v>
      </c>
      <c r="D1813" s="3" t="s">
        <v>107</v>
      </c>
      <c r="E1813" s="4">
        <v>45609</v>
      </c>
      <c r="F1813" s="4">
        <v>45614</v>
      </c>
      <c r="G1813" s="3" t="s">
        <v>45</v>
      </c>
      <c r="H1813" s="3" t="s">
        <v>60</v>
      </c>
      <c r="I1813" s="3" t="s">
        <v>39</v>
      </c>
      <c r="J1813" s="3" t="s">
        <v>46</v>
      </c>
      <c r="K1813" s="3">
        <v>25</v>
      </c>
      <c r="L1813" s="3">
        <v>5</v>
      </c>
      <c r="M1813" s="3">
        <v>3907</v>
      </c>
      <c r="N1813" s="3">
        <v>19535</v>
      </c>
      <c r="O1813" s="3">
        <v>19535</v>
      </c>
      <c r="P1813" s="3" t="s">
        <v>24</v>
      </c>
      <c r="Q1813" s="3">
        <v>0</v>
      </c>
      <c r="R1813" s="3" t="str">
        <f t="shared" si="28"/>
        <v>Not Cancelled</v>
      </c>
      <c r="S1813" s="3" t="s">
        <v>31</v>
      </c>
    </row>
    <row r="1814" spans="1:19" x14ac:dyDescent="0.35">
      <c r="A1814" s="3">
        <v>2813</v>
      </c>
      <c r="B1814" s="3" t="s">
        <v>90</v>
      </c>
      <c r="C1814" s="4">
        <v>45589</v>
      </c>
      <c r="D1814" s="3" t="s">
        <v>157</v>
      </c>
      <c r="E1814" s="4">
        <v>45609</v>
      </c>
      <c r="F1814" s="4">
        <v>45611</v>
      </c>
      <c r="G1814" s="3" t="s">
        <v>28</v>
      </c>
      <c r="H1814" s="3" t="s">
        <v>29</v>
      </c>
      <c r="I1814" s="3" t="s">
        <v>39</v>
      </c>
      <c r="J1814" s="3" t="s">
        <v>46</v>
      </c>
      <c r="K1814" s="3">
        <v>20</v>
      </c>
      <c r="L1814" s="3">
        <v>2</v>
      </c>
      <c r="M1814" s="3">
        <v>8465</v>
      </c>
      <c r="N1814" s="3">
        <v>16930</v>
      </c>
      <c r="O1814" s="3">
        <v>16930</v>
      </c>
      <c r="P1814" s="3" t="s">
        <v>24</v>
      </c>
      <c r="Q1814" s="3">
        <v>0</v>
      </c>
      <c r="R1814" s="3" t="str">
        <f t="shared" si="28"/>
        <v>Not Cancelled</v>
      </c>
      <c r="S1814" s="3" t="s">
        <v>25</v>
      </c>
    </row>
    <row r="1815" spans="1:19" x14ac:dyDescent="0.35">
      <c r="A1815" s="3">
        <v>2814</v>
      </c>
      <c r="B1815" s="3" t="s">
        <v>1052</v>
      </c>
      <c r="C1815" s="4">
        <v>45392</v>
      </c>
      <c r="D1815" s="3" t="s">
        <v>211</v>
      </c>
      <c r="E1815" s="4">
        <v>45441</v>
      </c>
      <c r="F1815" s="4">
        <v>45442</v>
      </c>
      <c r="G1815" s="3" t="s">
        <v>34</v>
      </c>
      <c r="H1815" s="3" t="s">
        <v>21</v>
      </c>
      <c r="I1815" s="3" t="s">
        <v>39</v>
      </c>
      <c r="J1815" s="3" t="s">
        <v>23</v>
      </c>
      <c r="K1815" s="3">
        <v>49</v>
      </c>
      <c r="L1815" s="3">
        <v>1</v>
      </c>
      <c r="M1815" s="3">
        <v>7346</v>
      </c>
      <c r="N1815" s="3">
        <v>7346</v>
      </c>
      <c r="O1815" s="3">
        <v>0</v>
      </c>
      <c r="P1815" s="3" t="s">
        <v>51</v>
      </c>
      <c r="Q1815" s="3">
        <v>1</v>
      </c>
      <c r="R1815" s="3" t="str">
        <f t="shared" si="28"/>
        <v>Cancelled</v>
      </c>
      <c r="S1815" s="3" t="s">
        <v>31</v>
      </c>
    </row>
    <row r="1816" spans="1:19" x14ac:dyDescent="0.35">
      <c r="A1816" s="3">
        <v>2815</v>
      </c>
      <c r="B1816" s="3" t="s">
        <v>1108</v>
      </c>
      <c r="C1816" s="4">
        <v>45595</v>
      </c>
      <c r="D1816" s="3" t="s">
        <v>226</v>
      </c>
      <c r="E1816" s="4">
        <v>45647</v>
      </c>
      <c r="F1816" s="4">
        <v>45652</v>
      </c>
      <c r="G1816" s="3" t="s">
        <v>45</v>
      </c>
      <c r="H1816" s="3" t="s">
        <v>38</v>
      </c>
      <c r="I1816" s="3" t="s">
        <v>22</v>
      </c>
      <c r="J1816" s="3" t="s">
        <v>30</v>
      </c>
      <c r="K1816" s="3">
        <v>52</v>
      </c>
      <c r="L1816" s="3">
        <v>5</v>
      </c>
      <c r="M1816" s="3">
        <v>7222</v>
      </c>
      <c r="N1816" s="3">
        <v>36110</v>
      </c>
      <c r="O1816" s="3">
        <v>0</v>
      </c>
      <c r="P1816" s="3" t="s">
        <v>24</v>
      </c>
      <c r="Q1816" s="3">
        <v>1</v>
      </c>
      <c r="R1816" s="3" t="str">
        <f t="shared" si="28"/>
        <v>Cancelled</v>
      </c>
      <c r="S1816" s="3" t="s">
        <v>31</v>
      </c>
    </row>
    <row r="1817" spans="1:19" x14ac:dyDescent="0.35">
      <c r="A1817" s="3">
        <v>2816</v>
      </c>
      <c r="B1817" s="3" t="s">
        <v>118</v>
      </c>
      <c r="C1817" s="4">
        <v>45650</v>
      </c>
      <c r="D1817" s="3" t="s">
        <v>19</v>
      </c>
      <c r="E1817" s="4">
        <v>45672</v>
      </c>
      <c r="F1817" s="4">
        <v>45675</v>
      </c>
      <c r="G1817" s="3" t="s">
        <v>20</v>
      </c>
      <c r="H1817" s="3" t="s">
        <v>35</v>
      </c>
      <c r="I1817" s="3" t="s">
        <v>39</v>
      </c>
      <c r="J1817" s="3" t="s">
        <v>30</v>
      </c>
      <c r="K1817" s="3">
        <v>22</v>
      </c>
      <c r="L1817" s="3">
        <v>3</v>
      </c>
      <c r="M1817" s="3">
        <v>5890</v>
      </c>
      <c r="N1817" s="3">
        <v>17670</v>
      </c>
      <c r="O1817" s="3">
        <v>17670</v>
      </c>
      <c r="P1817" s="3" t="s">
        <v>24</v>
      </c>
      <c r="Q1817" s="3">
        <v>0</v>
      </c>
      <c r="R1817" s="3" t="str">
        <f t="shared" si="28"/>
        <v>Not Cancelled</v>
      </c>
      <c r="S1817" s="3" t="s">
        <v>31</v>
      </c>
    </row>
    <row r="1818" spans="1:19" x14ac:dyDescent="0.35">
      <c r="A1818" s="3">
        <v>2817</v>
      </c>
      <c r="B1818" s="3" t="s">
        <v>779</v>
      </c>
      <c r="C1818" s="4">
        <v>45319</v>
      </c>
      <c r="D1818" s="3" t="s">
        <v>175</v>
      </c>
      <c r="E1818" s="4">
        <v>45340</v>
      </c>
      <c r="F1818" s="4">
        <v>45341</v>
      </c>
      <c r="G1818" s="3" t="s">
        <v>34</v>
      </c>
      <c r="H1818" s="3" t="s">
        <v>60</v>
      </c>
      <c r="I1818" s="3" t="s">
        <v>39</v>
      </c>
      <c r="J1818" s="3" t="s">
        <v>46</v>
      </c>
      <c r="K1818" s="3">
        <v>21</v>
      </c>
      <c r="L1818" s="3">
        <v>1</v>
      </c>
      <c r="M1818" s="3">
        <v>5940</v>
      </c>
      <c r="N1818" s="3">
        <v>5940</v>
      </c>
      <c r="O1818" s="3">
        <v>5940</v>
      </c>
      <c r="P1818" s="3" t="s">
        <v>24</v>
      </c>
      <c r="Q1818" s="3">
        <v>0</v>
      </c>
      <c r="R1818" s="3" t="str">
        <f t="shared" si="28"/>
        <v>Not Cancelled</v>
      </c>
      <c r="S1818" s="3" t="s">
        <v>25</v>
      </c>
    </row>
    <row r="1819" spans="1:19" x14ac:dyDescent="0.35">
      <c r="A1819" s="3">
        <v>2818</v>
      </c>
      <c r="B1819" s="3" t="s">
        <v>664</v>
      </c>
      <c r="C1819" s="4">
        <v>45332</v>
      </c>
      <c r="D1819" s="3" t="s">
        <v>69</v>
      </c>
      <c r="E1819" s="4">
        <v>45365</v>
      </c>
      <c r="F1819" s="4">
        <v>45366</v>
      </c>
      <c r="G1819" s="3" t="s">
        <v>34</v>
      </c>
      <c r="H1819" s="3" t="s">
        <v>35</v>
      </c>
      <c r="I1819" s="3" t="s">
        <v>39</v>
      </c>
      <c r="J1819" s="3" t="s">
        <v>46</v>
      </c>
      <c r="K1819" s="3">
        <v>33</v>
      </c>
      <c r="L1819" s="3">
        <v>1</v>
      </c>
      <c r="M1819" s="3">
        <v>4129</v>
      </c>
      <c r="N1819" s="3">
        <v>4129</v>
      </c>
      <c r="O1819" s="3">
        <v>4129</v>
      </c>
      <c r="P1819" s="3" t="s">
        <v>51</v>
      </c>
      <c r="Q1819" s="3">
        <v>0</v>
      </c>
      <c r="R1819" s="3" t="str">
        <f t="shared" si="28"/>
        <v>Not Cancelled</v>
      </c>
      <c r="S1819" s="3" t="s">
        <v>31</v>
      </c>
    </row>
    <row r="1820" spans="1:19" x14ac:dyDescent="0.35">
      <c r="A1820" s="3">
        <v>2819</v>
      </c>
      <c r="B1820" s="3" t="s">
        <v>1124</v>
      </c>
      <c r="C1820" s="4">
        <v>45646</v>
      </c>
      <c r="D1820" s="3" t="s">
        <v>226</v>
      </c>
      <c r="E1820" s="4">
        <v>45698</v>
      </c>
      <c r="F1820" s="4">
        <v>45703</v>
      </c>
      <c r="G1820" s="3" t="s">
        <v>45</v>
      </c>
      <c r="H1820" s="3" t="s">
        <v>29</v>
      </c>
      <c r="I1820" s="3" t="s">
        <v>39</v>
      </c>
      <c r="J1820" s="3" t="s">
        <v>23</v>
      </c>
      <c r="K1820" s="3">
        <v>52</v>
      </c>
      <c r="L1820" s="3">
        <v>5</v>
      </c>
      <c r="M1820" s="3">
        <v>3494</v>
      </c>
      <c r="N1820" s="3">
        <v>17470</v>
      </c>
      <c r="O1820" s="3">
        <v>0</v>
      </c>
      <c r="P1820" s="3" t="s">
        <v>51</v>
      </c>
      <c r="Q1820" s="3">
        <v>1</v>
      </c>
      <c r="R1820" s="3" t="str">
        <f t="shared" si="28"/>
        <v>Cancelled</v>
      </c>
      <c r="S1820" s="3" t="s">
        <v>31</v>
      </c>
    </row>
    <row r="1821" spans="1:19" x14ac:dyDescent="0.35">
      <c r="A1821" s="3">
        <v>2820</v>
      </c>
      <c r="B1821" s="3" t="s">
        <v>1125</v>
      </c>
      <c r="C1821" s="4">
        <v>45594</v>
      </c>
      <c r="D1821" s="3" t="s">
        <v>115</v>
      </c>
      <c r="E1821" s="4">
        <v>45632</v>
      </c>
      <c r="F1821" s="4">
        <v>45635</v>
      </c>
      <c r="G1821" s="3" t="s">
        <v>20</v>
      </c>
      <c r="H1821" s="3" t="s">
        <v>35</v>
      </c>
      <c r="I1821" s="3" t="s">
        <v>39</v>
      </c>
      <c r="J1821" s="3" t="s">
        <v>30</v>
      </c>
      <c r="K1821" s="3">
        <v>38</v>
      </c>
      <c r="L1821" s="3">
        <v>3</v>
      </c>
      <c r="M1821" s="3">
        <v>8179</v>
      </c>
      <c r="N1821" s="3">
        <v>24537</v>
      </c>
      <c r="O1821" s="3">
        <v>0</v>
      </c>
      <c r="P1821" s="3" t="s">
        <v>24</v>
      </c>
      <c r="Q1821" s="3">
        <v>1</v>
      </c>
      <c r="R1821" s="3" t="str">
        <f t="shared" si="28"/>
        <v>Cancelled</v>
      </c>
      <c r="S1821" s="3" t="s">
        <v>25</v>
      </c>
    </row>
    <row r="1822" spans="1:19" x14ac:dyDescent="0.35">
      <c r="A1822" s="3">
        <v>2821</v>
      </c>
      <c r="B1822" s="3" t="s">
        <v>283</v>
      </c>
      <c r="C1822" s="4">
        <v>45437</v>
      </c>
      <c r="D1822" s="3" t="s">
        <v>277</v>
      </c>
      <c r="E1822" s="4">
        <v>45452</v>
      </c>
      <c r="F1822" s="4">
        <v>45454</v>
      </c>
      <c r="G1822" s="3" t="s">
        <v>28</v>
      </c>
      <c r="H1822" s="3" t="s">
        <v>35</v>
      </c>
      <c r="I1822" s="3" t="s">
        <v>39</v>
      </c>
      <c r="J1822" s="3" t="s">
        <v>23</v>
      </c>
      <c r="K1822" s="3">
        <v>15</v>
      </c>
      <c r="L1822" s="3">
        <v>2</v>
      </c>
      <c r="M1822" s="3">
        <v>7298</v>
      </c>
      <c r="N1822" s="3">
        <v>14596</v>
      </c>
      <c r="O1822" s="3">
        <v>14596</v>
      </c>
      <c r="P1822" s="3" t="s">
        <v>51</v>
      </c>
      <c r="Q1822" s="3">
        <v>0</v>
      </c>
      <c r="R1822" s="3" t="str">
        <f t="shared" si="28"/>
        <v>Not Cancelled</v>
      </c>
      <c r="S1822" s="3" t="s">
        <v>31</v>
      </c>
    </row>
    <row r="1823" spans="1:19" x14ac:dyDescent="0.35">
      <c r="A1823" s="3">
        <v>2822</v>
      </c>
      <c r="B1823" s="3" t="s">
        <v>775</v>
      </c>
      <c r="C1823" s="4">
        <v>45547</v>
      </c>
      <c r="D1823" s="3" t="s">
        <v>237</v>
      </c>
      <c r="E1823" s="4">
        <v>45605</v>
      </c>
      <c r="F1823" s="4">
        <v>45610</v>
      </c>
      <c r="G1823" s="3" t="s">
        <v>45</v>
      </c>
      <c r="H1823" s="3" t="s">
        <v>21</v>
      </c>
      <c r="I1823" s="3" t="s">
        <v>39</v>
      </c>
      <c r="J1823" s="3" t="s">
        <v>30</v>
      </c>
      <c r="K1823" s="3">
        <v>58</v>
      </c>
      <c r="L1823" s="3">
        <v>5</v>
      </c>
      <c r="M1823" s="3">
        <v>4559</v>
      </c>
      <c r="N1823" s="3">
        <v>22795</v>
      </c>
      <c r="O1823" s="3">
        <v>0</v>
      </c>
      <c r="P1823" s="3" t="s">
        <v>24</v>
      </c>
      <c r="Q1823" s="3">
        <v>1</v>
      </c>
      <c r="R1823" s="3" t="str">
        <f t="shared" si="28"/>
        <v>Cancelled</v>
      </c>
      <c r="S1823" s="3" t="s">
        <v>31</v>
      </c>
    </row>
    <row r="1824" spans="1:19" x14ac:dyDescent="0.35">
      <c r="A1824" s="3">
        <v>2823</v>
      </c>
      <c r="B1824" s="3" t="s">
        <v>404</v>
      </c>
      <c r="C1824" s="4">
        <v>45518</v>
      </c>
      <c r="D1824" s="3" t="s">
        <v>237</v>
      </c>
      <c r="E1824" s="4">
        <v>45576</v>
      </c>
      <c r="F1824" s="4">
        <v>45579</v>
      </c>
      <c r="G1824" s="3" t="s">
        <v>20</v>
      </c>
      <c r="H1824" s="3" t="s">
        <v>21</v>
      </c>
      <c r="I1824" s="3" t="s">
        <v>39</v>
      </c>
      <c r="J1824" s="3" t="s">
        <v>23</v>
      </c>
      <c r="K1824" s="3">
        <v>58</v>
      </c>
      <c r="L1824" s="3">
        <v>3</v>
      </c>
      <c r="M1824" s="3">
        <v>7775</v>
      </c>
      <c r="N1824" s="3">
        <v>23325</v>
      </c>
      <c r="O1824" s="3">
        <v>23325</v>
      </c>
      <c r="P1824" s="3" t="s">
        <v>24</v>
      </c>
      <c r="Q1824" s="3">
        <v>0</v>
      </c>
      <c r="R1824" s="3" t="str">
        <f t="shared" si="28"/>
        <v>Not Cancelled</v>
      </c>
      <c r="S1824" s="3" t="s">
        <v>25</v>
      </c>
    </row>
    <row r="1825" spans="1:19" x14ac:dyDescent="0.35">
      <c r="A1825" s="3">
        <v>2824</v>
      </c>
      <c r="B1825" s="3" t="s">
        <v>633</v>
      </c>
      <c r="C1825" s="4">
        <v>45527</v>
      </c>
      <c r="D1825" s="3" t="s">
        <v>41</v>
      </c>
      <c r="E1825" s="4">
        <v>45573</v>
      </c>
      <c r="F1825" s="4">
        <v>45574</v>
      </c>
      <c r="G1825" s="3" t="s">
        <v>34</v>
      </c>
      <c r="H1825" s="3" t="s">
        <v>38</v>
      </c>
      <c r="I1825" s="3" t="s">
        <v>22</v>
      </c>
      <c r="J1825" s="3" t="s">
        <v>46</v>
      </c>
      <c r="K1825" s="3">
        <v>46</v>
      </c>
      <c r="L1825" s="3">
        <v>1</v>
      </c>
      <c r="M1825" s="3">
        <v>7072</v>
      </c>
      <c r="N1825" s="3">
        <v>7072</v>
      </c>
      <c r="O1825" s="3">
        <v>7072</v>
      </c>
      <c r="P1825" s="3" t="s">
        <v>51</v>
      </c>
      <c r="Q1825" s="3">
        <v>0</v>
      </c>
      <c r="R1825" s="3" t="str">
        <f t="shared" si="28"/>
        <v>Not Cancelled</v>
      </c>
      <c r="S1825" s="3" t="s">
        <v>25</v>
      </c>
    </row>
    <row r="1826" spans="1:19" x14ac:dyDescent="0.35">
      <c r="A1826" s="3">
        <v>2825</v>
      </c>
      <c r="B1826" s="3" t="s">
        <v>1126</v>
      </c>
      <c r="C1826" s="4">
        <v>45652</v>
      </c>
      <c r="D1826" s="3" t="s">
        <v>226</v>
      </c>
      <c r="E1826" s="4">
        <v>45704</v>
      </c>
      <c r="F1826" s="4">
        <v>45707</v>
      </c>
      <c r="G1826" s="3" t="s">
        <v>20</v>
      </c>
      <c r="H1826" s="3" t="s">
        <v>29</v>
      </c>
      <c r="I1826" s="3" t="s">
        <v>22</v>
      </c>
      <c r="J1826" s="3" t="s">
        <v>23</v>
      </c>
      <c r="K1826" s="3">
        <v>52</v>
      </c>
      <c r="L1826" s="3">
        <v>3</v>
      </c>
      <c r="M1826" s="3">
        <v>5486</v>
      </c>
      <c r="N1826" s="3">
        <v>16458</v>
      </c>
      <c r="O1826" s="3">
        <v>0</v>
      </c>
      <c r="P1826" s="3" t="s">
        <v>51</v>
      </c>
      <c r="Q1826" s="3">
        <v>1</v>
      </c>
      <c r="R1826" s="3" t="str">
        <f t="shared" si="28"/>
        <v>Cancelled</v>
      </c>
      <c r="S1826" s="3" t="s">
        <v>31</v>
      </c>
    </row>
    <row r="1827" spans="1:19" x14ac:dyDescent="0.35">
      <c r="A1827" s="3">
        <v>2826</v>
      </c>
      <c r="B1827" s="3" t="s">
        <v>357</v>
      </c>
      <c r="C1827" s="4">
        <v>45304</v>
      </c>
      <c r="D1827" s="3" t="s">
        <v>277</v>
      </c>
      <c r="E1827" s="4">
        <v>45319</v>
      </c>
      <c r="F1827" s="4">
        <v>45320</v>
      </c>
      <c r="G1827" s="3" t="s">
        <v>34</v>
      </c>
      <c r="H1827" s="3" t="s">
        <v>21</v>
      </c>
      <c r="I1827" s="3" t="s">
        <v>39</v>
      </c>
      <c r="J1827" s="3" t="s">
        <v>46</v>
      </c>
      <c r="K1827" s="3">
        <v>15</v>
      </c>
      <c r="L1827" s="3">
        <v>1</v>
      </c>
      <c r="M1827" s="3">
        <v>2900</v>
      </c>
      <c r="N1827" s="3">
        <v>2900</v>
      </c>
      <c r="O1827" s="3">
        <v>2900</v>
      </c>
      <c r="P1827" s="3" t="s">
        <v>24</v>
      </c>
      <c r="Q1827" s="3">
        <v>0</v>
      </c>
      <c r="R1827" s="3" t="str">
        <f t="shared" si="28"/>
        <v>Not Cancelled</v>
      </c>
      <c r="S1827" s="3" t="s">
        <v>25</v>
      </c>
    </row>
    <row r="1828" spans="1:19" x14ac:dyDescent="0.35">
      <c r="A1828" s="3">
        <v>2827</v>
      </c>
      <c r="B1828" s="3" t="s">
        <v>497</v>
      </c>
      <c r="C1828" s="4">
        <v>45501</v>
      </c>
      <c r="D1828" s="3" t="s">
        <v>41</v>
      </c>
      <c r="E1828" s="4">
        <v>45547</v>
      </c>
      <c r="F1828" s="4">
        <v>45552</v>
      </c>
      <c r="G1828" s="3" t="s">
        <v>45</v>
      </c>
      <c r="H1828" s="3" t="s">
        <v>21</v>
      </c>
      <c r="I1828" s="3" t="s">
        <v>22</v>
      </c>
      <c r="J1828" s="3" t="s">
        <v>30</v>
      </c>
      <c r="K1828" s="3">
        <v>46</v>
      </c>
      <c r="L1828" s="3">
        <v>5</v>
      </c>
      <c r="M1828" s="3">
        <v>5355</v>
      </c>
      <c r="N1828" s="3">
        <v>26775</v>
      </c>
      <c r="O1828" s="3">
        <v>0</v>
      </c>
      <c r="P1828" s="3" t="s">
        <v>24</v>
      </c>
      <c r="Q1828" s="3">
        <v>1</v>
      </c>
      <c r="R1828" s="3" t="str">
        <f t="shared" si="28"/>
        <v>Cancelled</v>
      </c>
      <c r="S1828" s="3" t="s">
        <v>25</v>
      </c>
    </row>
    <row r="1829" spans="1:19" x14ac:dyDescent="0.35">
      <c r="A1829" s="3">
        <v>2828</v>
      </c>
      <c r="B1829" s="3" t="s">
        <v>1127</v>
      </c>
      <c r="C1829" s="4">
        <v>45520</v>
      </c>
      <c r="D1829" s="3" t="s">
        <v>107</v>
      </c>
      <c r="E1829" s="4">
        <v>45545</v>
      </c>
      <c r="F1829" s="4">
        <v>45550</v>
      </c>
      <c r="G1829" s="3" t="s">
        <v>45</v>
      </c>
      <c r="H1829" s="3" t="s">
        <v>38</v>
      </c>
      <c r="I1829" s="3" t="s">
        <v>22</v>
      </c>
      <c r="J1829" s="3" t="s">
        <v>30</v>
      </c>
      <c r="K1829" s="3">
        <v>25</v>
      </c>
      <c r="L1829" s="3">
        <v>5</v>
      </c>
      <c r="M1829" s="3">
        <v>4724</v>
      </c>
      <c r="N1829" s="3">
        <v>23620</v>
      </c>
      <c r="O1829" s="3">
        <v>23620</v>
      </c>
      <c r="P1829" s="3" t="s">
        <v>24</v>
      </c>
      <c r="Q1829" s="3">
        <v>0</v>
      </c>
      <c r="R1829" s="3" t="str">
        <f t="shared" si="28"/>
        <v>Not Cancelled</v>
      </c>
      <c r="S1829" s="3" t="s">
        <v>25</v>
      </c>
    </row>
    <row r="1830" spans="1:19" x14ac:dyDescent="0.35">
      <c r="A1830" s="3">
        <v>2829</v>
      </c>
      <c r="B1830" s="3" t="s">
        <v>176</v>
      </c>
      <c r="C1830" s="4">
        <v>45391</v>
      </c>
      <c r="D1830" s="3" t="s">
        <v>175</v>
      </c>
      <c r="E1830" s="4">
        <v>45412</v>
      </c>
      <c r="F1830" s="4">
        <v>45416</v>
      </c>
      <c r="G1830" s="3" t="s">
        <v>42</v>
      </c>
      <c r="H1830" s="3" t="s">
        <v>60</v>
      </c>
      <c r="I1830" s="3" t="s">
        <v>22</v>
      </c>
      <c r="J1830" s="3" t="s">
        <v>46</v>
      </c>
      <c r="K1830" s="3">
        <v>21</v>
      </c>
      <c r="L1830" s="3">
        <v>4</v>
      </c>
      <c r="M1830" s="3">
        <v>5912</v>
      </c>
      <c r="N1830" s="3">
        <v>23648</v>
      </c>
      <c r="O1830" s="3">
        <v>23648</v>
      </c>
      <c r="P1830" s="3" t="s">
        <v>51</v>
      </c>
      <c r="Q1830" s="3">
        <v>0</v>
      </c>
      <c r="R1830" s="3" t="str">
        <f t="shared" si="28"/>
        <v>Not Cancelled</v>
      </c>
      <c r="S1830" s="3" t="s">
        <v>31</v>
      </c>
    </row>
    <row r="1831" spans="1:19" x14ac:dyDescent="0.35">
      <c r="A1831" s="3">
        <v>2830</v>
      </c>
      <c r="B1831" s="3" t="s">
        <v>36</v>
      </c>
      <c r="C1831" s="4">
        <v>45322</v>
      </c>
      <c r="D1831" s="3" t="s">
        <v>159</v>
      </c>
      <c r="E1831" s="4">
        <v>45346</v>
      </c>
      <c r="F1831" s="4">
        <v>45350</v>
      </c>
      <c r="G1831" s="3" t="s">
        <v>42</v>
      </c>
      <c r="H1831" s="3" t="s">
        <v>38</v>
      </c>
      <c r="I1831" s="3" t="s">
        <v>22</v>
      </c>
      <c r="J1831" s="3" t="s">
        <v>30</v>
      </c>
      <c r="K1831" s="3">
        <v>24</v>
      </c>
      <c r="L1831" s="3">
        <v>4</v>
      </c>
      <c r="M1831" s="3">
        <v>2556</v>
      </c>
      <c r="N1831" s="3">
        <v>10224</v>
      </c>
      <c r="O1831" s="3">
        <v>10224</v>
      </c>
      <c r="P1831" s="3" t="s">
        <v>51</v>
      </c>
      <c r="Q1831" s="3">
        <v>0</v>
      </c>
      <c r="R1831" s="3" t="str">
        <f t="shared" si="28"/>
        <v>Not Cancelled</v>
      </c>
      <c r="S1831" s="3" t="s">
        <v>31</v>
      </c>
    </row>
    <row r="1832" spans="1:19" x14ac:dyDescent="0.35">
      <c r="A1832" s="3">
        <v>2831</v>
      </c>
      <c r="B1832" s="3" t="s">
        <v>598</v>
      </c>
      <c r="C1832" s="4">
        <v>45307</v>
      </c>
      <c r="D1832" s="3" t="s">
        <v>100</v>
      </c>
      <c r="E1832" s="4">
        <v>45364</v>
      </c>
      <c r="F1832" s="4">
        <v>45368</v>
      </c>
      <c r="G1832" s="3" t="s">
        <v>42</v>
      </c>
      <c r="H1832" s="3" t="s">
        <v>35</v>
      </c>
      <c r="I1832" s="3" t="s">
        <v>22</v>
      </c>
      <c r="J1832" s="3" t="s">
        <v>23</v>
      </c>
      <c r="K1832" s="3">
        <v>57</v>
      </c>
      <c r="L1832" s="3">
        <v>4</v>
      </c>
      <c r="M1832" s="3">
        <v>4375</v>
      </c>
      <c r="N1832" s="3">
        <v>17500</v>
      </c>
      <c r="O1832" s="3">
        <v>0</v>
      </c>
      <c r="P1832" s="3" t="s">
        <v>24</v>
      </c>
      <c r="Q1832" s="3">
        <v>1</v>
      </c>
      <c r="R1832" s="3" t="str">
        <f t="shared" si="28"/>
        <v>Cancelled</v>
      </c>
      <c r="S1832" s="3" t="s">
        <v>25</v>
      </c>
    </row>
    <row r="1833" spans="1:19" x14ac:dyDescent="0.35">
      <c r="A1833" s="3">
        <v>2832</v>
      </c>
      <c r="B1833" s="3" t="s">
        <v>341</v>
      </c>
      <c r="C1833" s="4">
        <v>45428</v>
      </c>
      <c r="D1833" s="3" t="s">
        <v>237</v>
      </c>
      <c r="E1833" s="4">
        <v>45486</v>
      </c>
      <c r="F1833" s="4">
        <v>45491</v>
      </c>
      <c r="G1833" s="3" t="s">
        <v>45</v>
      </c>
      <c r="H1833" s="3" t="s">
        <v>35</v>
      </c>
      <c r="I1833" s="3" t="s">
        <v>22</v>
      </c>
      <c r="J1833" s="3" t="s">
        <v>46</v>
      </c>
      <c r="K1833" s="3">
        <v>58</v>
      </c>
      <c r="L1833" s="3">
        <v>5</v>
      </c>
      <c r="M1833" s="3">
        <v>7043</v>
      </c>
      <c r="N1833" s="3">
        <v>35215</v>
      </c>
      <c r="O1833" s="3">
        <v>0</v>
      </c>
      <c r="P1833" s="3" t="s">
        <v>24</v>
      </c>
      <c r="Q1833" s="3">
        <v>1</v>
      </c>
      <c r="R1833" s="3" t="str">
        <f t="shared" si="28"/>
        <v>Cancelled</v>
      </c>
      <c r="S1833" s="3" t="s">
        <v>31</v>
      </c>
    </row>
    <row r="1834" spans="1:19" x14ac:dyDescent="0.35">
      <c r="A1834" s="3">
        <v>2833</v>
      </c>
      <c r="B1834" s="3" t="s">
        <v>1128</v>
      </c>
      <c r="C1834" s="4">
        <v>45620</v>
      </c>
      <c r="D1834" s="3" t="s">
        <v>45</v>
      </c>
      <c r="E1834" s="4">
        <v>45625</v>
      </c>
      <c r="F1834" s="4">
        <v>45627</v>
      </c>
      <c r="G1834" s="3" t="s">
        <v>28</v>
      </c>
      <c r="H1834" s="3" t="s">
        <v>21</v>
      </c>
      <c r="I1834" s="3" t="s">
        <v>39</v>
      </c>
      <c r="J1834" s="3" t="s">
        <v>30</v>
      </c>
      <c r="K1834" s="3">
        <v>5</v>
      </c>
      <c r="L1834" s="3">
        <v>2</v>
      </c>
      <c r="M1834" s="3">
        <v>6798</v>
      </c>
      <c r="N1834" s="3">
        <v>13596</v>
      </c>
      <c r="O1834" s="3">
        <v>0</v>
      </c>
      <c r="P1834" s="3" t="s">
        <v>51</v>
      </c>
      <c r="Q1834" s="3">
        <v>1</v>
      </c>
      <c r="R1834" s="3" t="str">
        <f t="shared" si="28"/>
        <v>Cancelled</v>
      </c>
      <c r="S1834" s="3" t="s">
        <v>25</v>
      </c>
    </row>
    <row r="1835" spans="1:19" x14ac:dyDescent="0.35">
      <c r="A1835" s="3">
        <v>2834</v>
      </c>
      <c r="B1835" s="3" t="s">
        <v>1129</v>
      </c>
      <c r="C1835" s="4">
        <v>45457</v>
      </c>
      <c r="D1835" s="3" t="s">
        <v>55</v>
      </c>
      <c r="E1835" s="4">
        <v>45463</v>
      </c>
      <c r="F1835" s="4">
        <v>45468</v>
      </c>
      <c r="G1835" s="3" t="s">
        <v>45</v>
      </c>
      <c r="H1835" s="3" t="s">
        <v>21</v>
      </c>
      <c r="I1835" s="3" t="s">
        <v>39</v>
      </c>
      <c r="J1835" s="3" t="s">
        <v>23</v>
      </c>
      <c r="K1835" s="3">
        <v>6</v>
      </c>
      <c r="L1835" s="3">
        <v>5</v>
      </c>
      <c r="M1835" s="3">
        <v>6268</v>
      </c>
      <c r="N1835" s="3">
        <v>31340</v>
      </c>
      <c r="O1835" s="3">
        <v>31340</v>
      </c>
      <c r="P1835" s="3" t="s">
        <v>24</v>
      </c>
      <c r="Q1835" s="3">
        <v>0</v>
      </c>
      <c r="R1835" s="3" t="str">
        <f t="shared" si="28"/>
        <v>Not Cancelled</v>
      </c>
      <c r="S1835" s="3" t="s">
        <v>25</v>
      </c>
    </row>
    <row r="1836" spans="1:19" x14ac:dyDescent="0.35">
      <c r="A1836" s="3">
        <v>2835</v>
      </c>
      <c r="B1836" s="3" t="s">
        <v>896</v>
      </c>
      <c r="C1836" s="4">
        <v>45601</v>
      </c>
      <c r="D1836" s="3" t="s">
        <v>211</v>
      </c>
      <c r="E1836" s="4">
        <v>45650</v>
      </c>
      <c r="F1836" s="4">
        <v>45653</v>
      </c>
      <c r="G1836" s="3" t="s">
        <v>20</v>
      </c>
      <c r="H1836" s="3" t="s">
        <v>38</v>
      </c>
      <c r="I1836" s="3" t="s">
        <v>22</v>
      </c>
      <c r="J1836" s="3" t="s">
        <v>23</v>
      </c>
      <c r="K1836" s="3">
        <v>49</v>
      </c>
      <c r="L1836" s="3">
        <v>3</v>
      </c>
      <c r="M1836" s="3">
        <v>8252</v>
      </c>
      <c r="N1836" s="3">
        <v>24756</v>
      </c>
      <c r="O1836" s="3">
        <v>0</v>
      </c>
      <c r="P1836" s="3" t="s">
        <v>51</v>
      </c>
      <c r="Q1836" s="3">
        <v>1</v>
      </c>
      <c r="R1836" s="3" t="str">
        <f t="shared" si="28"/>
        <v>Cancelled</v>
      </c>
      <c r="S1836" s="3" t="s">
        <v>25</v>
      </c>
    </row>
    <row r="1837" spans="1:19" x14ac:dyDescent="0.35">
      <c r="A1837" s="3">
        <v>2836</v>
      </c>
      <c r="B1837" s="3" t="s">
        <v>68</v>
      </c>
      <c r="C1837" s="4">
        <v>45391</v>
      </c>
      <c r="D1837" s="3" t="s">
        <v>66</v>
      </c>
      <c r="E1837" s="4">
        <v>45434</v>
      </c>
      <c r="F1837" s="4">
        <v>45439</v>
      </c>
      <c r="G1837" s="3" t="s">
        <v>45</v>
      </c>
      <c r="H1837" s="3" t="s">
        <v>38</v>
      </c>
      <c r="I1837" s="3" t="s">
        <v>39</v>
      </c>
      <c r="J1837" s="3" t="s">
        <v>30</v>
      </c>
      <c r="K1837" s="3">
        <v>43</v>
      </c>
      <c r="L1837" s="3">
        <v>5</v>
      </c>
      <c r="M1837" s="3">
        <v>7333</v>
      </c>
      <c r="N1837" s="3">
        <v>36665</v>
      </c>
      <c r="O1837" s="3">
        <v>0</v>
      </c>
      <c r="P1837" s="3" t="s">
        <v>51</v>
      </c>
      <c r="Q1837" s="3">
        <v>1</v>
      </c>
      <c r="R1837" s="3" t="str">
        <f t="shared" si="28"/>
        <v>Cancelled</v>
      </c>
      <c r="S1837" s="3" t="s">
        <v>25</v>
      </c>
    </row>
    <row r="1838" spans="1:19" x14ac:dyDescent="0.35">
      <c r="A1838" s="3">
        <v>2837</v>
      </c>
      <c r="B1838" s="3" t="s">
        <v>1130</v>
      </c>
      <c r="C1838" s="4">
        <v>45400</v>
      </c>
      <c r="D1838" s="3" t="s">
        <v>73</v>
      </c>
      <c r="E1838" s="4">
        <v>45448</v>
      </c>
      <c r="F1838" s="4">
        <v>45453</v>
      </c>
      <c r="G1838" s="3" t="s">
        <v>45</v>
      </c>
      <c r="H1838" s="3" t="s">
        <v>29</v>
      </c>
      <c r="I1838" s="3" t="s">
        <v>22</v>
      </c>
      <c r="J1838" s="3" t="s">
        <v>30</v>
      </c>
      <c r="K1838" s="3">
        <v>48</v>
      </c>
      <c r="L1838" s="3">
        <v>5</v>
      </c>
      <c r="M1838" s="3">
        <v>6797</v>
      </c>
      <c r="N1838" s="3">
        <v>33985</v>
      </c>
      <c r="O1838" s="3">
        <v>0</v>
      </c>
      <c r="P1838" s="3" t="s">
        <v>24</v>
      </c>
      <c r="Q1838" s="3">
        <v>1</v>
      </c>
      <c r="R1838" s="3" t="str">
        <f t="shared" si="28"/>
        <v>Cancelled</v>
      </c>
      <c r="S1838" s="3" t="s">
        <v>25</v>
      </c>
    </row>
    <row r="1839" spans="1:19" x14ac:dyDescent="0.35">
      <c r="A1839" s="3">
        <v>2838</v>
      </c>
      <c r="B1839" s="3" t="s">
        <v>1131</v>
      </c>
      <c r="C1839" s="4">
        <v>45634</v>
      </c>
      <c r="D1839" s="3" t="s">
        <v>62</v>
      </c>
      <c r="E1839" s="4">
        <v>45678</v>
      </c>
      <c r="F1839" s="4">
        <v>45679</v>
      </c>
      <c r="G1839" s="3" t="s">
        <v>34</v>
      </c>
      <c r="H1839" s="3" t="s">
        <v>35</v>
      </c>
      <c r="I1839" s="3" t="s">
        <v>39</v>
      </c>
      <c r="J1839" s="3" t="s">
        <v>23</v>
      </c>
      <c r="K1839" s="3">
        <v>44</v>
      </c>
      <c r="L1839" s="3">
        <v>1</v>
      </c>
      <c r="M1839" s="3">
        <v>3853</v>
      </c>
      <c r="N1839" s="3">
        <v>3853</v>
      </c>
      <c r="O1839" s="3">
        <v>0</v>
      </c>
      <c r="P1839" s="3" t="s">
        <v>24</v>
      </c>
      <c r="Q1839" s="3">
        <v>1</v>
      </c>
      <c r="R1839" s="3" t="str">
        <f t="shared" si="28"/>
        <v>Cancelled</v>
      </c>
      <c r="S1839" s="3" t="s">
        <v>31</v>
      </c>
    </row>
    <row r="1840" spans="1:19" x14ac:dyDescent="0.35">
      <c r="A1840" s="3">
        <v>2839</v>
      </c>
      <c r="B1840" s="3" t="s">
        <v>1132</v>
      </c>
      <c r="C1840" s="4">
        <v>45464</v>
      </c>
      <c r="D1840" s="3" t="s">
        <v>148</v>
      </c>
      <c r="E1840" s="4">
        <v>45511</v>
      </c>
      <c r="F1840" s="4">
        <v>45512</v>
      </c>
      <c r="G1840" s="3" t="s">
        <v>34</v>
      </c>
      <c r="H1840" s="3" t="s">
        <v>38</v>
      </c>
      <c r="I1840" s="3" t="s">
        <v>39</v>
      </c>
      <c r="J1840" s="3" t="s">
        <v>46</v>
      </c>
      <c r="K1840" s="3">
        <v>47</v>
      </c>
      <c r="L1840" s="3">
        <v>1</v>
      </c>
      <c r="M1840" s="3">
        <v>4910</v>
      </c>
      <c r="N1840" s="3">
        <v>4910</v>
      </c>
      <c r="O1840" s="3">
        <v>0</v>
      </c>
      <c r="P1840" s="3" t="s">
        <v>51</v>
      </c>
      <c r="Q1840" s="3">
        <v>1</v>
      </c>
      <c r="R1840" s="3" t="str">
        <f t="shared" si="28"/>
        <v>Cancelled</v>
      </c>
      <c r="S1840" s="3" t="s">
        <v>31</v>
      </c>
    </row>
    <row r="1841" spans="1:19" x14ac:dyDescent="0.35">
      <c r="A1841" s="3">
        <v>2840</v>
      </c>
      <c r="B1841" s="3" t="s">
        <v>1133</v>
      </c>
      <c r="C1841" s="4">
        <v>45528</v>
      </c>
      <c r="D1841" s="3" t="s">
        <v>111</v>
      </c>
      <c r="E1841" s="4">
        <v>45551</v>
      </c>
      <c r="F1841" s="4">
        <v>45552</v>
      </c>
      <c r="G1841" s="3" t="s">
        <v>34</v>
      </c>
      <c r="H1841" s="3" t="s">
        <v>60</v>
      </c>
      <c r="I1841" s="3" t="s">
        <v>39</v>
      </c>
      <c r="J1841" s="3" t="s">
        <v>30</v>
      </c>
      <c r="K1841" s="3">
        <v>23</v>
      </c>
      <c r="L1841" s="3">
        <v>1</v>
      </c>
      <c r="M1841" s="3">
        <v>7487</v>
      </c>
      <c r="N1841" s="3">
        <v>7487</v>
      </c>
      <c r="O1841" s="3">
        <v>0</v>
      </c>
      <c r="P1841" s="3" t="s">
        <v>24</v>
      </c>
      <c r="Q1841" s="3">
        <v>1</v>
      </c>
      <c r="R1841" s="3" t="str">
        <f t="shared" si="28"/>
        <v>Cancelled</v>
      </c>
      <c r="S1841" s="3" t="s">
        <v>31</v>
      </c>
    </row>
    <row r="1842" spans="1:19" x14ac:dyDescent="0.35">
      <c r="A1842" s="3">
        <v>2841</v>
      </c>
      <c r="B1842" s="3" t="s">
        <v>627</v>
      </c>
      <c r="C1842" s="4">
        <v>45453</v>
      </c>
      <c r="D1842" s="3" t="s">
        <v>42</v>
      </c>
      <c r="E1842" s="4">
        <v>45457</v>
      </c>
      <c r="F1842" s="4">
        <v>45462</v>
      </c>
      <c r="G1842" s="3" t="s">
        <v>45</v>
      </c>
      <c r="H1842" s="3" t="s">
        <v>29</v>
      </c>
      <c r="I1842" s="3" t="s">
        <v>22</v>
      </c>
      <c r="J1842" s="3" t="s">
        <v>30</v>
      </c>
      <c r="K1842" s="3">
        <v>4</v>
      </c>
      <c r="L1842" s="3">
        <v>5</v>
      </c>
      <c r="M1842" s="3">
        <v>8999</v>
      </c>
      <c r="N1842" s="3">
        <v>44995</v>
      </c>
      <c r="O1842" s="3">
        <v>0</v>
      </c>
      <c r="P1842" s="3" t="s">
        <v>51</v>
      </c>
      <c r="Q1842" s="3">
        <v>1</v>
      </c>
      <c r="R1842" s="3" t="str">
        <f t="shared" si="28"/>
        <v>Cancelled</v>
      </c>
      <c r="S1842" s="3" t="s">
        <v>31</v>
      </c>
    </row>
    <row r="1843" spans="1:19" x14ac:dyDescent="0.35">
      <c r="A1843" s="3">
        <v>2842</v>
      </c>
      <c r="B1843" s="3" t="s">
        <v>1088</v>
      </c>
      <c r="C1843" s="4">
        <v>45507</v>
      </c>
      <c r="D1843" s="3" t="s">
        <v>185</v>
      </c>
      <c r="E1843" s="4">
        <v>45534</v>
      </c>
      <c r="F1843" s="4">
        <v>45536</v>
      </c>
      <c r="G1843" s="3" t="s">
        <v>28</v>
      </c>
      <c r="H1843" s="3" t="s">
        <v>38</v>
      </c>
      <c r="I1843" s="3" t="s">
        <v>39</v>
      </c>
      <c r="J1843" s="3" t="s">
        <v>46</v>
      </c>
      <c r="K1843" s="3">
        <v>27</v>
      </c>
      <c r="L1843" s="3">
        <v>2</v>
      </c>
      <c r="M1843" s="3">
        <v>6811</v>
      </c>
      <c r="N1843" s="3">
        <v>13622</v>
      </c>
      <c r="O1843" s="3">
        <v>0</v>
      </c>
      <c r="P1843" s="3" t="s">
        <v>51</v>
      </c>
      <c r="Q1843" s="3">
        <v>1</v>
      </c>
      <c r="R1843" s="3" t="str">
        <f t="shared" si="28"/>
        <v>Cancelled</v>
      </c>
      <c r="S1843" s="3" t="s">
        <v>25</v>
      </c>
    </row>
    <row r="1844" spans="1:19" x14ac:dyDescent="0.35">
      <c r="A1844" s="3">
        <v>2843</v>
      </c>
      <c r="B1844" s="3" t="s">
        <v>379</v>
      </c>
      <c r="C1844" s="4">
        <v>45555</v>
      </c>
      <c r="D1844" s="3" t="s">
        <v>27</v>
      </c>
      <c r="E1844" s="4">
        <v>45573</v>
      </c>
      <c r="F1844" s="4">
        <v>45576</v>
      </c>
      <c r="G1844" s="3" t="s">
        <v>20</v>
      </c>
      <c r="H1844" s="3" t="s">
        <v>21</v>
      </c>
      <c r="I1844" s="3" t="s">
        <v>39</v>
      </c>
      <c r="J1844" s="3" t="s">
        <v>46</v>
      </c>
      <c r="K1844" s="3">
        <v>18</v>
      </c>
      <c r="L1844" s="3">
        <v>3</v>
      </c>
      <c r="M1844" s="3">
        <v>5102</v>
      </c>
      <c r="N1844" s="3">
        <v>15306</v>
      </c>
      <c r="O1844" s="3">
        <v>15306</v>
      </c>
      <c r="P1844" s="3" t="s">
        <v>51</v>
      </c>
      <c r="Q1844" s="3">
        <v>0</v>
      </c>
      <c r="R1844" s="3" t="str">
        <f t="shared" si="28"/>
        <v>Not Cancelled</v>
      </c>
      <c r="S1844" s="3" t="s">
        <v>25</v>
      </c>
    </row>
    <row r="1845" spans="1:19" x14ac:dyDescent="0.35">
      <c r="A1845" s="3">
        <v>2844</v>
      </c>
      <c r="B1845" s="3" t="s">
        <v>1006</v>
      </c>
      <c r="C1845" s="4">
        <v>45554</v>
      </c>
      <c r="D1845" s="3" t="s">
        <v>175</v>
      </c>
      <c r="E1845" s="4">
        <v>45575</v>
      </c>
      <c r="F1845" s="4">
        <v>45578</v>
      </c>
      <c r="G1845" s="3" t="s">
        <v>20</v>
      </c>
      <c r="H1845" s="3" t="s">
        <v>38</v>
      </c>
      <c r="I1845" s="3" t="s">
        <v>22</v>
      </c>
      <c r="J1845" s="3" t="s">
        <v>30</v>
      </c>
      <c r="K1845" s="3">
        <v>21</v>
      </c>
      <c r="L1845" s="3">
        <v>3</v>
      </c>
      <c r="M1845" s="3">
        <v>5434</v>
      </c>
      <c r="N1845" s="3">
        <v>16302</v>
      </c>
      <c r="O1845" s="3">
        <v>16302</v>
      </c>
      <c r="P1845" s="3" t="s">
        <v>24</v>
      </c>
      <c r="Q1845" s="3">
        <v>0</v>
      </c>
      <c r="R1845" s="3" t="str">
        <f t="shared" si="28"/>
        <v>Not Cancelled</v>
      </c>
      <c r="S1845" s="3" t="s">
        <v>31</v>
      </c>
    </row>
    <row r="1846" spans="1:19" x14ac:dyDescent="0.35">
      <c r="A1846" s="3">
        <v>2845</v>
      </c>
      <c r="B1846" s="3" t="s">
        <v>1134</v>
      </c>
      <c r="C1846" s="4">
        <v>45583</v>
      </c>
      <c r="D1846" s="3" t="s">
        <v>82</v>
      </c>
      <c r="E1846" s="4">
        <v>45611</v>
      </c>
      <c r="F1846" s="4">
        <v>45613</v>
      </c>
      <c r="G1846" s="3" t="s">
        <v>28</v>
      </c>
      <c r="H1846" s="3" t="s">
        <v>21</v>
      </c>
      <c r="I1846" s="3" t="s">
        <v>22</v>
      </c>
      <c r="J1846" s="3" t="s">
        <v>46</v>
      </c>
      <c r="K1846" s="3">
        <v>28</v>
      </c>
      <c r="L1846" s="3">
        <v>2</v>
      </c>
      <c r="M1846" s="3">
        <v>2522</v>
      </c>
      <c r="N1846" s="3">
        <v>5044</v>
      </c>
      <c r="O1846" s="3">
        <v>0</v>
      </c>
      <c r="P1846" s="3" t="s">
        <v>24</v>
      </c>
      <c r="Q1846" s="3">
        <v>1</v>
      </c>
      <c r="R1846" s="3" t="str">
        <f t="shared" si="28"/>
        <v>Cancelled</v>
      </c>
      <c r="S1846" s="3" t="s">
        <v>31</v>
      </c>
    </row>
    <row r="1847" spans="1:19" x14ac:dyDescent="0.35">
      <c r="A1847" s="3">
        <v>2846</v>
      </c>
      <c r="B1847" s="3" t="s">
        <v>812</v>
      </c>
      <c r="C1847" s="4">
        <v>45565</v>
      </c>
      <c r="D1847" s="3" t="s">
        <v>91</v>
      </c>
      <c r="E1847" s="4">
        <v>45600</v>
      </c>
      <c r="F1847" s="4">
        <v>45602</v>
      </c>
      <c r="G1847" s="3" t="s">
        <v>28</v>
      </c>
      <c r="H1847" s="3" t="s">
        <v>21</v>
      </c>
      <c r="I1847" s="3" t="s">
        <v>39</v>
      </c>
      <c r="J1847" s="3" t="s">
        <v>23</v>
      </c>
      <c r="K1847" s="3">
        <v>35</v>
      </c>
      <c r="L1847" s="3">
        <v>2</v>
      </c>
      <c r="M1847" s="3">
        <v>4702</v>
      </c>
      <c r="N1847" s="3">
        <v>9404</v>
      </c>
      <c r="O1847" s="3">
        <v>9404</v>
      </c>
      <c r="P1847" s="3" t="s">
        <v>24</v>
      </c>
      <c r="Q1847" s="3">
        <v>0</v>
      </c>
      <c r="R1847" s="3" t="str">
        <f t="shared" si="28"/>
        <v>Not Cancelled</v>
      </c>
      <c r="S1847" s="3" t="s">
        <v>25</v>
      </c>
    </row>
    <row r="1848" spans="1:19" x14ac:dyDescent="0.35">
      <c r="A1848" s="3">
        <v>2847</v>
      </c>
      <c r="B1848" s="3" t="s">
        <v>1110</v>
      </c>
      <c r="C1848" s="4">
        <v>45294</v>
      </c>
      <c r="D1848" s="3" t="s">
        <v>19</v>
      </c>
      <c r="E1848" s="4">
        <v>45316</v>
      </c>
      <c r="F1848" s="4">
        <v>45319</v>
      </c>
      <c r="G1848" s="3" t="s">
        <v>20</v>
      </c>
      <c r="H1848" s="3" t="s">
        <v>35</v>
      </c>
      <c r="I1848" s="3" t="s">
        <v>22</v>
      </c>
      <c r="J1848" s="3" t="s">
        <v>23</v>
      </c>
      <c r="K1848" s="3">
        <v>22</v>
      </c>
      <c r="L1848" s="3">
        <v>3</v>
      </c>
      <c r="M1848" s="3">
        <v>3709</v>
      </c>
      <c r="N1848" s="3">
        <v>11127</v>
      </c>
      <c r="O1848" s="3">
        <v>11127</v>
      </c>
      <c r="P1848" s="3" t="s">
        <v>51</v>
      </c>
      <c r="Q1848" s="3">
        <v>0</v>
      </c>
      <c r="R1848" s="3" t="str">
        <f t="shared" si="28"/>
        <v>Not Cancelled</v>
      </c>
      <c r="S1848" s="3" t="s">
        <v>25</v>
      </c>
    </row>
    <row r="1849" spans="1:19" x14ac:dyDescent="0.35">
      <c r="A1849" s="3">
        <v>2848</v>
      </c>
      <c r="B1849" s="3" t="s">
        <v>1135</v>
      </c>
      <c r="C1849" s="4">
        <v>45319</v>
      </c>
      <c r="D1849" s="3" t="s">
        <v>179</v>
      </c>
      <c r="E1849" s="4">
        <v>45359</v>
      </c>
      <c r="F1849" s="4">
        <v>45363</v>
      </c>
      <c r="G1849" s="3" t="s">
        <v>42</v>
      </c>
      <c r="H1849" s="3" t="s">
        <v>35</v>
      </c>
      <c r="I1849" s="3" t="s">
        <v>39</v>
      </c>
      <c r="J1849" s="3" t="s">
        <v>23</v>
      </c>
      <c r="K1849" s="3">
        <v>40</v>
      </c>
      <c r="L1849" s="3">
        <v>4</v>
      </c>
      <c r="M1849" s="3">
        <v>4796</v>
      </c>
      <c r="N1849" s="3">
        <v>19184</v>
      </c>
      <c r="O1849" s="3">
        <v>0</v>
      </c>
      <c r="P1849" s="3" t="s">
        <v>51</v>
      </c>
      <c r="Q1849" s="3">
        <v>1</v>
      </c>
      <c r="R1849" s="3" t="str">
        <f t="shared" si="28"/>
        <v>Cancelled</v>
      </c>
      <c r="S1849" s="3" t="s">
        <v>25</v>
      </c>
    </row>
    <row r="1850" spans="1:19" x14ac:dyDescent="0.35">
      <c r="A1850" s="3">
        <v>2849</v>
      </c>
      <c r="B1850" s="3" t="s">
        <v>996</v>
      </c>
      <c r="C1850" s="4">
        <v>45617</v>
      </c>
      <c r="D1850" s="3" t="s">
        <v>111</v>
      </c>
      <c r="E1850" s="4">
        <v>45640</v>
      </c>
      <c r="F1850" s="4">
        <v>45641</v>
      </c>
      <c r="G1850" s="3" t="s">
        <v>34</v>
      </c>
      <c r="H1850" s="3" t="s">
        <v>38</v>
      </c>
      <c r="I1850" s="3" t="s">
        <v>39</v>
      </c>
      <c r="J1850" s="3" t="s">
        <v>30</v>
      </c>
      <c r="K1850" s="3">
        <v>23</v>
      </c>
      <c r="L1850" s="3">
        <v>1</v>
      </c>
      <c r="M1850" s="3">
        <v>3248</v>
      </c>
      <c r="N1850" s="3">
        <v>3248</v>
      </c>
      <c r="O1850" s="3">
        <v>3248</v>
      </c>
      <c r="P1850" s="3" t="s">
        <v>51</v>
      </c>
      <c r="Q1850" s="3">
        <v>0</v>
      </c>
      <c r="R1850" s="3" t="str">
        <f t="shared" si="28"/>
        <v>Not Cancelled</v>
      </c>
      <c r="S1850" s="3" t="s">
        <v>31</v>
      </c>
    </row>
    <row r="1851" spans="1:19" x14ac:dyDescent="0.35">
      <c r="A1851" s="3">
        <v>2850</v>
      </c>
      <c r="B1851" s="3" t="s">
        <v>1136</v>
      </c>
      <c r="C1851" s="4">
        <v>45440</v>
      </c>
      <c r="D1851" s="3" t="s">
        <v>20</v>
      </c>
      <c r="E1851" s="4">
        <v>45443</v>
      </c>
      <c r="F1851" s="4">
        <v>45444</v>
      </c>
      <c r="G1851" s="3" t="s">
        <v>34</v>
      </c>
      <c r="H1851" s="3" t="s">
        <v>38</v>
      </c>
      <c r="I1851" s="3" t="s">
        <v>22</v>
      </c>
      <c r="J1851" s="3" t="s">
        <v>46</v>
      </c>
      <c r="K1851" s="3">
        <v>3</v>
      </c>
      <c r="L1851" s="3">
        <v>1</v>
      </c>
      <c r="M1851" s="3">
        <v>3304</v>
      </c>
      <c r="N1851" s="3">
        <v>3304</v>
      </c>
      <c r="O1851" s="3">
        <v>3304</v>
      </c>
      <c r="P1851" s="3" t="s">
        <v>51</v>
      </c>
      <c r="Q1851" s="3">
        <v>0</v>
      </c>
      <c r="R1851" s="3" t="str">
        <f t="shared" si="28"/>
        <v>Not Cancelled</v>
      </c>
      <c r="S1851" s="3" t="s">
        <v>25</v>
      </c>
    </row>
    <row r="1852" spans="1:19" x14ac:dyDescent="0.35">
      <c r="A1852" s="3">
        <v>2851</v>
      </c>
      <c r="B1852" s="3" t="s">
        <v>143</v>
      </c>
      <c r="C1852" s="4">
        <v>45319</v>
      </c>
      <c r="D1852" s="3" t="s">
        <v>179</v>
      </c>
      <c r="E1852" s="4">
        <v>45359</v>
      </c>
      <c r="F1852" s="4">
        <v>45362</v>
      </c>
      <c r="G1852" s="3" t="s">
        <v>20</v>
      </c>
      <c r="H1852" s="3" t="s">
        <v>60</v>
      </c>
      <c r="I1852" s="3" t="s">
        <v>22</v>
      </c>
      <c r="J1852" s="3" t="s">
        <v>23</v>
      </c>
      <c r="K1852" s="3">
        <v>40</v>
      </c>
      <c r="L1852" s="3">
        <v>3</v>
      </c>
      <c r="M1852" s="3">
        <v>2633</v>
      </c>
      <c r="N1852" s="3">
        <v>7899</v>
      </c>
      <c r="O1852" s="3">
        <v>0</v>
      </c>
      <c r="P1852" s="3" t="s">
        <v>24</v>
      </c>
      <c r="Q1852" s="3">
        <v>1</v>
      </c>
      <c r="R1852" s="3" t="str">
        <f t="shared" si="28"/>
        <v>Cancelled</v>
      </c>
      <c r="S1852" s="3" t="s">
        <v>25</v>
      </c>
    </row>
    <row r="1853" spans="1:19" x14ac:dyDescent="0.35">
      <c r="A1853" s="3">
        <v>2852</v>
      </c>
      <c r="B1853" s="3" t="s">
        <v>572</v>
      </c>
      <c r="C1853" s="4">
        <v>45601</v>
      </c>
      <c r="D1853" s="3" t="s">
        <v>78</v>
      </c>
      <c r="E1853" s="4">
        <v>45651</v>
      </c>
      <c r="F1853" s="4">
        <v>45653</v>
      </c>
      <c r="G1853" s="3" t="s">
        <v>28</v>
      </c>
      <c r="H1853" s="3" t="s">
        <v>29</v>
      </c>
      <c r="I1853" s="3" t="s">
        <v>39</v>
      </c>
      <c r="J1853" s="3" t="s">
        <v>46</v>
      </c>
      <c r="K1853" s="3">
        <v>50</v>
      </c>
      <c r="L1853" s="3">
        <v>2</v>
      </c>
      <c r="M1853" s="3">
        <v>6916</v>
      </c>
      <c r="N1853" s="3">
        <v>13832</v>
      </c>
      <c r="O1853" s="3">
        <v>0</v>
      </c>
      <c r="P1853" s="3" t="s">
        <v>24</v>
      </c>
      <c r="Q1853" s="3">
        <v>1</v>
      </c>
      <c r="R1853" s="3" t="str">
        <f t="shared" si="28"/>
        <v>Cancelled</v>
      </c>
      <c r="S1853" s="3" t="s">
        <v>31</v>
      </c>
    </row>
    <row r="1854" spans="1:19" x14ac:dyDescent="0.35">
      <c r="A1854" s="3">
        <v>2853</v>
      </c>
      <c r="B1854" s="3" t="s">
        <v>563</v>
      </c>
      <c r="C1854" s="4">
        <v>45356</v>
      </c>
      <c r="D1854" s="3" t="s">
        <v>37</v>
      </c>
      <c r="E1854" s="4">
        <v>45366</v>
      </c>
      <c r="F1854" s="4">
        <v>45370</v>
      </c>
      <c r="G1854" s="3" t="s">
        <v>42</v>
      </c>
      <c r="H1854" s="3" t="s">
        <v>29</v>
      </c>
      <c r="I1854" s="3" t="s">
        <v>22</v>
      </c>
      <c r="J1854" s="3" t="s">
        <v>23</v>
      </c>
      <c r="K1854" s="3">
        <v>10</v>
      </c>
      <c r="L1854" s="3">
        <v>4</v>
      </c>
      <c r="M1854" s="3">
        <v>4937</v>
      </c>
      <c r="N1854" s="3">
        <v>19748</v>
      </c>
      <c r="O1854" s="3">
        <v>19748</v>
      </c>
      <c r="P1854" s="3" t="s">
        <v>24</v>
      </c>
      <c r="Q1854" s="3">
        <v>0</v>
      </c>
      <c r="R1854" s="3" t="str">
        <f t="shared" si="28"/>
        <v>Not Cancelled</v>
      </c>
      <c r="S1854" s="3" t="s">
        <v>31</v>
      </c>
    </row>
    <row r="1855" spans="1:19" x14ac:dyDescent="0.35">
      <c r="A1855" s="3">
        <v>2854</v>
      </c>
      <c r="B1855" s="3" t="s">
        <v>1137</v>
      </c>
      <c r="C1855" s="4">
        <v>45647</v>
      </c>
      <c r="D1855" s="3" t="s">
        <v>107</v>
      </c>
      <c r="E1855" s="4">
        <v>45672</v>
      </c>
      <c r="F1855" s="4">
        <v>45675</v>
      </c>
      <c r="G1855" s="3" t="s">
        <v>20</v>
      </c>
      <c r="H1855" s="3" t="s">
        <v>38</v>
      </c>
      <c r="I1855" s="3" t="s">
        <v>39</v>
      </c>
      <c r="J1855" s="3" t="s">
        <v>46</v>
      </c>
      <c r="K1855" s="3">
        <v>25</v>
      </c>
      <c r="L1855" s="3">
        <v>3</v>
      </c>
      <c r="M1855" s="3">
        <v>2933</v>
      </c>
      <c r="N1855" s="3">
        <v>8799</v>
      </c>
      <c r="O1855" s="3">
        <v>8799</v>
      </c>
      <c r="P1855" s="3" t="s">
        <v>51</v>
      </c>
      <c r="Q1855" s="3">
        <v>0</v>
      </c>
      <c r="R1855" s="3" t="str">
        <f t="shared" si="28"/>
        <v>Not Cancelled</v>
      </c>
      <c r="S1855" s="3" t="s">
        <v>31</v>
      </c>
    </row>
    <row r="1856" spans="1:19" x14ac:dyDescent="0.35">
      <c r="A1856" s="3">
        <v>2855</v>
      </c>
      <c r="B1856" s="3" t="s">
        <v>188</v>
      </c>
      <c r="C1856" s="4">
        <v>45312</v>
      </c>
      <c r="D1856" s="3" t="s">
        <v>226</v>
      </c>
      <c r="E1856" s="4">
        <v>45364</v>
      </c>
      <c r="F1856" s="4">
        <v>45365</v>
      </c>
      <c r="G1856" s="3" t="s">
        <v>34</v>
      </c>
      <c r="H1856" s="3" t="s">
        <v>35</v>
      </c>
      <c r="I1856" s="3" t="s">
        <v>22</v>
      </c>
      <c r="J1856" s="3" t="s">
        <v>23</v>
      </c>
      <c r="K1856" s="3">
        <v>52</v>
      </c>
      <c r="L1856" s="3">
        <v>1</v>
      </c>
      <c r="M1856" s="3">
        <v>7641</v>
      </c>
      <c r="N1856" s="3">
        <v>7641</v>
      </c>
      <c r="O1856" s="3">
        <v>7641</v>
      </c>
      <c r="P1856" s="3" t="s">
        <v>51</v>
      </c>
      <c r="Q1856" s="3">
        <v>0</v>
      </c>
      <c r="R1856" s="3" t="str">
        <f t="shared" si="28"/>
        <v>Not Cancelled</v>
      </c>
      <c r="S1856" s="3" t="s">
        <v>25</v>
      </c>
    </row>
    <row r="1857" spans="1:19" x14ac:dyDescent="0.35">
      <c r="A1857" s="3">
        <v>2856</v>
      </c>
      <c r="B1857" s="3" t="s">
        <v>169</v>
      </c>
      <c r="C1857" s="4">
        <v>45543</v>
      </c>
      <c r="D1857" s="3" t="s">
        <v>211</v>
      </c>
      <c r="E1857" s="4">
        <v>45592</v>
      </c>
      <c r="F1857" s="4">
        <v>45597</v>
      </c>
      <c r="G1857" s="3" t="s">
        <v>45</v>
      </c>
      <c r="H1857" s="3" t="s">
        <v>60</v>
      </c>
      <c r="I1857" s="3" t="s">
        <v>22</v>
      </c>
      <c r="J1857" s="3" t="s">
        <v>23</v>
      </c>
      <c r="K1857" s="3">
        <v>49</v>
      </c>
      <c r="L1857" s="3">
        <v>5</v>
      </c>
      <c r="M1857" s="3">
        <v>7468</v>
      </c>
      <c r="N1857" s="3">
        <v>37340</v>
      </c>
      <c r="O1857" s="3">
        <v>0</v>
      </c>
      <c r="P1857" s="3" t="s">
        <v>24</v>
      </c>
      <c r="Q1857" s="3">
        <v>1</v>
      </c>
      <c r="R1857" s="3" t="str">
        <f t="shared" si="28"/>
        <v>Cancelled</v>
      </c>
      <c r="S1857" s="3" t="s">
        <v>25</v>
      </c>
    </row>
    <row r="1858" spans="1:19" x14ac:dyDescent="0.35">
      <c r="A1858" s="3">
        <v>2857</v>
      </c>
      <c r="B1858" s="3" t="s">
        <v>80</v>
      </c>
      <c r="C1858" s="4">
        <v>45526</v>
      </c>
      <c r="D1858" s="3" t="s">
        <v>59</v>
      </c>
      <c r="E1858" s="4">
        <v>45534</v>
      </c>
      <c r="F1858" s="4">
        <v>45536</v>
      </c>
      <c r="G1858" s="3" t="s">
        <v>28</v>
      </c>
      <c r="H1858" s="3" t="s">
        <v>29</v>
      </c>
      <c r="I1858" s="3" t="s">
        <v>22</v>
      </c>
      <c r="J1858" s="3" t="s">
        <v>23</v>
      </c>
      <c r="K1858" s="3">
        <v>8</v>
      </c>
      <c r="L1858" s="3">
        <v>2</v>
      </c>
      <c r="M1858" s="3">
        <v>6171</v>
      </c>
      <c r="N1858" s="3">
        <v>12342</v>
      </c>
      <c r="O1858" s="3">
        <v>12342</v>
      </c>
      <c r="P1858" s="3" t="s">
        <v>51</v>
      </c>
      <c r="Q1858" s="3">
        <v>0</v>
      </c>
      <c r="R1858" s="3" t="str">
        <f t="shared" si="28"/>
        <v>Not Cancelled</v>
      </c>
      <c r="S1858" s="3" t="s">
        <v>31</v>
      </c>
    </row>
    <row r="1859" spans="1:19" x14ac:dyDescent="0.35">
      <c r="A1859" s="3">
        <v>2858</v>
      </c>
      <c r="B1859" s="3" t="s">
        <v>217</v>
      </c>
      <c r="C1859" s="4">
        <v>45518</v>
      </c>
      <c r="D1859" s="3" t="s">
        <v>113</v>
      </c>
      <c r="E1859" s="4">
        <v>45573</v>
      </c>
      <c r="F1859" s="4">
        <v>45578</v>
      </c>
      <c r="G1859" s="3" t="s">
        <v>45</v>
      </c>
      <c r="H1859" s="3" t="s">
        <v>38</v>
      </c>
      <c r="I1859" s="3" t="s">
        <v>22</v>
      </c>
      <c r="J1859" s="3" t="s">
        <v>23</v>
      </c>
      <c r="K1859" s="3">
        <v>55</v>
      </c>
      <c r="L1859" s="3">
        <v>5</v>
      </c>
      <c r="M1859" s="3">
        <v>6236</v>
      </c>
      <c r="N1859" s="3">
        <v>31180</v>
      </c>
      <c r="O1859" s="3">
        <v>0</v>
      </c>
      <c r="P1859" s="3" t="s">
        <v>24</v>
      </c>
      <c r="Q1859" s="3">
        <v>1</v>
      </c>
      <c r="R1859" s="3" t="str">
        <f t="shared" ref="R1859:R1922" si="29">IF(Q1859=0,"Not Cancelled","Cancelled")</f>
        <v>Cancelled</v>
      </c>
      <c r="S1859" s="3" t="s">
        <v>25</v>
      </c>
    </row>
    <row r="1860" spans="1:19" x14ac:dyDescent="0.35">
      <c r="A1860" s="3">
        <v>2859</v>
      </c>
      <c r="B1860" s="3" t="s">
        <v>905</v>
      </c>
      <c r="C1860" s="4">
        <v>45304</v>
      </c>
      <c r="D1860" s="3" t="s">
        <v>75</v>
      </c>
      <c r="E1860" s="4">
        <v>45315</v>
      </c>
      <c r="F1860" s="4">
        <v>45318</v>
      </c>
      <c r="G1860" s="3" t="s">
        <v>20</v>
      </c>
      <c r="H1860" s="3" t="s">
        <v>35</v>
      </c>
      <c r="I1860" s="3" t="s">
        <v>22</v>
      </c>
      <c r="J1860" s="3" t="s">
        <v>23</v>
      </c>
      <c r="K1860" s="3">
        <v>11</v>
      </c>
      <c r="L1860" s="3">
        <v>3</v>
      </c>
      <c r="M1860" s="3">
        <v>6539</v>
      </c>
      <c r="N1860" s="3">
        <v>19617</v>
      </c>
      <c r="O1860" s="3">
        <v>19617</v>
      </c>
      <c r="P1860" s="3" t="s">
        <v>51</v>
      </c>
      <c r="Q1860" s="3">
        <v>0</v>
      </c>
      <c r="R1860" s="3" t="str">
        <f t="shared" si="29"/>
        <v>Not Cancelled</v>
      </c>
      <c r="S1860" s="3" t="s">
        <v>25</v>
      </c>
    </row>
    <row r="1861" spans="1:19" x14ac:dyDescent="0.35">
      <c r="A1861" s="3">
        <v>2860</v>
      </c>
      <c r="B1861" s="3" t="s">
        <v>1138</v>
      </c>
      <c r="C1861" s="4">
        <v>45604</v>
      </c>
      <c r="D1861" s="3" t="s">
        <v>45</v>
      </c>
      <c r="E1861" s="4">
        <v>45609</v>
      </c>
      <c r="F1861" s="4">
        <v>45610</v>
      </c>
      <c r="G1861" s="3" t="s">
        <v>34</v>
      </c>
      <c r="H1861" s="3" t="s">
        <v>35</v>
      </c>
      <c r="I1861" s="3" t="s">
        <v>39</v>
      </c>
      <c r="J1861" s="3" t="s">
        <v>23</v>
      </c>
      <c r="K1861" s="3">
        <v>5</v>
      </c>
      <c r="L1861" s="3">
        <v>1</v>
      </c>
      <c r="M1861" s="3">
        <v>4598</v>
      </c>
      <c r="N1861" s="3">
        <v>4598</v>
      </c>
      <c r="O1861" s="3">
        <v>4598</v>
      </c>
      <c r="P1861" s="3" t="s">
        <v>51</v>
      </c>
      <c r="Q1861" s="3">
        <v>0</v>
      </c>
      <c r="R1861" s="3" t="str">
        <f t="shared" si="29"/>
        <v>Not Cancelled</v>
      </c>
      <c r="S1861" s="3" t="s">
        <v>25</v>
      </c>
    </row>
    <row r="1862" spans="1:19" x14ac:dyDescent="0.35">
      <c r="A1862" s="3">
        <v>2861</v>
      </c>
      <c r="B1862" s="3" t="s">
        <v>472</v>
      </c>
      <c r="C1862" s="4">
        <v>45340</v>
      </c>
      <c r="D1862" s="3" t="s">
        <v>237</v>
      </c>
      <c r="E1862" s="4">
        <v>45398</v>
      </c>
      <c r="F1862" s="4">
        <v>45402</v>
      </c>
      <c r="G1862" s="3" t="s">
        <v>42</v>
      </c>
      <c r="H1862" s="3" t="s">
        <v>35</v>
      </c>
      <c r="I1862" s="3" t="s">
        <v>39</v>
      </c>
      <c r="J1862" s="3" t="s">
        <v>23</v>
      </c>
      <c r="K1862" s="3">
        <v>58</v>
      </c>
      <c r="L1862" s="3">
        <v>4</v>
      </c>
      <c r="M1862" s="3">
        <v>8819</v>
      </c>
      <c r="N1862" s="3">
        <v>35276</v>
      </c>
      <c r="O1862" s="3">
        <v>0</v>
      </c>
      <c r="P1862" s="3" t="s">
        <v>51</v>
      </c>
      <c r="Q1862" s="3">
        <v>1</v>
      </c>
      <c r="R1862" s="3" t="str">
        <f t="shared" si="29"/>
        <v>Cancelled</v>
      </c>
      <c r="S1862" s="3" t="s">
        <v>31</v>
      </c>
    </row>
    <row r="1863" spans="1:19" x14ac:dyDescent="0.35">
      <c r="A1863" s="3">
        <v>2862</v>
      </c>
      <c r="B1863" s="3" t="s">
        <v>77</v>
      </c>
      <c r="C1863" s="4">
        <v>45409</v>
      </c>
      <c r="D1863" s="3" t="s">
        <v>64</v>
      </c>
      <c r="E1863" s="4">
        <v>45454</v>
      </c>
      <c r="F1863" s="4">
        <v>45459</v>
      </c>
      <c r="G1863" s="3" t="s">
        <v>45</v>
      </c>
      <c r="H1863" s="3" t="s">
        <v>21</v>
      </c>
      <c r="I1863" s="3" t="s">
        <v>39</v>
      </c>
      <c r="J1863" s="3" t="s">
        <v>23</v>
      </c>
      <c r="K1863" s="3">
        <v>45</v>
      </c>
      <c r="L1863" s="3">
        <v>5</v>
      </c>
      <c r="M1863" s="3">
        <v>5417</v>
      </c>
      <c r="N1863" s="3">
        <v>27085</v>
      </c>
      <c r="O1863" s="3">
        <v>27085</v>
      </c>
      <c r="P1863" s="3" t="s">
        <v>51</v>
      </c>
      <c r="Q1863" s="3">
        <v>0</v>
      </c>
      <c r="R1863" s="3" t="str">
        <f t="shared" si="29"/>
        <v>Not Cancelled</v>
      </c>
      <c r="S1863" s="3" t="s">
        <v>31</v>
      </c>
    </row>
    <row r="1864" spans="1:19" x14ac:dyDescent="0.35">
      <c r="A1864" s="3">
        <v>2863</v>
      </c>
      <c r="B1864" s="3" t="s">
        <v>189</v>
      </c>
      <c r="C1864" s="4">
        <v>45345</v>
      </c>
      <c r="D1864" s="3" t="s">
        <v>133</v>
      </c>
      <c r="E1864" s="4">
        <v>45398</v>
      </c>
      <c r="F1864" s="4">
        <v>45402</v>
      </c>
      <c r="G1864" s="3" t="s">
        <v>42</v>
      </c>
      <c r="H1864" s="3" t="s">
        <v>35</v>
      </c>
      <c r="I1864" s="3" t="s">
        <v>22</v>
      </c>
      <c r="J1864" s="3" t="s">
        <v>23</v>
      </c>
      <c r="K1864" s="3">
        <v>53</v>
      </c>
      <c r="L1864" s="3">
        <v>4</v>
      </c>
      <c r="M1864" s="3">
        <v>2752</v>
      </c>
      <c r="N1864" s="3">
        <v>11008</v>
      </c>
      <c r="O1864" s="3">
        <v>0</v>
      </c>
      <c r="P1864" s="3" t="s">
        <v>51</v>
      </c>
      <c r="Q1864" s="3">
        <v>1</v>
      </c>
      <c r="R1864" s="3" t="str">
        <f t="shared" si="29"/>
        <v>Cancelled</v>
      </c>
      <c r="S1864" s="3" t="s">
        <v>25</v>
      </c>
    </row>
    <row r="1865" spans="1:19" x14ac:dyDescent="0.35">
      <c r="A1865" s="3">
        <v>2864</v>
      </c>
      <c r="B1865" s="3" t="s">
        <v>1139</v>
      </c>
      <c r="C1865" s="4">
        <v>45429</v>
      </c>
      <c r="D1865" s="3" t="s">
        <v>113</v>
      </c>
      <c r="E1865" s="4">
        <v>45484</v>
      </c>
      <c r="F1865" s="4">
        <v>45485</v>
      </c>
      <c r="G1865" s="3" t="s">
        <v>34</v>
      </c>
      <c r="H1865" s="3" t="s">
        <v>38</v>
      </c>
      <c r="I1865" s="3" t="s">
        <v>39</v>
      </c>
      <c r="J1865" s="3" t="s">
        <v>46</v>
      </c>
      <c r="K1865" s="3">
        <v>55</v>
      </c>
      <c r="L1865" s="3">
        <v>1</v>
      </c>
      <c r="M1865" s="3">
        <v>7561</v>
      </c>
      <c r="N1865" s="3">
        <v>7561</v>
      </c>
      <c r="O1865" s="3">
        <v>7561</v>
      </c>
      <c r="P1865" s="3" t="s">
        <v>24</v>
      </c>
      <c r="Q1865" s="3">
        <v>0</v>
      </c>
      <c r="R1865" s="3" t="str">
        <f t="shared" si="29"/>
        <v>Not Cancelled</v>
      </c>
      <c r="S1865" s="3" t="s">
        <v>25</v>
      </c>
    </row>
    <row r="1866" spans="1:19" x14ac:dyDescent="0.35">
      <c r="A1866" s="3">
        <v>2865</v>
      </c>
      <c r="B1866" s="3" t="s">
        <v>1140</v>
      </c>
      <c r="C1866" s="4">
        <v>45344</v>
      </c>
      <c r="D1866" s="3" t="s">
        <v>105</v>
      </c>
      <c r="E1866" s="4">
        <v>45381</v>
      </c>
      <c r="F1866" s="4">
        <v>45386</v>
      </c>
      <c r="G1866" s="3" t="s">
        <v>45</v>
      </c>
      <c r="H1866" s="3" t="s">
        <v>60</v>
      </c>
      <c r="I1866" s="3" t="s">
        <v>39</v>
      </c>
      <c r="J1866" s="3" t="s">
        <v>46</v>
      </c>
      <c r="K1866" s="3">
        <v>37</v>
      </c>
      <c r="L1866" s="3">
        <v>5</v>
      </c>
      <c r="M1866" s="3">
        <v>7334</v>
      </c>
      <c r="N1866" s="3">
        <v>36670</v>
      </c>
      <c r="O1866" s="3">
        <v>0</v>
      </c>
      <c r="P1866" s="3" t="s">
        <v>24</v>
      </c>
      <c r="Q1866" s="3">
        <v>1</v>
      </c>
      <c r="R1866" s="3" t="str">
        <f t="shared" si="29"/>
        <v>Cancelled</v>
      </c>
      <c r="S1866" s="3" t="s">
        <v>25</v>
      </c>
    </row>
    <row r="1867" spans="1:19" x14ac:dyDescent="0.35">
      <c r="A1867" s="3">
        <v>2866</v>
      </c>
      <c r="B1867" s="3" t="s">
        <v>1141</v>
      </c>
      <c r="C1867" s="4">
        <v>45335</v>
      </c>
      <c r="D1867" s="3" t="s">
        <v>94</v>
      </c>
      <c r="E1867" s="4">
        <v>45391</v>
      </c>
      <c r="F1867" s="4">
        <v>45395</v>
      </c>
      <c r="G1867" s="3" t="s">
        <v>42</v>
      </c>
      <c r="H1867" s="3" t="s">
        <v>38</v>
      </c>
      <c r="I1867" s="3" t="s">
        <v>22</v>
      </c>
      <c r="J1867" s="3" t="s">
        <v>30</v>
      </c>
      <c r="K1867" s="3">
        <v>56</v>
      </c>
      <c r="L1867" s="3">
        <v>4</v>
      </c>
      <c r="M1867" s="3">
        <v>3629</v>
      </c>
      <c r="N1867" s="3">
        <v>14516</v>
      </c>
      <c r="O1867" s="3">
        <v>0</v>
      </c>
      <c r="P1867" s="3" t="s">
        <v>24</v>
      </c>
      <c r="Q1867" s="3">
        <v>1</v>
      </c>
      <c r="R1867" s="3" t="str">
        <f t="shared" si="29"/>
        <v>Cancelled</v>
      </c>
      <c r="S1867" s="3" t="s">
        <v>25</v>
      </c>
    </row>
    <row r="1868" spans="1:19" x14ac:dyDescent="0.35">
      <c r="A1868" s="3">
        <v>2867</v>
      </c>
      <c r="B1868" s="3" t="s">
        <v>982</v>
      </c>
      <c r="C1868" s="4">
        <v>45594</v>
      </c>
      <c r="D1868" s="3" t="s">
        <v>96</v>
      </c>
      <c r="E1868" s="4">
        <v>45653</v>
      </c>
      <c r="F1868" s="4">
        <v>45657</v>
      </c>
      <c r="G1868" s="3" t="s">
        <v>42</v>
      </c>
      <c r="H1868" s="3" t="s">
        <v>35</v>
      </c>
      <c r="I1868" s="3" t="s">
        <v>22</v>
      </c>
      <c r="J1868" s="3" t="s">
        <v>23</v>
      </c>
      <c r="K1868" s="3">
        <v>59</v>
      </c>
      <c r="L1868" s="3">
        <v>4</v>
      </c>
      <c r="M1868" s="3">
        <v>5764</v>
      </c>
      <c r="N1868" s="3">
        <v>23056</v>
      </c>
      <c r="O1868" s="3">
        <v>0</v>
      </c>
      <c r="P1868" s="3" t="s">
        <v>51</v>
      </c>
      <c r="Q1868" s="3">
        <v>1</v>
      </c>
      <c r="R1868" s="3" t="str">
        <f t="shared" si="29"/>
        <v>Cancelled</v>
      </c>
      <c r="S1868" s="3" t="s">
        <v>31</v>
      </c>
    </row>
    <row r="1869" spans="1:19" x14ac:dyDescent="0.35">
      <c r="A1869" s="3">
        <v>2868</v>
      </c>
      <c r="B1869" s="3" t="s">
        <v>1142</v>
      </c>
      <c r="C1869" s="4">
        <v>45344</v>
      </c>
      <c r="D1869" s="3" t="s">
        <v>64</v>
      </c>
      <c r="E1869" s="4">
        <v>45389</v>
      </c>
      <c r="F1869" s="4">
        <v>45394</v>
      </c>
      <c r="G1869" s="3" t="s">
        <v>45</v>
      </c>
      <c r="H1869" s="3" t="s">
        <v>60</v>
      </c>
      <c r="I1869" s="3" t="s">
        <v>22</v>
      </c>
      <c r="J1869" s="3" t="s">
        <v>46</v>
      </c>
      <c r="K1869" s="3">
        <v>45</v>
      </c>
      <c r="L1869" s="3">
        <v>5</v>
      </c>
      <c r="M1869" s="3">
        <v>7935</v>
      </c>
      <c r="N1869" s="3">
        <v>39675</v>
      </c>
      <c r="O1869" s="3">
        <v>0</v>
      </c>
      <c r="P1869" s="3" t="s">
        <v>24</v>
      </c>
      <c r="Q1869" s="3">
        <v>1</v>
      </c>
      <c r="R1869" s="3" t="str">
        <f t="shared" si="29"/>
        <v>Cancelled</v>
      </c>
      <c r="S1869" s="3" t="s">
        <v>31</v>
      </c>
    </row>
    <row r="1870" spans="1:19" x14ac:dyDescent="0.35">
      <c r="A1870" s="3">
        <v>2869</v>
      </c>
      <c r="B1870" s="3" t="s">
        <v>1143</v>
      </c>
      <c r="C1870" s="4">
        <v>45365</v>
      </c>
      <c r="D1870" s="3" t="s">
        <v>115</v>
      </c>
      <c r="E1870" s="4">
        <v>45403</v>
      </c>
      <c r="F1870" s="4">
        <v>45404</v>
      </c>
      <c r="G1870" s="3" t="s">
        <v>34</v>
      </c>
      <c r="H1870" s="3" t="s">
        <v>29</v>
      </c>
      <c r="I1870" s="3" t="s">
        <v>39</v>
      </c>
      <c r="J1870" s="3" t="s">
        <v>46</v>
      </c>
      <c r="K1870" s="3">
        <v>38</v>
      </c>
      <c r="L1870" s="3">
        <v>1</v>
      </c>
      <c r="M1870" s="3">
        <v>2801</v>
      </c>
      <c r="N1870" s="3">
        <v>2801</v>
      </c>
      <c r="O1870" s="3">
        <v>0</v>
      </c>
      <c r="P1870" s="3" t="s">
        <v>24</v>
      </c>
      <c r="Q1870" s="3">
        <v>1</v>
      </c>
      <c r="R1870" s="3" t="str">
        <f t="shared" si="29"/>
        <v>Cancelled</v>
      </c>
      <c r="S1870" s="3" t="s">
        <v>25</v>
      </c>
    </row>
    <row r="1871" spans="1:19" x14ac:dyDescent="0.35">
      <c r="A1871" s="3">
        <v>2870</v>
      </c>
      <c r="B1871" s="3" t="s">
        <v>806</v>
      </c>
      <c r="C1871" s="4">
        <v>45337</v>
      </c>
      <c r="D1871" s="3" t="s">
        <v>57</v>
      </c>
      <c r="E1871" s="4">
        <v>45366</v>
      </c>
      <c r="F1871" s="4">
        <v>45370</v>
      </c>
      <c r="G1871" s="3" t="s">
        <v>42</v>
      </c>
      <c r="H1871" s="3" t="s">
        <v>29</v>
      </c>
      <c r="I1871" s="3" t="s">
        <v>39</v>
      </c>
      <c r="J1871" s="3" t="s">
        <v>46</v>
      </c>
      <c r="K1871" s="3">
        <v>29</v>
      </c>
      <c r="L1871" s="3">
        <v>4</v>
      </c>
      <c r="M1871" s="3">
        <v>4477</v>
      </c>
      <c r="N1871" s="3">
        <v>17908</v>
      </c>
      <c r="O1871" s="3">
        <v>0</v>
      </c>
      <c r="P1871" s="3" t="s">
        <v>51</v>
      </c>
      <c r="Q1871" s="3">
        <v>1</v>
      </c>
      <c r="R1871" s="3" t="str">
        <f t="shared" si="29"/>
        <v>Cancelled</v>
      </c>
      <c r="S1871" s="3" t="s">
        <v>25</v>
      </c>
    </row>
    <row r="1872" spans="1:19" x14ac:dyDescent="0.35">
      <c r="A1872" s="3">
        <v>2871</v>
      </c>
      <c r="B1872" s="3" t="s">
        <v>172</v>
      </c>
      <c r="C1872" s="4">
        <v>45304</v>
      </c>
      <c r="D1872" s="3" t="s">
        <v>45</v>
      </c>
      <c r="E1872" s="4">
        <v>45309</v>
      </c>
      <c r="F1872" s="4">
        <v>45312</v>
      </c>
      <c r="G1872" s="3" t="s">
        <v>20</v>
      </c>
      <c r="H1872" s="3" t="s">
        <v>38</v>
      </c>
      <c r="I1872" s="3" t="s">
        <v>22</v>
      </c>
      <c r="J1872" s="3" t="s">
        <v>46</v>
      </c>
      <c r="K1872" s="3">
        <v>5</v>
      </c>
      <c r="L1872" s="3">
        <v>3</v>
      </c>
      <c r="M1872" s="3">
        <v>5263</v>
      </c>
      <c r="N1872" s="3">
        <v>15789</v>
      </c>
      <c r="O1872" s="3">
        <v>15789</v>
      </c>
      <c r="P1872" s="3" t="s">
        <v>51</v>
      </c>
      <c r="Q1872" s="3">
        <v>0</v>
      </c>
      <c r="R1872" s="3" t="str">
        <f t="shared" si="29"/>
        <v>Not Cancelled</v>
      </c>
      <c r="S1872" s="3" t="s">
        <v>31</v>
      </c>
    </row>
    <row r="1873" spans="1:19" x14ac:dyDescent="0.35">
      <c r="A1873" s="3">
        <v>2872</v>
      </c>
      <c r="B1873" s="3" t="s">
        <v>1070</v>
      </c>
      <c r="C1873" s="4">
        <v>45456</v>
      </c>
      <c r="D1873" s="3" t="s">
        <v>165</v>
      </c>
      <c r="E1873" s="4">
        <v>45465</v>
      </c>
      <c r="F1873" s="4">
        <v>45470</v>
      </c>
      <c r="G1873" s="3" t="s">
        <v>45</v>
      </c>
      <c r="H1873" s="3" t="s">
        <v>60</v>
      </c>
      <c r="I1873" s="3" t="s">
        <v>39</v>
      </c>
      <c r="J1873" s="3" t="s">
        <v>46</v>
      </c>
      <c r="K1873" s="3">
        <v>9</v>
      </c>
      <c r="L1873" s="3">
        <v>5</v>
      </c>
      <c r="M1873" s="3">
        <v>6505</v>
      </c>
      <c r="N1873" s="3">
        <v>32525</v>
      </c>
      <c r="O1873" s="3">
        <v>32525</v>
      </c>
      <c r="P1873" s="3" t="s">
        <v>24</v>
      </c>
      <c r="Q1873" s="3">
        <v>0</v>
      </c>
      <c r="R1873" s="3" t="str">
        <f t="shared" si="29"/>
        <v>Not Cancelled</v>
      </c>
      <c r="S1873" s="3" t="s">
        <v>25</v>
      </c>
    </row>
    <row r="1874" spans="1:19" x14ac:dyDescent="0.35">
      <c r="A1874" s="3">
        <v>2873</v>
      </c>
      <c r="B1874" s="3" t="s">
        <v>394</v>
      </c>
      <c r="C1874" s="4">
        <v>45393</v>
      </c>
      <c r="D1874" s="3" t="s">
        <v>96</v>
      </c>
      <c r="E1874" s="4">
        <v>45452</v>
      </c>
      <c r="F1874" s="4">
        <v>45454</v>
      </c>
      <c r="G1874" s="3" t="s">
        <v>28</v>
      </c>
      <c r="H1874" s="3" t="s">
        <v>38</v>
      </c>
      <c r="I1874" s="3" t="s">
        <v>39</v>
      </c>
      <c r="J1874" s="3" t="s">
        <v>46</v>
      </c>
      <c r="K1874" s="3">
        <v>59</v>
      </c>
      <c r="L1874" s="3">
        <v>2</v>
      </c>
      <c r="M1874" s="3">
        <v>8911</v>
      </c>
      <c r="N1874" s="3">
        <v>17822</v>
      </c>
      <c r="O1874" s="3">
        <v>0</v>
      </c>
      <c r="P1874" s="3" t="s">
        <v>24</v>
      </c>
      <c r="Q1874" s="3">
        <v>1</v>
      </c>
      <c r="R1874" s="3" t="str">
        <f t="shared" si="29"/>
        <v>Cancelled</v>
      </c>
      <c r="S1874" s="3" t="s">
        <v>31</v>
      </c>
    </row>
    <row r="1875" spans="1:19" x14ac:dyDescent="0.35">
      <c r="A1875" s="3">
        <v>2874</v>
      </c>
      <c r="B1875" s="3" t="s">
        <v>730</v>
      </c>
      <c r="C1875" s="4">
        <v>45571</v>
      </c>
      <c r="D1875" s="3" t="s">
        <v>73</v>
      </c>
      <c r="E1875" s="4">
        <v>45619</v>
      </c>
      <c r="F1875" s="4">
        <v>45621</v>
      </c>
      <c r="G1875" s="3" t="s">
        <v>28</v>
      </c>
      <c r="H1875" s="3" t="s">
        <v>60</v>
      </c>
      <c r="I1875" s="3" t="s">
        <v>22</v>
      </c>
      <c r="J1875" s="3" t="s">
        <v>30</v>
      </c>
      <c r="K1875" s="3">
        <v>48</v>
      </c>
      <c r="L1875" s="3">
        <v>2</v>
      </c>
      <c r="M1875" s="3">
        <v>5741</v>
      </c>
      <c r="N1875" s="3">
        <v>11482</v>
      </c>
      <c r="O1875" s="3">
        <v>0</v>
      </c>
      <c r="P1875" s="3" t="s">
        <v>24</v>
      </c>
      <c r="Q1875" s="3">
        <v>1</v>
      </c>
      <c r="R1875" s="3" t="str">
        <f t="shared" si="29"/>
        <v>Cancelled</v>
      </c>
      <c r="S1875" s="3" t="s">
        <v>25</v>
      </c>
    </row>
    <row r="1876" spans="1:19" x14ac:dyDescent="0.35">
      <c r="A1876" s="3">
        <v>2875</v>
      </c>
      <c r="B1876" s="3" t="s">
        <v>891</v>
      </c>
      <c r="C1876" s="4">
        <v>45549</v>
      </c>
      <c r="D1876" s="3" t="s">
        <v>28</v>
      </c>
      <c r="E1876" s="4">
        <v>45551</v>
      </c>
      <c r="F1876" s="4">
        <v>45552</v>
      </c>
      <c r="G1876" s="3" t="s">
        <v>34</v>
      </c>
      <c r="H1876" s="3" t="s">
        <v>60</v>
      </c>
      <c r="I1876" s="3" t="s">
        <v>39</v>
      </c>
      <c r="J1876" s="3" t="s">
        <v>46</v>
      </c>
      <c r="K1876" s="3">
        <v>2</v>
      </c>
      <c r="L1876" s="3">
        <v>1</v>
      </c>
      <c r="M1876" s="3">
        <v>5557</v>
      </c>
      <c r="N1876" s="3">
        <v>5557</v>
      </c>
      <c r="O1876" s="3">
        <v>5557</v>
      </c>
      <c r="P1876" s="3" t="s">
        <v>24</v>
      </c>
      <c r="Q1876" s="3">
        <v>0</v>
      </c>
      <c r="R1876" s="3" t="str">
        <f t="shared" si="29"/>
        <v>Not Cancelled</v>
      </c>
      <c r="S1876" s="3" t="s">
        <v>31</v>
      </c>
    </row>
    <row r="1877" spans="1:19" x14ac:dyDescent="0.35">
      <c r="A1877" s="3">
        <v>2876</v>
      </c>
      <c r="B1877" s="3" t="s">
        <v>610</v>
      </c>
      <c r="C1877" s="4">
        <v>45628</v>
      </c>
      <c r="D1877" s="3" t="s">
        <v>34</v>
      </c>
      <c r="E1877" s="4">
        <v>45629</v>
      </c>
      <c r="F1877" s="4">
        <v>45632</v>
      </c>
      <c r="G1877" s="3" t="s">
        <v>20</v>
      </c>
      <c r="H1877" s="3" t="s">
        <v>38</v>
      </c>
      <c r="I1877" s="3" t="s">
        <v>22</v>
      </c>
      <c r="J1877" s="3" t="s">
        <v>30</v>
      </c>
      <c r="K1877" s="3">
        <v>1</v>
      </c>
      <c r="L1877" s="3">
        <v>3</v>
      </c>
      <c r="M1877" s="3">
        <v>3050</v>
      </c>
      <c r="N1877" s="3">
        <v>9150</v>
      </c>
      <c r="O1877" s="3">
        <v>9150</v>
      </c>
      <c r="P1877" s="3" t="s">
        <v>24</v>
      </c>
      <c r="Q1877" s="3">
        <v>0</v>
      </c>
      <c r="R1877" s="3" t="str">
        <f t="shared" si="29"/>
        <v>Not Cancelled</v>
      </c>
      <c r="S1877" s="3" t="s">
        <v>25</v>
      </c>
    </row>
    <row r="1878" spans="1:19" x14ac:dyDescent="0.35">
      <c r="A1878" s="3">
        <v>2877</v>
      </c>
      <c r="B1878" s="3" t="s">
        <v>549</v>
      </c>
      <c r="C1878" s="4">
        <v>45647</v>
      </c>
      <c r="D1878" s="3" t="s">
        <v>179</v>
      </c>
      <c r="E1878" s="4">
        <v>45687</v>
      </c>
      <c r="F1878" s="4">
        <v>45691</v>
      </c>
      <c r="G1878" s="3" t="s">
        <v>42</v>
      </c>
      <c r="H1878" s="3" t="s">
        <v>60</v>
      </c>
      <c r="I1878" s="3" t="s">
        <v>39</v>
      </c>
      <c r="J1878" s="3" t="s">
        <v>30</v>
      </c>
      <c r="K1878" s="3">
        <v>40</v>
      </c>
      <c r="L1878" s="3">
        <v>4</v>
      </c>
      <c r="M1878" s="3">
        <v>8074</v>
      </c>
      <c r="N1878" s="3">
        <v>32296</v>
      </c>
      <c r="O1878" s="3">
        <v>0</v>
      </c>
      <c r="P1878" s="3" t="s">
        <v>51</v>
      </c>
      <c r="Q1878" s="3">
        <v>1</v>
      </c>
      <c r="R1878" s="3" t="str">
        <f t="shared" si="29"/>
        <v>Cancelled</v>
      </c>
      <c r="S1878" s="3" t="s">
        <v>25</v>
      </c>
    </row>
    <row r="1879" spans="1:19" x14ac:dyDescent="0.35">
      <c r="A1879" s="3">
        <v>2878</v>
      </c>
      <c r="B1879" s="3" t="s">
        <v>360</v>
      </c>
      <c r="C1879" s="4">
        <v>45429</v>
      </c>
      <c r="D1879" s="3" t="s">
        <v>124</v>
      </c>
      <c r="E1879" s="4">
        <v>45480</v>
      </c>
      <c r="F1879" s="4">
        <v>45482</v>
      </c>
      <c r="G1879" s="3" t="s">
        <v>28</v>
      </c>
      <c r="H1879" s="3" t="s">
        <v>35</v>
      </c>
      <c r="I1879" s="3" t="s">
        <v>22</v>
      </c>
      <c r="J1879" s="3" t="s">
        <v>23</v>
      </c>
      <c r="K1879" s="3">
        <v>51</v>
      </c>
      <c r="L1879" s="3">
        <v>2</v>
      </c>
      <c r="M1879" s="3">
        <v>7911</v>
      </c>
      <c r="N1879" s="3">
        <v>15822</v>
      </c>
      <c r="O1879" s="3">
        <v>0</v>
      </c>
      <c r="P1879" s="3" t="s">
        <v>24</v>
      </c>
      <c r="Q1879" s="3">
        <v>1</v>
      </c>
      <c r="R1879" s="3" t="str">
        <f t="shared" si="29"/>
        <v>Cancelled</v>
      </c>
      <c r="S1879" s="3" t="s">
        <v>31</v>
      </c>
    </row>
    <row r="1880" spans="1:19" x14ac:dyDescent="0.35">
      <c r="A1880" s="3">
        <v>2879</v>
      </c>
      <c r="B1880" s="3" t="s">
        <v>1018</v>
      </c>
      <c r="C1880" s="4">
        <v>45454</v>
      </c>
      <c r="D1880" s="3" t="s">
        <v>50</v>
      </c>
      <c r="E1880" s="4">
        <v>45484</v>
      </c>
      <c r="F1880" s="4">
        <v>45485</v>
      </c>
      <c r="G1880" s="3" t="s">
        <v>34</v>
      </c>
      <c r="H1880" s="3" t="s">
        <v>60</v>
      </c>
      <c r="I1880" s="3" t="s">
        <v>39</v>
      </c>
      <c r="J1880" s="3" t="s">
        <v>23</v>
      </c>
      <c r="K1880" s="3">
        <v>30</v>
      </c>
      <c r="L1880" s="3">
        <v>1</v>
      </c>
      <c r="M1880" s="3">
        <v>4087</v>
      </c>
      <c r="N1880" s="3">
        <v>4087</v>
      </c>
      <c r="O1880" s="3">
        <v>4087</v>
      </c>
      <c r="P1880" s="3" t="s">
        <v>24</v>
      </c>
      <c r="Q1880" s="3">
        <v>0</v>
      </c>
      <c r="R1880" s="3" t="str">
        <f t="shared" si="29"/>
        <v>Not Cancelled</v>
      </c>
      <c r="S1880" s="3" t="s">
        <v>31</v>
      </c>
    </row>
    <row r="1881" spans="1:19" x14ac:dyDescent="0.35">
      <c r="A1881" s="3">
        <v>2880</v>
      </c>
      <c r="B1881" s="3" t="s">
        <v>1144</v>
      </c>
      <c r="C1881" s="4">
        <v>45402</v>
      </c>
      <c r="D1881" s="3" t="s">
        <v>75</v>
      </c>
      <c r="E1881" s="4">
        <v>45413</v>
      </c>
      <c r="F1881" s="4">
        <v>45416</v>
      </c>
      <c r="G1881" s="3" t="s">
        <v>20</v>
      </c>
      <c r="H1881" s="3" t="s">
        <v>60</v>
      </c>
      <c r="I1881" s="3" t="s">
        <v>39</v>
      </c>
      <c r="J1881" s="3" t="s">
        <v>23</v>
      </c>
      <c r="K1881" s="3">
        <v>11</v>
      </c>
      <c r="L1881" s="3">
        <v>3</v>
      </c>
      <c r="M1881" s="3">
        <v>4322</v>
      </c>
      <c r="N1881" s="3">
        <v>12966</v>
      </c>
      <c r="O1881" s="3">
        <v>12966</v>
      </c>
      <c r="P1881" s="3" t="s">
        <v>24</v>
      </c>
      <c r="Q1881" s="3">
        <v>0</v>
      </c>
      <c r="R1881" s="3" t="str">
        <f t="shared" si="29"/>
        <v>Not Cancelled</v>
      </c>
      <c r="S1881" s="3" t="s">
        <v>25</v>
      </c>
    </row>
    <row r="1882" spans="1:19" x14ac:dyDescent="0.35">
      <c r="A1882" s="3">
        <v>2881</v>
      </c>
      <c r="B1882" s="3" t="s">
        <v>362</v>
      </c>
      <c r="C1882" s="4">
        <v>45393</v>
      </c>
      <c r="D1882" s="3" t="s">
        <v>82</v>
      </c>
      <c r="E1882" s="4">
        <v>45421</v>
      </c>
      <c r="F1882" s="4">
        <v>45424</v>
      </c>
      <c r="G1882" s="3" t="s">
        <v>20</v>
      </c>
      <c r="H1882" s="3" t="s">
        <v>38</v>
      </c>
      <c r="I1882" s="3" t="s">
        <v>22</v>
      </c>
      <c r="J1882" s="3" t="s">
        <v>46</v>
      </c>
      <c r="K1882" s="3">
        <v>28</v>
      </c>
      <c r="L1882" s="3">
        <v>3</v>
      </c>
      <c r="M1882" s="3">
        <v>8420</v>
      </c>
      <c r="N1882" s="3">
        <v>25260</v>
      </c>
      <c r="O1882" s="3">
        <v>0</v>
      </c>
      <c r="P1882" s="3" t="s">
        <v>24</v>
      </c>
      <c r="Q1882" s="3">
        <v>1</v>
      </c>
      <c r="R1882" s="3" t="str">
        <f t="shared" si="29"/>
        <v>Cancelled</v>
      </c>
      <c r="S1882" s="3" t="s">
        <v>25</v>
      </c>
    </row>
    <row r="1883" spans="1:19" x14ac:dyDescent="0.35">
      <c r="A1883" s="3">
        <v>2882</v>
      </c>
      <c r="B1883" s="3" t="s">
        <v>908</v>
      </c>
      <c r="C1883" s="4">
        <v>45308</v>
      </c>
      <c r="D1883" s="3" t="s">
        <v>62</v>
      </c>
      <c r="E1883" s="4">
        <v>45352</v>
      </c>
      <c r="F1883" s="4">
        <v>45353</v>
      </c>
      <c r="G1883" s="3" t="s">
        <v>34</v>
      </c>
      <c r="H1883" s="3" t="s">
        <v>29</v>
      </c>
      <c r="I1883" s="3" t="s">
        <v>22</v>
      </c>
      <c r="J1883" s="3" t="s">
        <v>23</v>
      </c>
      <c r="K1883" s="3">
        <v>44</v>
      </c>
      <c r="L1883" s="3">
        <v>1</v>
      </c>
      <c r="M1883" s="3">
        <v>7760</v>
      </c>
      <c r="N1883" s="3">
        <v>7760</v>
      </c>
      <c r="O1883" s="3">
        <v>0</v>
      </c>
      <c r="P1883" s="3" t="s">
        <v>24</v>
      </c>
      <c r="Q1883" s="3">
        <v>1</v>
      </c>
      <c r="R1883" s="3" t="str">
        <f t="shared" si="29"/>
        <v>Cancelled</v>
      </c>
      <c r="S1883" s="3" t="s">
        <v>31</v>
      </c>
    </row>
    <row r="1884" spans="1:19" x14ac:dyDescent="0.35">
      <c r="A1884" s="3">
        <v>2883</v>
      </c>
      <c r="B1884" s="3" t="s">
        <v>766</v>
      </c>
      <c r="C1884" s="4">
        <v>45559</v>
      </c>
      <c r="D1884" s="3" t="s">
        <v>102</v>
      </c>
      <c r="E1884" s="4">
        <v>45571</v>
      </c>
      <c r="F1884" s="4">
        <v>45572</v>
      </c>
      <c r="G1884" s="3" t="s">
        <v>34</v>
      </c>
      <c r="H1884" s="3" t="s">
        <v>21</v>
      </c>
      <c r="I1884" s="3" t="s">
        <v>22</v>
      </c>
      <c r="J1884" s="3" t="s">
        <v>46</v>
      </c>
      <c r="K1884" s="3">
        <v>12</v>
      </c>
      <c r="L1884" s="3">
        <v>1</v>
      </c>
      <c r="M1884" s="3">
        <v>5717</v>
      </c>
      <c r="N1884" s="3">
        <v>5717</v>
      </c>
      <c r="O1884" s="3">
        <v>5717</v>
      </c>
      <c r="P1884" s="3" t="s">
        <v>24</v>
      </c>
      <c r="Q1884" s="3">
        <v>0</v>
      </c>
      <c r="R1884" s="3" t="str">
        <f t="shared" si="29"/>
        <v>Not Cancelled</v>
      </c>
      <c r="S1884" s="3" t="s">
        <v>31</v>
      </c>
    </row>
    <row r="1885" spans="1:19" x14ac:dyDescent="0.35">
      <c r="A1885" s="3">
        <v>2884</v>
      </c>
      <c r="B1885" s="3" t="s">
        <v>956</v>
      </c>
      <c r="C1885" s="4">
        <v>45473</v>
      </c>
      <c r="D1885" s="3" t="s">
        <v>153</v>
      </c>
      <c r="E1885" s="4">
        <v>45512</v>
      </c>
      <c r="F1885" s="4">
        <v>45516</v>
      </c>
      <c r="G1885" s="3" t="s">
        <v>42</v>
      </c>
      <c r="H1885" s="3" t="s">
        <v>60</v>
      </c>
      <c r="I1885" s="3" t="s">
        <v>22</v>
      </c>
      <c r="J1885" s="3" t="s">
        <v>46</v>
      </c>
      <c r="K1885" s="3">
        <v>39</v>
      </c>
      <c r="L1885" s="3">
        <v>4</v>
      </c>
      <c r="M1885" s="3">
        <v>5996</v>
      </c>
      <c r="N1885" s="3">
        <v>23984</v>
      </c>
      <c r="O1885" s="3">
        <v>23984</v>
      </c>
      <c r="P1885" s="3" t="s">
        <v>51</v>
      </c>
      <c r="Q1885" s="3">
        <v>0</v>
      </c>
      <c r="R1885" s="3" t="str">
        <f t="shared" si="29"/>
        <v>Not Cancelled</v>
      </c>
      <c r="S1885" s="3" t="s">
        <v>25</v>
      </c>
    </row>
    <row r="1886" spans="1:19" x14ac:dyDescent="0.35">
      <c r="A1886" s="3">
        <v>2885</v>
      </c>
      <c r="B1886" s="3" t="s">
        <v>301</v>
      </c>
      <c r="C1886" s="4">
        <v>45315</v>
      </c>
      <c r="D1886" s="3" t="s">
        <v>98</v>
      </c>
      <c r="E1886" s="4">
        <v>45341</v>
      </c>
      <c r="F1886" s="4">
        <v>45342</v>
      </c>
      <c r="G1886" s="3" t="s">
        <v>34</v>
      </c>
      <c r="H1886" s="3" t="s">
        <v>21</v>
      </c>
      <c r="I1886" s="3" t="s">
        <v>39</v>
      </c>
      <c r="J1886" s="3" t="s">
        <v>23</v>
      </c>
      <c r="K1886" s="3">
        <v>26</v>
      </c>
      <c r="L1886" s="3">
        <v>1</v>
      </c>
      <c r="M1886" s="3">
        <v>6909</v>
      </c>
      <c r="N1886" s="3">
        <v>6909</v>
      </c>
      <c r="O1886" s="3">
        <v>6909</v>
      </c>
      <c r="P1886" s="3" t="s">
        <v>51</v>
      </c>
      <c r="Q1886" s="3">
        <v>0</v>
      </c>
      <c r="R1886" s="3" t="str">
        <f t="shared" si="29"/>
        <v>Not Cancelled</v>
      </c>
      <c r="S1886" s="3" t="s">
        <v>25</v>
      </c>
    </row>
    <row r="1887" spans="1:19" x14ac:dyDescent="0.35">
      <c r="A1887" s="3">
        <v>2886</v>
      </c>
      <c r="B1887" s="3" t="s">
        <v>594</v>
      </c>
      <c r="C1887" s="4">
        <v>45320</v>
      </c>
      <c r="D1887" s="3" t="s">
        <v>44</v>
      </c>
      <c r="E1887" s="4">
        <v>45333</v>
      </c>
      <c r="F1887" s="4">
        <v>45337</v>
      </c>
      <c r="G1887" s="3" t="s">
        <v>42</v>
      </c>
      <c r="H1887" s="3" t="s">
        <v>60</v>
      </c>
      <c r="I1887" s="3" t="s">
        <v>22</v>
      </c>
      <c r="J1887" s="3" t="s">
        <v>23</v>
      </c>
      <c r="K1887" s="3">
        <v>13</v>
      </c>
      <c r="L1887" s="3">
        <v>4</v>
      </c>
      <c r="M1887" s="3">
        <v>6779</v>
      </c>
      <c r="N1887" s="3">
        <v>27116</v>
      </c>
      <c r="O1887" s="3">
        <v>0</v>
      </c>
      <c r="P1887" s="3" t="s">
        <v>51</v>
      </c>
      <c r="Q1887" s="3">
        <v>1</v>
      </c>
      <c r="R1887" s="3" t="str">
        <f t="shared" si="29"/>
        <v>Cancelled</v>
      </c>
      <c r="S1887" s="3" t="s">
        <v>31</v>
      </c>
    </row>
    <row r="1888" spans="1:19" x14ac:dyDescent="0.35">
      <c r="A1888" s="3">
        <v>2887</v>
      </c>
      <c r="B1888" s="3" t="s">
        <v>1145</v>
      </c>
      <c r="C1888" s="4">
        <v>45462</v>
      </c>
      <c r="D1888" s="3" t="s">
        <v>96</v>
      </c>
      <c r="E1888" s="4">
        <v>45521</v>
      </c>
      <c r="F1888" s="4">
        <v>45525</v>
      </c>
      <c r="G1888" s="3" t="s">
        <v>42</v>
      </c>
      <c r="H1888" s="3" t="s">
        <v>38</v>
      </c>
      <c r="I1888" s="3" t="s">
        <v>22</v>
      </c>
      <c r="J1888" s="3" t="s">
        <v>30</v>
      </c>
      <c r="K1888" s="3">
        <v>59</v>
      </c>
      <c r="L1888" s="3">
        <v>4</v>
      </c>
      <c r="M1888" s="3">
        <v>8283</v>
      </c>
      <c r="N1888" s="3">
        <v>33132</v>
      </c>
      <c r="O1888" s="3">
        <v>0</v>
      </c>
      <c r="P1888" s="3" t="s">
        <v>24</v>
      </c>
      <c r="Q1888" s="3">
        <v>1</v>
      </c>
      <c r="R1888" s="3" t="str">
        <f t="shared" si="29"/>
        <v>Cancelled</v>
      </c>
      <c r="S1888" s="3" t="s">
        <v>31</v>
      </c>
    </row>
    <row r="1889" spans="1:19" x14ac:dyDescent="0.35">
      <c r="A1889" s="3">
        <v>2888</v>
      </c>
      <c r="B1889" s="3" t="s">
        <v>389</v>
      </c>
      <c r="C1889" s="4">
        <v>45519</v>
      </c>
      <c r="D1889" s="3" t="s">
        <v>59</v>
      </c>
      <c r="E1889" s="4">
        <v>45527</v>
      </c>
      <c r="F1889" s="4">
        <v>45532</v>
      </c>
      <c r="G1889" s="3" t="s">
        <v>45</v>
      </c>
      <c r="H1889" s="3" t="s">
        <v>38</v>
      </c>
      <c r="I1889" s="3" t="s">
        <v>22</v>
      </c>
      <c r="J1889" s="3" t="s">
        <v>30</v>
      </c>
      <c r="K1889" s="3">
        <v>8</v>
      </c>
      <c r="L1889" s="3">
        <v>5</v>
      </c>
      <c r="M1889" s="3">
        <v>3212</v>
      </c>
      <c r="N1889" s="3">
        <v>16060</v>
      </c>
      <c r="O1889" s="3">
        <v>16060</v>
      </c>
      <c r="P1889" s="3" t="s">
        <v>24</v>
      </c>
      <c r="Q1889" s="3">
        <v>0</v>
      </c>
      <c r="R1889" s="3" t="str">
        <f t="shared" si="29"/>
        <v>Not Cancelled</v>
      </c>
      <c r="S1889" s="3" t="s">
        <v>31</v>
      </c>
    </row>
    <row r="1890" spans="1:19" x14ac:dyDescent="0.35">
      <c r="A1890" s="3">
        <v>2889</v>
      </c>
      <c r="B1890" s="3" t="s">
        <v>1082</v>
      </c>
      <c r="C1890" s="4">
        <v>45479</v>
      </c>
      <c r="D1890" s="3" t="s">
        <v>117</v>
      </c>
      <c r="E1890" s="4">
        <v>45533</v>
      </c>
      <c r="F1890" s="4">
        <v>45536</v>
      </c>
      <c r="G1890" s="3" t="s">
        <v>20</v>
      </c>
      <c r="H1890" s="3" t="s">
        <v>60</v>
      </c>
      <c r="I1890" s="3" t="s">
        <v>22</v>
      </c>
      <c r="J1890" s="3" t="s">
        <v>46</v>
      </c>
      <c r="K1890" s="3">
        <v>54</v>
      </c>
      <c r="L1890" s="3">
        <v>3</v>
      </c>
      <c r="M1890" s="3">
        <v>4675</v>
      </c>
      <c r="N1890" s="3">
        <v>14025</v>
      </c>
      <c r="O1890" s="3">
        <v>0</v>
      </c>
      <c r="P1890" s="3" t="s">
        <v>51</v>
      </c>
      <c r="Q1890" s="3">
        <v>1</v>
      </c>
      <c r="R1890" s="3" t="str">
        <f t="shared" si="29"/>
        <v>Cancelled</v>
      </c>
      <c r="S1890" s="3" t="s">
        <v>31</v>
      </c>
    </row>
    <row r="1891" spans="1:19" x14ac:dyDescent="0.35">
      <c r="A1891" s="3">
        <v>2890</v>
      </c>
      <c r="B1891" s="3" t="s">
        <v>1146</v>
      </c>
      <c r="C1891" s="4">
        <v>45637</v>
      </c>
      <c r="D1891" s="3" t="s">
        <v>82</v>
      </c>
      <c r="E1891" s="4">
        <v>45665</v>
      </c>
      <c r="F1891" s="4">
        <v>45668</v>
      </c>
      <c r="G1891" s="3" t="s">
        <v>20</v>
      </c>
      <c r="H1891" s="3" t="s">
        <v>38</v>
      </c>
      <c r="I1891" s="3" t="s">
        <v>22</v>
      </c>
      <c r="J1891" s="3" t="s">
        <v>46</v>
      </c>
      <c r="K1891" s="3">
        <v>28</v>
      </c>
      <c r="L1891" s="3">
        <v>3</v>
      </c>
      <c r="M1891" s="3">
        <v>7906</v>
      </c>
      <c r="N1891" s="3">
        <v>23718</v>
      </c>
      <c r="O1891" s="3">
        <v>0</v>
      </c>
      <c r="P1891" s="3" t="s">
        <v>24</v>
      </c>
      <c r="Q1891" s="3">
        <v>1</v>
      </c>
      <c r="R1891" s="3" t="str">
        <f t="shared" si="29"/>
        <v>Cancelled</v>
      </c>
      <c r="S1891" s="3" t="s">
        <v>31</v>
      </c>
    </row>
    <row r="1892" spans="1:19" x14ac:dyDescent="0.35">
      <c r="A1892" s="3">
        <v>2891</v>
      </c>
      <c r="B1892" s="3" t="s">
        <v>1010</v>
      </c>
      <c r="C1892" s="4">
        <v>45521</v>
      </c>
      <c r="D1892" s="3" t="s">
        <v>237</v>
      </c>
      <c r="E1892" s="4">
        <v>45579</v>
      </c>
      <c r="F1892" s="4">
        <v>45582</v>
      </c>
      <c r="G1892" s="3" t="s">
        <v>20</v>
      </c>
      <c r="H1892" s="3" t="s">
        <v>38</v>
      </c>
      <c r="I1892" s="3" t="s">
        <v>39</v>
      </c>
      <c r="J1892" s="3" t="s">
        <v>23</v>
      </c>
      <c r="K1892" s="3">
        <v>58</v>
      </c>
      <c r="L1892" s="3">
        <v>3</v>
      </c>
      <c r="M1892" s="3">
        <v>6572</v>
      </c>
      <c r="N1892" s="3">
        <v>19716</v>
      </c>
      <c r="O1892" s="3">
        <v>0</v>
      </c>
      <c r="P1892" s="3" t="s">
        <v>24</v>
      </c>
      <c r="Q1892" s="3">
        <v>1</v>
      </c>
      <c r="R1892" s="3" t="str">
        <f t="shared" si="29"/>
        <v>Cancelled</v>
      </c>
      <c r="S1892" s="3" t="s">
        <v>25</v>
      </c>
    </row>
    <row r="1893" spans="1:19" x14ac:dyDescent="0.35">
      <c r="A1893" s="3">
        <v>2892</v>
      </c>
      <c r="B1893" s="3" t="s">
        <v>249</v>
      </c>
      <c r="C1893" s="4">
        <v>45612</v>
      </c>
      <c r="D1893" s="3" t="s">
        <v>50</v>
      </c>
      <c r="E1893" s="4">
        <v>45642</v>
      </c>
      <c r="F1893" s="4">
        <v>45647</v>
      </c>
      <c r="G1893" s="3" t="s">
        <v>45</v>
      </c>
      <c r="H1893" s="3" t="s">
        <v>60</v>
      </c>
      <c r="I1893" s="3" t="s">
        <v>22</v>
      </c>
      <c r="J1893" s="3" t="s">
        <v>23</v>
      </c>
      <c r="K1893" s="3">
        <v>30</v>
      </c>
      <c r="L1893" s="3">
        <v>5</v>
      </c>
      <c r="M1893" s="3">
        <v>6349</v>
      </c>
      <c r="N1893" s="3">
        <v>31745</v>
      </c>
      <c r="O1893" s="3">
        <v>0</v>
      </c>
      <c r="P1893" s="3" t="s">
        <v>24</v>
      </c>
      <c r="Q1893" s="3">
        <v>1</v>
      </c>
      <c r="R1893" s="3" t="str">
        <f t="shared" si="29"/>
        <v>Cancelled</v>
      </c>
      <c r="S1893" s="3" t="s">
        <v>25</v>
      </c>
    </row>
    <row r="1894" spans="1:19" x14ac:dyDescent="0.35">
      <c r="A1894" s="3">
        <v>2893</v>
      </c>
      <c r="B1894" s="3" t="s">
        <v>135</v>
      </c>
      <c r="C1894" s="4">
        <v>45631</v>
      </c>
      <c r="D1894" s="3" t="s">
        <v>165</v>
      </c>
      <c r="E1894" s="4">
        <v>45640</v>
      </c>
      <c r="F1894" s="4">
        <v>45644</v>
      </c>
      <c r="G1894" s="3" t="s">
        <v>42</v>
      </c>
      <c r="H1894" s="3" t="s">
        <v>29</v>
      </c>
      <c r="I1894" s="3" t="s">
        <v>22</v>
      </c>
      <c r="J1894" s="3" t="s">
        <v>30</v>
      </c>
      <c r="K1894" s="3">
        <v>9</v>
      </c>
      <c r="L1894" s="3">
        <v>4</v>
      </c>
      <c r="M1894" s="3">
        <v>4933</v>
      </c>
      <c r="N1894" s="3">
        <v>19732</v>
      </c>
      <c r="O1894" s="3">
        <v>0</v>
      </c>
      <c r="P1894" s="3" t="s">
        <v>51</v>
      </c>
      <c r="Q1894" s="3">
        <v>1</v>
      </c>
      <c r="R1894" s="3" t="str">
        <f t="shared" si="29"/>
        <v>Cancelled</v>
      </c>
      <c r="S1894" s="3" t="s">
        <v>31</v>
      </c>
    </row>
    <row r="1895" spans="1:19" x14ac:dyDescent="0.35">
      <c r="A1895" s="3">
        <v>2894</v>
      </c>
      <c r="B1895" s="3" t="s">
        <v>1147</v>
      </c>
      <c r="C1895" s="4">
        <v>45410</v>
      </c>
      <c r="D1895" s="3" t="s">
        <v>153</v>
      </c>
      <c r="E1895" s="4">
        <v>45449</v>
      </c>
      <c r="F1895" s="4">
        <v>45453</v>
      </c>
      <c r="G1895" s="3" t="s">
        <v>42</v>
      </c>
      <c r="H1895" s="3" t="s">
        <v>60</v>
      </c>
      <c r="I1895" s="3" t="s">
        <v>22</v>
      </c>
      <c r="J1895" s="3" t="s">
        <v>23</v>
      </c>
      <c r="K1895" s="3">
        <v>39</v>
      </c>
      <c r="L1895" s="3">
        <v>4</v>
      </c>
      <c r="M1895" s="3">
        <v>5801</v>
      </c>
      <c r="N1895" s="3">
        <v>23204</v>
      </c>
      <c r="O1895" s="3">
        <v>0</v>
      </c>
      <c r="P1895" s="3" t="s">
        <v>51</v>
      </c>
      <c r="Q1895" s="3">
        <v>1</v>
      </c>
      <c r="R1895" s="3" t="str">
        <f t="shared" si="29"/>
        <v>Cancelled</v>
      </c>
      <c r="S1895" s="3" t="s">
        <v>25</v>
      </c>
    </row>
    <row r="1896" spans="1:19" x14ac:dyDescent="0.35">
      <c r="A1896" s="3">
        <v>2895</v>
      </c>
      <c r="B1896" s="3" t="s">
        <v>616</v>
      </c>
      <c r="C1896" s="4">
        <v>45447</v>
      </c>
      <c r="D1896" s="3" t="s">
        <v>48</v>
      </c>
      <c r="E1896" s="4">
        <v>45478</v>
      </c>
      <c r="F1896" s="4">
        <v>45479</v>
      </c>
      <c r="G1896" s="3" t="s">
        <v>34</v>
      </c>
      <c r="H1896" s="3" t="s">
        <v>29</v>
      </c>
      <c r="I1896" s="3" t="s">
        <v>39</v>
      </c>
      <c r="J1896" s="3" t="s">
        <v>46</v>
      </c>
      <c r="K1896" s="3">
        <v>31</v>
      </c>
      <c r="L1896" s="3">
        <v>1</v>
      </c>
      <c r="M1896" s="3">
        <v>2770</v>
      </c>
      <c r="N1896" s="3">
        <v>2770</v>
      </c>
      <c r="O1896" s="3">
        <v>0</v>
      </c>
      <c r="P1896" s="3" t="s">
        <v>51</v>
      </c>
      <c r="Q1896" s="3">
        <v>1</v>
      </c>
      <c r="R1896" s="3" t="str">
        <f t="shared" si="29"/>
        <v>Cancelled</v>
      </c>
      <c r="S1896" s="3" t="s">
        <v>25</v>
      </c>
    </row>
    <row r="1897" spans="1:19" x14ac:dyDescent="0.35">
      <c r="A1897" s="3">
        <v>2896</v>
      </c>
      <c r="B1897" s="3" t="s">
        <v>461</v>
      </c>
      <c r="C1897" s="4">
        <v>45563</v>
      </c>
      <c r="D1897" s="3" t="s">
        <v>237</v>
      </c>
      <c r="E1897" s="4">
        <v>45621</v>
      </c>
      <c r="F1897" s="4">
        <v>45626</v>
      </c>
      <c r="G1897" s="3" t="s">
        <v>45</v>
      </c>
      <c r="H1897" s="3" t="s">
        <v>38</v>
      </c>
      <c r="I1897" s="3" t="s">
        <v>39</v>
      </c>
      <c r="J1897" s="3" t="s">
        <v>23</v>
      </c>
      <c r="K1897" s="3">
        <v>58</v>
      </c>
      <c r="L1897" s="3">
        <v>5</v>
      </c>
      <c r="M1897" s="3">
        <v>4294</v>
      </c>
      <c r="N1897" s="3">
        <v>21470</v>
      </c>
      <c r="O1897" s="3">
        <v>0</v>
      </c>
      <c r="P1897" s="3" t="s">
        <v>24</v>
      </c>
      <c r="Q1897" s="3">
        <v>1</v>
      </c>
      <c r="R1897" s="3" t="str">
        <f t="shared" si="29"/>
        <v>Cancelled</v>
      </c>
      <c r="S1897" s="3" t="s">
        <v>31</v>
      </c>
    </row>
    <row r="1898" spans="1:19" x14ac:dyDescent="0.35">
      <c r="A1898" s="3">
        <v>2897</v>
      </c>
      <c r="B1898" s="3" t="s">
        <v>127</v>
      </c>
      <c r="C1898" s="4">
        <v>45466</v>
      </c>
      <c r="D1898" s="3" t="s">
        <v>175</v>
      </c>
      <c r="E1898" s="4">
        <v>45487</v>
      </c>
      <c r="F1898" s="4">
        <v>45488</v>
      </c>
      <c r="G1898" s="3" t="s">
        <v>34</v>
      </c>
      <c r="H1898" s="3" t="s">
        <v>29</v>
      </c>
      <c r="I1898" s="3" t="s">
        <v>39</v>
      </c>
      <c r="J1898" s="3" t="s">
        <v>30</v>
      </c>
      <c r="K1898" s="3">
        <v>21</v>
      </c>
      <c r="L1898" s="3">
        <v>1</v>
      </c>
      <c r="M1898" s="3">
        <v>7406</v>
      </c>
      <c r="N1898" s="3">
        <v>7406</v>
      </c>
      <c r="O1898" s="3">
        <v>0</v>
      </c>
      <c r="P1898" s="3" t="s">
        <v>51</v>
      </c>
      <c r="Q1898" s="3">
        <v>1</v>
      </c>
      <c r="R1898" s="3" t="str">
        <f t="shared" si="29"/>
        <v>Cancelled</v>
      </c>
      <c r="S1898" s="3" t="s">
        <v>25</v>
      </c>
    </row>
    <row r="1899" spans="1:19" x14ac:dyDescent="0.35">
      <c r="A1899" s="3">
        <v>2898</v>
      </c>
      <c r="B1899" s="3" t="s">
        <v>287</v>
      </c>
      <c r="C1899" s="4">
        <v>45395</v>
      </c>
      <c r="D1899" s="3" t="s">
        <v>94</v>
      </c>
      <c r="E1899" s="4">
        <v>45451</v>
      </c>
      <c r="F1899" s="4">
        <v>45456</v>
      </c>
      <c r="G1899" s="3" t="s">
        <v>45</v>
      </c>
      <c r="H1899" s="3" t="s">
        <v>38</v>
      </c>
      <c r="I1899" s="3" t="s">
        <v>22</v>
      </c>
      <c r="J1899" s="3" t="s">
        <v>46</v>
      </c>
      <c r="K1899" s="3">
        <v>56</v>
      </c>
      <c r="L1899" s="3">
        <v>5</v>
      </c>
      <c r="M1899" s="3">
        <v>4962</v>
      </c>
      <c r="N1899" s="3">
        <v>24810</v>
      </c>
      <c r="O1899" s="3">
        <v>0</v>
      </c>
      <c r="P1899" s="3" t="s">
        <v>51</v>
      </c>
      <c r="Q1899" s="3">
        <v>1</v>
      </c>
      <c r="R1899" s="3" t="str">
        <f t="shared" si="29"/>
        <v>Cancelled</v>
      </c>
      <c r="S1899" s="3" t="s">
        <v>25</v>
      </c>
    </row>
    <row r="1900" spans="1:19" x14ac:dyDescent="0.35">
      <c r="A1900" s="3">
        <v>2899</v>
      </c>
      <c r="B1900" s="3" t="s">
        <v>832</v>
      </c>
      <c r="C1900" s="4">
        <v>45383</v>
      </c>
      <c r="D1900" s="3" t="s">
        <v>148</v>
      </c>
      <c r="E1900" s="4">
        <v>45430</v>
      </c>
      <c r="F1900" s="4">
        <v>45431</v>
      </c>
      <c r="G1900" s="3" t="s">
        <v>34</v>
      </c>
      <c r="H1900" s="3" t="s">
        <v>29</v>
      </c>
      <c r="I1900" s="3" t="s">
        <v>22</v>
      </c>
      <c r="J1900" s="3" t="s">
        <v>30</v>
      </c>
      <c r="K1900" s="3">
        <v>47</v>
      </c>
      <c r="L1900" s="3">
        <v>1</v>
      </c>
      <c r="M1900" s="3">
        <v>6793</v>
      </c>
      <c r="N1900" s="3">
        <v>6793</v>
      </c>
      <c r="O1900" s="3">
        <v>0</v>
      </c>
      <c r="P1900" s="3" t="s">
        <v>51</v>
      </c>
      <c r="Q1900" s="3">
        <v>1</v>
      </c>
      <c r="R1900" s="3" t="str">
        <f t="shared" si="29"/>
        <v>Cancelled</v>
      </c>
      <c r="S1900" s="3" t="s">
        <v>25</v>
      </c>
    </row>
    <row r="1901" spans="1:19" x14ac:dyDescent="0.35">
      <c r="A1901" s="3">
        <v>2900</v>
      </c>
      <c r="B1901" s="3" t="s">
        <v>360</v>
      </c>
      <c r="C1901" s="4">
        <v>45477</v>
      </c>
      <c r="D1901" s="3" t="s">
        <v>128</v>
      </c>
      <c r="E1901" s="4">
        <v>45511</v>
      </c>
      <c r="F1901" s="4">
        <v>45513</v>
      </c>
      <c r="G1901" s="3" t="s">
        <v>28</v>
      </c>
      <c r="H1901" s="3" t="s">
        <v>29</v>
      </c>
      <c r="I1901" s="3" t="s">
        <v>39</v>
      </c>
      <c r="J1901" s="3" t="s">
        <v>30</v>
      </c>
      <c r="K1901" s="3">
        <v>34</v>
      </c>
      <c r="L1901" s="3">
        <v>2</v>
      </c>
      <c r="M1901" s="3">
        <v>5894</v>
      </c>
      <c r="N1901" s="3">
        <v>11788</v>
      </c>
      <c r="O1901" s="3">
        <v>11788</v>
      </c>
      <c r="P1901" s="3" t="s">
        <v>24</v>
      </c>
      <c r="Q1901" s="3">
        <v>0</v>
      </c>
      <c r="R1901" s="3" t="str">
        <f t="shared" si="29"/>
        <v>Not Cancelled</v>
      </c>
      <c r="S1901" s="3" t="s">
        <v>31</v>
      </c>
    </row>
    <row r="1902" spans="1:19" x14ac:dyDescent="0.35">
      <c r="A1902" s="3">
        <v>2901</v>
      </c>
      <c r="B1902" s="3" t="s">
        <v>1098</v>
      </c>
      <c r="C1902" s="4">
        <v>45574</v>
      </c>
      <c r="D1902" s="3" t="s">
        <v>113</v>
      </c>
      <c r="E1902" s="4">
        <v>45629</v>
      </c>
      <c r="F1902" s="4">
        <v>45632</v>
      </c>
      <c r="G1902" s="3" t="s">
        <v>20</v>
      </c>
      <c r="H1902" s="3" t="s">
        <v>60</v>
      </c>
      <c r="I1902" s="3" t="s">
        <v>39</v>
      </c>
      <c r="J1902" s="3" t="s">
        <v>46</v>
      </c>
      <c r="K1902" s="3">
        <v>55</v>
      </c>
      <c r="L1902" s="3">
        <v>3</v>
      </c>
      <c r="M1902" s="3">
        <v>3579</v>
      </c>
      <c r="N1902" s="3">
        <v>10737</v>
      </c>
      <c r="O1902" s="3">
        <v>10737</v>
      </c>
      <c r="P1902" s="3" t="s">
        <v>51</v>
      </c>
      <c r="Q1902" s="3">
        <v>0</v>
      </c>
      <c r="R1902" s="3" t="str">
        <f t="shared" si="29"/>
        <v>Not Cancelled</v>
      </c>
      <c r="S1902" s="3" t="s">
        <v>31</v>
      </c>
    </row>
    <row r="1903" spans="1:19" x14ac:dyDescent="0.35">
      <c r="A1903" s="3">
        <v>2902</v>
      </c>
      <c r="B1903" s="3" t="s">
        <v>1148</v>
      </c>
      <c r="C1903" s="4">
        <v>45472</v>
      </c>
      <c r="D1903" s="3" t="s">
        <v>48</v>
      </c>
      <c r="E1903" s="4">
        <v>45503</v>
      </c>
      <c r="F1903" s="4">
        <v>45506</v>
      </c>
      <c r="G1903" s="3" t="s">
        <v>20</v>
      </c>
      <c r="H1903" s="3" t="s">
        <v>29</v>
      </c>
      <c r="I1903" s="3" t="s">
        <v>22</v>
      </c>
      <c r="J1903" s="3" t="s">
        <v>30</v>
      </c>
      <c r="K1903" s="3">
        <v>31</v>
      </c>
      <c r="L1903" s="3">
        <v>3</v>
      </c>
      <c r="M1903" s="3">
        <v>5378</v>
      </c>
      <c r="N1903" s="3">
        <v>16134</v>
      </c>
      <c r="O1903" s="3">
        <v>0</v>
      </c>
      <c r="P1903" s="3" t="s">
        <v>51</v>
      </c>
      <c r="Q1903" s="3">
        <v>1</v>
      </c>
      <c r="R1903" s="3" t="str">
        <f t="shared" si="29"/>
        <v>Cancelled</v>
      </c>
      <c r="S1903" s="3" t="s">
        <v>25</v>
      </c>
    </row>
    <row r="1904" spans="1:19" x14ac:dyDescent="0.35">
      <c r="A1904" s="3">
        <v>2903</v>
      </c>
      <c r="B1904" s="3" t="s">
        <v>852</v>
      </c>
      <c r="C1904" s="4">
        <v>45461</v>
      </c>
      <c r="D1904" s="3" t="s">
        <v>226</v>
      </c>
      <c r="E1904" s="4">
        <v>45513</v>
      </c>
      <c r="F1904" s="4">
        <v>45517</v>
      </c>
      <c r="G1904" s="3" t="s">
        <v>42</v>
      </c>
      <c r="H1904" s="3" t="s">
        <v>38</v>
      </c>
      <c r="I1904" s="3" t="s">
        <v>22</v>
      </c>
      <c r="J1904" s="3" t="s">
        <v>23</v>
      </c>
      <c r="K1904" s="3">
        <v>52</v>
      </c>
      <c r="L1904" s="3">
        <v>4</v>
      </c>
      <c r="M1904" s="3">
        <v>7822</v>
      </c>
      <c r="N1904" s="3">
        <v>31288</v>
      </c>
      <c r="O1904" s="3">
        <v>0</v>
      </c>
      <c r="P1904" s="3" t="s">
        <v>24</v>
      </c>
      <c r="Q1904" s="3">
        <v>1</v>
      </c>
      <c r="R1904" s="3" t="str">
        <f t="shared" si="29"/>
        <v>Cancelled</v>
      </c>
      <c r="S1904" s="3" t="s">
        <v>25</v>
      </c>
    </row>
    <row r="1905" spans="1:19" x14ac:dyDescent="0.35">
      <c r="A1905" s="3">
        <v>2904</v>
      </c>
      <c r="B1905" s="3" t="s">
        <v>18</v>
      </c>
      <c r="C1905" s="4">
        <v>45478</v>
      </c>
      <c r="D1905" s="3" t="s">
        <v>107</v>
      </c>
      <c r="E1905" s="4">
        <v>45503</v>
      </c>
      <c r="F1905" s="4">
        <v>45505</v>
      </c>
      <c r="G1905" s="3" t="s">
        <v>28</v>
      </c>
      <c r="H1905" s="3" t="s">
        <v>60</v>
      </c>
      <c r="I1905" s="3" t="s">
        <v>22</v>
      </c>
      <c r="J1905" s="3" t="s">
        <v>23</v>
      </c>
      <c r="K1905" s="3">
        <v>25</v>
      </c>
      <c r="L1905" s="3">
        <v>2</v>
      </c>
      <c r="M1905" s="3">
        <v>8240</v>
      </c>
      <c r="N1905" s="3">
        <v>16480</v>
      </c>
      <c r="O1905" s="3">
        <v>16480</v>
      </c>
      <c r="P1905" s="3" t="s">
        <v>51</v>
      </c>
      <c r="Q1905" s="3">
        <v>0</v>
      </c>
      <c r="R1905" s="3" t="str">
        <f t="shared" si="29"/>
        <v>Not Cancelled</v>
      </c>
      <c r="S1905" s="3" t="s">
        <v>25</v>
      </c>
    </row>
    <row r="1906" spans="1:19" x14ac:dyDescent="0.35">
      <c r="A1906" s="3">
        <v>2905</v>
      </c>
      <c r="B1906" s="3" t="s">
        <v>825</v>
      </c>
      <c r="C1906" s="4">
        <v>45466</v>
      </c>
      <c r="D1906" s="3" t="s">
        <v>102</v>
      </c>
      <c r="E1906" s="4">
        <v>45478</v>
      </c>
      <c r="F1906" s="4">
        <v>45481</v>
      </c>
      <c r="G1906" s="3" t="s">
        <v>20</v>
      </c>
      <c r="H1906" s="3" t="s">
        <v>29</v>
      </c>
      <c r="I1906" s="3" t="s">
        <v>39</v>
      </c>
      <c r="J1906" s="3" t="s">
        <v>30</v>
      </c>
      <c r="K1906" s="3">
        <v>12</v>
      </c>
      <c r="L1906" s="3">
        <v>3</v>
      </c>
      <c r="M1906" s="3">
        <v>7223</v>
      </c>
      <c r="N1906" s="3">
        <v>21669</v>
      </c>
      <c r="O1906" s="3">
        <v>21669</v>
      </c>
      <c r="P1906" s="3" t="s">
        <v>24</v>
      </c>
      <c r="Q1906" s="3">
        <v>0</v>
      </c>
      <c r="R1906" s="3" t="str">
        <f t="shared" si="29"/>
        <v>Not Cancelled</v>
      </c>
      <c r="S1906" s="3" t="s">
        <v>25</v>
      </c>
    </row>
    <row r="1907" spans="1:19" x14ac:dyDescent="0.35">
      <c r="A1907" s="3">
        <v>2906</v>
      </c>
      <c r="B1907" s="3" t="s">
        <v>1149</v>
      </c>
      <c r="C1907" s="4">
        <v>45513</v>
      </c>
      <c r="D1907" s="3" t="s">
        <v>34</v>
      </c>
      <c r="E1907" s="4">
        <v>45514</v>
      </c>
      <c r="F1907" s="4">
        <v>45518</v>
      </c>
      <c r="G1907" s="3" t="s">
        <v>42</v>
      </c>
      <c r="H1907" s="3" t="s">
        <v>60</v>
      </c>
      <c r="I1907" s="3" t="s">
        <v>22</v>
      </c>
      <c r="J1907" s="3" t="s">
        <v>23</v>
      </c>
      <c r="K1907" s="3">
        <v>1</v>
      </c>
      <c r="L1907" s="3">
        <v>4</v>
      </c>
      <c r="M1907" s="3">
        <v>3103</v>
      </c>
      <c r="N1907" s="3">
        <v>12412</v>
      </c>
      <c r="O1907" s="3">
        <v>0</v>
      </c>
      <c r="P1907" s="3" t="s">
        <v>24</v>
      </c>
      <c r="Q1907" s="3">
        <v>1</v>
      </c>
      <c r="R1907" s="3" t="str">
        <f t="shared" si="29"/>
        <v>Cancelled</v>
      </c>
      <c r="S1907" s="3" t="s">
        <v>25</v>
      </c>
    </row>
    <row r="1908" spans="1:19" x14ac:dyDescent="0.35">
      <c r="A1908" s="3">
        <v>2907</v>
      </c>
      <c r="B1908" s="3" t="s">
        <v>225</v>
      </c>
      <c r="C1908" s="4">
        <v>45524</v>
      </c>
      <c r="D1908" s="3" t="s">
        <v>113</v>
      </c>
      <c r="E1908" s="4">
        <v>45579</v>
      </c>
      <c r="F1908" s="4">
        <v>45581</v>
      </c>
      <c r="G1908" s="3" t="s">
        <v>28</v>
      </c>
      <c r="H1908" s="3" t="s">
        <v>21</v>
      </c>
      <c r="I1908" s="3" t="s">
        <v>22</v>
      </c>
      <c r="J1908" s="3" t="s">
        <v>30</v>
      </c>
      <c r="K1908" s="3">
        <v>55</v>
      </c>
      <c r="L1908" s="3">
        <v>2</v>
      </c>
      <c r="M1908" s="3">
        <v>7757</v>
      </c>
      <c r="N1908" s="3">
        <v>15514</v>
      </c>
      <c r="O1908" s="3">
        <v>15514</v>
      </c>
      <c r="P1908" s="3" t="s">
        <v>51</v>
      </c>
      <c r="Q1908" s="3">
        <v>0</v>
      </c>
      <c r="R1908" s="3" t="str">
        <f t="shared" si="29"/>
        <v>Not Cancelled</v>
      </c>
      <c r="S1908" s="3" t="s">
        <v>25</v>
      </c>
    </row>
    <row r="1909" spans="1:19" x14ac:dyDescent="0.35">
      <c r="A1909" s="3">
        <v>2908</v>
      </c>
      <c r="B1909" s="3" t="s">
        <v>539</v>
      </c>
      <c r="C1909" s="4">
        <v>45453</v>
      </c>
      <c r="D1909" s="3" t="s">
        <v>19</v>
      </c>
      <c r="E1909" s="4">
        <v>45475</v>
      </c>
      <c r="F1909" s="4">
        <v>45478</v>
      </c>
      <c r="G1909" s="3" t="s">
        <v>20</v>
      </c>
      <c r="H1909" s="3" t="s">
        <v>60</v>
      </c>
      <c r="I1909" s="3" t="s">
        <v>39</v>
      </c>
      <c r="J1909" s="3" t="s">
        <v>23</v>
      </c>
      <c r="K1909" s="3">
        <v>22</v>
      </c>
      <c r="L1909" s="3">
        <v>3</v>
      </c>
      <c r="M1909" s="3">
        <v>8041</v>
      </c>
      <c r="N1909" s="3">
        <v>24123</v>
      </c>
      <c r="O1909" s="3">
        <v>0</v>
      </c>
      <c r="P1909" s="3" t="s">
        <v>51</v>
      </c>
      <c r="Q1909" s="3">
        <v>1</v>
      </c>
      <c r="R1909" s="3" t="str">
        <f t="shared" si="29"/>
        <v>Cancelled</v>
      </c>
      <c r="S1909" s="3" t="s">
        <v>31</v>
      </c>
    </row>
    <row r="1910" spans="1:19" x14ac:dyDescent="0.35">
      <c r="A1910" s="3">
        <v>2909</v>
      </c>
      <c r="B1910" s="3" t="s">
        <v>49</v>
      </c>
      <c r="C1910" s="4">
        <v>45425</v>
      </c>
      <c r="D1910" s="3" t="s">
        <v>179</v>
      </c>
      <c r="E1910" s="4">
        <v>45465</v>
      </c>
      <c r="F1910" s="4">
        <v>45466</v>
      </c>
      <c r="G1910" s="3" t="s">
        <v>34</v>
      </c>
      <c r="H1910" s="3" t="s">
        <v>21</v>
      </c>
      <c r="I1910" s="3" t="s">
        <v>39</v>
      </c>
      <c r="J1910" s="3" t="s">
        <v>30</v>
      </c>
      <c r="K1910" s="3">
        <v>40</v>
      </c>
      <c r="L1910" s="3">
        <v>1</v>
      </c>
      <c r="M1910" s="3">
        <v>7676</v>
      </c>
      <c r="N1910" s="3">
        <v>7676</v>
      </c>
      <c r="O1910" s="3">
        <v>7676</v>
      </c>
      <c r="P1910" s="3" t="s">
        <v>51</v>
      </c>
      <c r="Q1910" s="3">
        <v>0</v>
      </c>
      <c r="R1910" s="3" t="str">
        <f t="shared" si="29"/>
        <v>Not Cancelled</v>
      </c>
      <c r="S1910" s="3" t="s">
        <v>25</v>
      </c>
    </row>
    <row r="1911" spans="1:19" x14ac:dyDescent="0.35">
      <c r="A1911" s="3">
        <v>2910</v>
      </c>
      <c r="B1911" s="3" t="s">
        <v>862</v>
      </c>
      <c r="C1911" s="4">
        <v>45515</v>
      </c>
      <c r="D1911" s="3" t="s">
        <v>105</v>
      </c>
      <c r="E1911" s="4">
        <v>45552</v>
      </c>
      <c r="F1911" s="4">
        <v>45557</v>
      </c>
      <c r="G1911" s="3" t="s">
        <v>45</v>
      </c>
      <c r="H1911" s="3" t="s">
        <v>21</v>
      </c>
      <c r="I1911" s="3" t="s">
        <v>39</v>
      </c>
      <c r="J1911" s="3" t="s">
        <v>23</v>
      </c>
      <c r="K1911" s="3">
        <v>37</v>
      </c>
      <c r="L1911" s="3">
        <v>5</v>
      </c>
      <c r="M1911" s="3">
        <v>4085</v>
      </c>
      <c r="N1911" s="3">
        <v>20425</v>
      </c>
      <c r="O1911" s="3">
        <v>20425</v>
      </c>
      <c r="P1911" s="3" t="s">
        <v>24</v>
      </c>
      <c r="Q1911" s="3">
        <v>0</v>
      </c>
      <c r="R1911" s="3" t="str">
        <f t="shared" si="29"/>
        <v>Not Cancelled</v>
      </c>
      <c r="S1911" s="3" t="s">
        <v>25</v>
      </c>
    </row>
    <row r="1912" spans="1:19" x14ac:dyDescent="0.35">
      <c r="A1912" s="3">
        <v>2911</v>
      </c>
      <c r="B1912" s="3" t="s">
        <v>1105</v>
      </c>
      <c r="C1912" s="4">
        <v>45444</v>
      </c>
      <c r="D1912" s="3" t="s">
        <v>148</v>
      </c>
      <c r="E1912" s="4">
        <v>45491</v>
      </c>
      <c r="F1912" s="4">
        <v>45493</v>
      </c>
      <c r="G1912" s="3" t="s">
        <v>28</v>
      </c>
      <c r="H1912" s="3" t="s">
        <v>60</v>
      </c>
      <c r="I1912" s="3" t="s">
        <v>22</v>
      </c>
      <c r="J1912" s="3" t="s">
        <v>46</v>
      </c>
      <c r="K1912" s="3">
        <v>47</v>
      </c>
      <c r="L1912" s="3">
        <v>2</v>
      </c>
      <c r="M1912" s="3">
        <v>5557</v>
      </c>
      <c r="N1912" s="3">
        <v>11114</v>
      </c>
      <c r="O1912" s="3">
        <v>11114</v>
      </c>
      <c r="P1912" s="3" t="s">
        <v>51</v>
      </c>
      <c r="Q1912" s="3">
        <v>0</v>
      </c>
      <c r="R1912" s="3" t="str">
        <f t="shared" si="29"/>
        <v>Not Cancelled</v>
      </c>
      <c r="S1912" s="3" t="s">
        <v>31</v>
      </c>
    </row>
    <row r="1913" spans="1:19" x14ac:dyDescent="0.35">
      <c r="A1913" s="3">
        <v>2912</v>
      </c>
      <c r="B1913" s="3" t="s">
        <v>1150</v>
      </c>
      <c r="C1913" s="4">
        <v>45324</v>
      </c>
      <c r="D1913" s="3" t="s">
        <v>34</v>
      </c>
      <c r="E1913" s="4">
        <v>45325</v>
      </c>
      <c r="F1913" s="4">
        <v>45329</v>
      </c>
      <c r="G1913" s="3" t="s">
        <v>42</v>
      </c>
      <c r="H1913" s="3" t="s">
        <v>38</v>
      </c>
      <c r="I1913" s="3" t="s">
        <v>39</v>
      </c>
      <c r="J1913" s="3" t="s">
        <v>46</v>
      </c>
      <c r="K1913" s="3">
        <v>1</v>
      </c>
      <c r="L1913" s="3">
        <v>4</v>
      </c>
      <c r="M1913" s="3">
        <v>8714</v>
      </c>
      <c r="N1913" s="3">
        <v>34856</v>
      </c>
      <c r="O1913" s="3">
        <v>34856</v>
      </c>
      <c r="P1913" s="3" t="s">
        <v>51</v>
      </c>
      <c r="Q1913" s="3">
        <v>0</v>
      </c>
      <c r="R1913" s="3" t="str">
        <f t="shared" si="29"/>
        <v>Not Cancelled</v>
      </c>
      <c r="S1913" s="3" t="s">
        <v>25</v>
      </c>
    </row>
    <row r="1914" spans="1:19" x14ac:dyDescent="0.35">
      <c r="A1914" s="3">
        <v>2913</v>
      </c>
      <c r="B1914" s="3" t="s">
        <v>1121</v>
      </c>
      <c r="C1914" s="4">
        <v>45346</v>
      </c>
      <c r="D1914" s="3" t="s">
        <v>34</v>
      </c>
      <c r="E1914" s="4">
        <v>45347</v>
      </c>
      <c r="F1914" s="4">
        <v>45349</v>
      </c>
      <c r="G1914" s="3" t="s">
        <v>28</v>
      </c>
      <c r="H1914" s="3" t="s">
        <v>38</v>
      </c>
      <c r="I1914" s="3" t="s">
        <v>39</v>
      </c>
      <c r="J1914" s="3" t="s">
        <v>23</v>
      </c>
      <c r="K1914" s="3">
        <v>1</v>
      </c>
      <c r="L1914" s="3">
        <v>2</v>
      </c>
      <c r="M1914" s="3">
        <v>7506</v>
      </c>
      <c r="N1914" s="3">
        <v>15012</v>
      </c>
      <c r="O1914" s="3">
        <v>15012</v>
      </c>
      <c r="P1914" s="3" t="s">
        <v>51</v>
      </c>
      <c r="Q1914" s="3">
        <v>0</v>
      </c>
      <c r="R1914" s="3" t="str">
        <f t="shared" si="29"/>
        <v>Not Cancelled</v>
      </c>
      <c r="S1914" s="3" t="s">
        <v>25</v>
      </c>
    </row>
    <row r="1915" spans="1:19" x14ac:dyDescent="0.35">
      <c r="A1915" s="3">
        <v>2914</v>
      </c>
      <c r="B1915" s="3" t="s">
        <v>1151</v>
      </c>
      <c r="C1915" s="4">
        <v>45298</v>
      </c>
      <c r="D1915" s="3" t="s">
        <v>100</v>
      </c>
      <c r="E1915" s="4">
        <v>45355</v>
      </c>
      <c r="F1915" s="4">
        <v>45359</v>
      </c>
      <c r="G1915" s="3" t="s">
        <v>42</v>
      </c>
      <c r="H1915" s="3" t="s">
        <v>38</v>
      </c>
      <c r="I1915" s="3" t="s">
        <v>22</v>
      </c>
      <c r="J1915" s="3" t="s">
        <v>30</v>
      </c>
      <c r="K1915" s="3">
        <v>57</v>
      </c>
      <c r="L1915" s="3">
        <v>4</v>
      </c>
      <c r="M1915" s="3">
        <v>6485</v>
      </c>
      <c r="N1915" s="3">
        <v>25940</v>
      </c>
      <c r="O1915" s="3">
        <v>0</v>
      </c>
      <c r="P1915" s="3" t="s">
        <v>24</v>
      </c>
      <c r="Q1915" s="3">
        <v>1</v>
      </c>
      <c r="R1915" s="3" t="str">
        <f t="shared" si="29"/>
        <v>Cancelled</v>
      </c>
      <c r="S1915" s="3" t="s">
        <v>25</v>
      </c>
    </row>
    <row r="1916" spans="1:19" x14ac:dyDescent="0.35">
      <c r="A1916" s="3">
        <v>2915</v>
      </c>
      <c r="B1916" s="3" t="s">
        <v>646</v>
      </c>
      <c r="C1916" s="4">
        <v>45535</v>
      </c>
      <c r="D1916" s="3" t="s">
        <v>140</v>
      </c>
      <c r="E1916" s="4">
        <v>45577</v>
      </c>
      <c r="F1916" s="4">
        <v>45579</v>
      </c>
      <c r="G1916" s="3" t="s">
        <v>28</v>
      </c>
      <c r="H1916" s="3" t="s">
        <v>35</v>
      </c>
      <c r="I1916" s="3" t="s">
        <v>22</v>
      </c>
      <c r="J1916" s="3" t="s">
        <v>23</v>
      </c>
      <c r="K1916" s="3">
        <v>42</v>
      </c>
      <c r="L1916" s="3">
        <v>2</v>
      </c>
      <c r="M1916" s="3">
        <v>7189</v>
      </c>
      <c r="N1916" s="3">
        <v>14378</v>
      </c>
      <c r="O1916" s="3">
        <v>0</v>
      </c>
      <c r="P1916" s="3" t="s">
        <v>24</v>
      </c>
      <c r="Q1916" s="3">
        <v>1</v>
      </c>
      <c r="R1916" s="3" t="str">
        <f t="shared" si="29"/>
        <v>Cancelled</v>
      </c>
      <c r="S1916" s="3" t="s">
        <v>25</v>
      </c>
    </row>
    <row r="1917" spans="1:19" x14ac:dyDescent="0.35">
      <c r="A1917" s="3">
        <v>2916</v>
      </c>
      <c r="B1917" s="3" t="s">
        <v>1152</v>
      </c>
      <c r="C1917" s="4">
        <v>45604</v>
      </c>
      <c r="D1917" s="3" t="s">
        <v>117</v>
      </c>
      <c r="E1917" s="4">
        <v>45658</v>
      </c>
      <c r="F1917" s="4">
        <v>45662</v>
      </c>
      <c r="G1917" s="3" t="s">
        <v>42</v>
      </c>
      <c r="H1917" s="3" t="s">
        <v>21</v>
      </c>
      <c r="I1917" s="3" t="s">
        <v>39</v>
      </c>
      <c r="J1917" s="3" t="s">
        <v>30</v>
      </c>
      <c r="K1917" s="3">
        <v>54</v>
      </c>
      <c r="L1917" s="3">
        <v>4</v>
      </c>
      <c r="M1917" s="3">
        <v>3895</v>
      </c>
      <c r="N1917" s="3">
        <v>15580</v>
      </c>
      <c r="O1917" s="3">
        <v>0</v>
      </c>
      <c r="P1917" s="3" t="s">
        <v>24</v>
      </c>
      <c r="Q1917" s="3">
        <v>1</v>
      </c>
      <c r="R1917" s="3" t="str">
        <f t="shared" si="29"/>
        <v>Cancelled</v>
      </c>
      <c r="S1917" s="3" t="s">
        <v>31</v>
      </c>
    </row>
    <row r="1918" spans="1:19" x14ac:dyDescent="0.35">
      <c r="A1918" s="3">
        <v>2917</v>
      </c>
      <c r="B1918" s="3" t="s">
        <v>1080</v>
      </c>
      <c r="C1918" s="4">
        <v>45417</v>
      </c>
      <c r="D1918" s="3" t="s">
        <v>140</v>
      </c>
      <c r="E1918" s="4">
        <v>45459</v>
      </c>
      <c r="F1918" s="4">
        <v>45462</v>
      </c>
      <c r="G1918" s="3" t="s">
        <v>20</v>
      </c>
      <c r="H1918" s="3" t="s">
        <v>60</v>
      </c>
      <c r="I1918" s="3" t="s">
        <v>22</v>
      </c>
      <c r="J1918" s="3" t="s">
        <v>23</v>
      </c>
      <c r="K1918" s="3">
        <v>42</v>
      </c>
      <c r="L1918" s="3">
        <v>3</v>
      </c>
      <c r="M1918" s="3">
        <v>6188</v>
      </c>
      <c r="N1918" s="3">
        <v>18564</v>
      </c>
      <c r="O1918" s="3">
        <v>0</v>
      </c>
      <c r="P1918" s="3" t="s">
        <v>51</v>
      </c>
      <c r="Q1918" s="3">
        <v>1</v>
      </c>
      <c r="R1918" s="3" t="str">
        <f t="shared" si="29"/>
        <v>Cancelled</v>
      </c>
      <c r="S1918" s="3" t="s">
        <v>25</v>
      </c>
    </row>
    <row r="1919" spans="1:19" x14ac:dyDescent="0.35">
      <c r="A1919" s="3">
        <v>2918</v>
      </c>
      <c r="B1919" s="3" t="s">
        <v>339</v>
      </c>
      <c r="C1919" s="4">
        <v>45303</v>
      </c>
      <c r="D1919" s="3" t="s">
        <v>175</v>
      </c>
      <c r="E1919" s="4">
        <v>45324</v>
      </c>
      <c r="F1919" s="4">
        <v>45325</v>
      </c>
      <c r="G1919" s="3" t="s">
        <v>34</v>
      </c>
      <c r="H1919" s="3" t="s">
        <v>38</v>
      </c>
      <c r="I1919" s="3" t="s">
        <v>39</v>
      </c>
      <c r="J1919" s="3" t="s">
        <v>23</v>
      </c>
      <c r="K1919" s="3">
        <v>21</v>
      </c>
      <c r="L1919" s="3">
        <v>1</v>
      </c>
      <c r="M1919" s="3">
        <v>3099</v>
      </c>
      <c r="N1919" s="3">
        <v>3099</v>
      </c>
      <c r="O1919" s="3">
        <v>3099</v>
      </c>
      <c r="P1919" s="3" t="s">
        <v>51</v>
      </c>
      <c r="Q1919" s="3">
        <v>0</v>
      </c>
      <c r="R1919" s="3" t="str">
        <f t="shared" si="29"/>
        <v>Not Cancelled</v>
      </c>
      <c r="S1919" s="3" t="s">
        <v>31</v>
      </c>
    </row>
    <row r="1920" spans="1:19" x14ac:dyDescent="0.35">
      <c r="A1920" s="3">
        <v>2919</v>
      </c>
      <c r="B1920" s="3" t="s">
        <v>454</v>
      </c>
      <c r="C1920" s="4">
        <v>45307</v>
      </c>
      <c r="D1920" s="3" t="s">
        <v>277</v>
      </c>
      <c r="E1920" s="4">
        <v>45322</v>
      </c>
      <c r="F1920" s="4">
        <v>45325</v>
      </c>
      <c r="G1920" s="3" t="s">
        <v>20</v>
      </c>
      <c r="H1920" s="3" t="s">
        <v>38</v>
      </c>
      <c r="I1920" s="3" t="s">
        <v>22</v>
      </c>
      <c r="J1920" s="3" t="s">
        <v>46</v>
      </c>
      <c r="K1920" s="3">
        <v>15</v>
      </c>
      <c r="L1920" s="3">
        <v>3</v>
      </c>
      <c r="M1920" s="3">
        <v>3013</v>
      </c>
      <c r="N1920" s="3">
        <v>9039</v>
      </c>
      <c r="O1920" s="3">
        <v>0</v>
      </c>
      <c r="P1920" s="3" t="s">
        <v>24</v>
      </c>
      <c r="Q1920" s="3">
        <v>1</v>
      </c>
      <c r="R1920" s="3" t="str">
        <f t="shared" si="29"/>
        <v>Cancelled</v>
      </c>
      <c r="S1920" s="3" t="s">
        <v>25</v>
      </c>
    </row>
    <row r="1921" spans="1:19" x14ac:dyDescent="0.35">
      <c r="A1921" s="3">
        <v>2920</v>
      </c>
      <c r="B1921" s="3" t="s">
        <v>763</v>
      </c>
      <c r="C1921" s="4">
        <v>45499</v>
      </c>
      <c r="D1921" s="3" t="s">
        <v>71</v>
      </c>
      <c r="E1921" s="4">
        <v>45516</v>
      </c>
      <c r="F1921" s="4">
        <v>45517</v>
      </c>
      <c r="G1921" s="3" t="s">
        <v>34</v>
      </c>
      <c r="H1921" s="3" t="s">
        <v>60</v>
      </c>
      <c r="I1921" s="3" t="s">
        <v>22</v>
      </c>
      <c r="J1921" s="3" t="s">
        <v>30</v>
      </c>
      <c r="K1921" s="3">
        <v>17</v>
      </c>
      <c r="L1921" s="3">
        <v>1</v>
      </c>
      <c r="M1921" s="3">
        <v>8491</v>
      </c>
      <c r="N1921" s="3">
        <v>8491</v>
      </c>
      <c r="O1921" s="3">
        <v>0</v>
      </c>
      <c r="P1921" s="3" t="s">
        <v>51</v>
      </c>
      <c r="Q1921" s="3">
        <v>1</v>
      </c>
      <c r="R1921" s="3" t="str">
        <f t="shared" si="29"/>
        <v>Cancelled</v>
      </c>
      <c r="S1921" s="3" t="s">
        <v>25</v>
      </c>
    </row>
    <row r="1922" spans="1:19" x14ac:dyDescent="0.35">
      <c r="A1922" s="3">
        <v>2921</v>
      </c>
      <c r="B1922" s="3" t="s">
        <v>268</v>
      </c>
      <c r="C1922" s="4">
        <v>45334</v>
      </c>
      <c r="D1922" s="3" t="s">
        <v>19</v>
      </c>
      <c r="E1922" s="4">
        <v>45356</v>
      </c>
      <c r="F1922" s="4">
        <v>45359</v>
      </c>
      <c r="G1922" s="3" t="s">
        <v>20</v>
      </c>
      <c r="H1922" s="3" t="s">
        <v>21</v>
      </c>
      <c r="I1922" s="3" t="s">
        <v>39</v>
      </c>
      <c r="J1922" s="3" t="s">
        <v>30</v>
      </c>
      <c r="K1922" s="3">
        <v>22</v>
      </c>
      <c r="L1922" s="3">
        <v>3</v>
      </c>
      <c r="M1922" s="3">
        <v>8727</v>
      </c>
      <c r="N1922" s="3">
        <v>26181</v>
      </c>
      <c r="O1922" s="3">
        <v>26181</v>
      </c>
      <c r="P1922" s="3" t="s">
        <v>51</v>
      </c>
      <c r="Q1922" s="3">
        <v>0</v>
      </c>
      <c r="R1922" s="3" t="str">
        <f t="shared" si="29"/>
        <v>Not Cancelled</v>
      </c>
      <c r="S1922" s="3" t="s">
        <v>31</v>
      </c>
    </row>
    <row r="1923" spans="1:19" x14ac:dyDescent="0.35">
      <c r="A1923" s="3">
        <v>2922</v>
      </c>
      <c r="B1923" s="3" t="s">
        <v>1153</v>
      </c>
      <c r="C1923" s="4">
        <v>45426</v>
      </c>
      <c r="D1923" s="3" t="s">
        <v>115</v>
      </c>
      <c r="E1923" s="4">
        <v>45464</v>
      </c>
      <c r="F1923" s="4">
        <v>45467</v>
      </c>
      <c r="G1923" s="3" t="s">
        <v>20</v>
      </c>
      <c r="H1923" s="3" t="s">
        <v>60</v>
      </c>
      <c r="I1923" s="3" t="s">
        <v>39</v>
      </c>
      <c r="J1923" s="3" t="s">
        <v>30</v>
      </c>
      <c r="K1923" s="3">
        <v>38</v>
      </c>
      <c r="L1923" s="3">
        <v>3</v>
      </c>
      <c r="M1923" s="3">
        <v>3566</v>
      </c>
      <c r="N1923" s="3">
        <v>10698</v>
      </c>
      <c r="O1923" s="3">
        <v>10698</v>
      </c>
      <c r="P1923" s="3" t="s">
        <v>24</v>
      </c>
      <c r="Q1923" s="3">
        <v>0</v>
      </c>
      <c r="R1923" s="3" t="str">
        <f t="shared" ref="R1923:R1986" si="30">IF(Q1923=0,"Not Cancelled","Cancelled")</f>
        <v>Not Cancelled</v>
      </c>
      <c r="S1923" s="3" t="s">
        <v>25</v>
      </c>
    </row>
    <row r="1924" spans="1:19" x14ac:dyDescent="0.35">
      <c r="A1924" s="3">
        <v>2923</v>
      </c>
      <c r="B1924" s="3" t="s">
        <v>294</v>
      </c>
      <c r="C1924" s="4">
        <v>45519</v>
      </c>
      <c r="D1924" s="3" t="s">
        <v>91</v>
      </c>
      <c r="E1924" s="4">
        <v>45554</v>
      </c>
      <c r="F1924" s="4">
        <v>45556</v>
      </c>
      <c r="G1924" s="3" t="s">
        <v>28</v>
      </c>
      <c r="H1924" s="3" t="s">
        <v>35</v>
      </c>
      <c r="I1924" s="3" t="s">
        <v>39</v>
      </c>
      <c r="J1924" s="3" t="s">
        <v>30</v>
      </c>
      <c r="K1924" s="3">
        <v>35</v>
      </c>
      <c r="L1924" s="3">
        <v>2</v>
      </c>
      <c r="M1924" s="3">
        <v>5386</v>
      </c>
      <c r="N1924" s="3">
        <v>10772</v>
      </c>
      <c r="O1924" s="3">
        <v>0</v>
      </c>
      <c r="P1924" s="3" t="s">
        <v>24</v>
      </c>
      <c r="Q1924" s="3">
        <v>1</v>
      </c>
      <c r="R1924" s="3" t="str">
        <f t="shared" si="30"/>
        <v>Cancelled</v>
      </c>
      <c r="S1924" s="3" t="s">
        <v>31</v>
      </c>
    </row>
    <row r="1925" spans="1:19" x14ac:dyDescent="0.35">
      <c r="A1925" s="3">
        <v>2924</v>
      </c>
      <c r="B1925" s="3" t="s">
        <v>1154</v>
      </c>
      <c r="C1925" s="4">
        <v>45402</v>
      </c>
      <c r="D1925" s="3" t="s">
        <v>64</v>
      </c>
      <c r="E1925" s="4">
        <v>45447</v>
      </c>
      <c r="F1925" s="4">
        <v>45452</v>
      </c>
      <c r="G1925" s="3" t="s">
        <v>45</v>
      </c>
      <c r="H1925" s="3" t="s">
        <v>35</v>
      </c>
      <c r="I1925" s="3" t="s">
        <v>22</v>
      </c>
      <c r="J1925" s="3" t="s">
        <v>30</v>
      </c>
      <c r="K1925" s="3">
        <v>45</v>
      </c>
      <c r="L1925" s="3">
        <v>5</v>
      </c>
      <c r="M1925" s="3">
        <v>8553</v>
      </c>
      <c r="N1925" s="3">
        <v>42765</v>
      </c>
      <c r="O1925" s="3">
        <v>0</v>
      </c>
      <c r="P1925" s="3" t="s">
        <v>24</v>
      </c>
      <c r="Q1925" s="3">
        <v>1</v>
      </c>
      <c r="R1925" s="3" t="str">
        <f t="shared" si="30"/>
        <v>Cancelled</v>
      </c>
      <c r="S1925" s="3" t="s">
        <v>31</v>
      </c>
    </row>
    <row r="1926" spans="1:19" x14ac:dyDescent="0.35">
      <c r="A1926" s="3">
        <v>2925</v>
      </c>
      <c r="B1926" s="3" t="s">
        <v>1155</v>
      </c>
      <c r="C1926" s="4">
        <v>45598</v>
      </c>
      <c r="D1926" s="3" t="s">
        <v>88</v>
      </c>
      <c r="E1926" s="4">
        <v>45614</v>
      </c>
      <c r="F1926" s="4">
        <v>45618</v>
      </c>
      <c r="G1926" s="3" t="s">
        <v>42</v>
      </c>
      <c r="H1926" s="3" t="s">
        <v>60</v>
      </c>
      <c r="I1926" s="3" t="s">
        <v>39</v>
      </c>
      <c r="J1926" s="3" t="s">
        <v>46</v>
      </c>
      <c r="K1926" s="3">
        <v>16</v>
      </c>
      <c r="L1926" s="3">
        <v>4</v>
      </c>
      <c r="M1926" s="3">
        <v>5153</v>
      </c>
      <c r="N1926" s="3">
        <v>20612</v>
      </c>
      <c r="O1926" s="3">
        <v>0</v>
      </c>
      <c r="P1926" s="3" t="s">
        <v>51</v>
      </c>
      <c r="Q1926" s="3">
        <v>1</v>
      </c>
      <c r="R1926" s="3" t="str">
        <f t="shared" si="30"/>
        <v>Cancelled</v>
      </c>
      <c r="S1926" s="3" t="s">
        <v>31</v>
      </c>
    </row>
    <row r="1927" spans="1:19" x14ac:dyDescent="0.35">
      <c r="A1927" s="3">
        <v>2926</v>
      </c>
      <c r="B1927" s="3" t="s">
        <v>1115</v>
      </c>
      <c r="C1927" s="4">
        <v>45451</v>
      </c>
      <c r="D1927" s="3" t="s">
        <v>59</v>
      </c>
      <c r="E1927" s="4">
        <v>45459</v>
      </c>
      <c r="F1927" s="4">
        <v>45463</v>
      </c>
      <c r="G1927" s="3" t="s">
        <v>42</v>
      </c>
      <c r="H1927" s="3" t="s">
        <v>21</v>
      </c>
      <c r="I1927" s="3" t="s">
        <v>22</v>
      </c>
      <c r="J1927" s="3" t="s">
        <v>23</v>
      </c>
      <c r="K1927" s="3">
        <v>8</v>
      </c>
      <c r="L1927" s="3">
        <v>4</v>
      </c>
      <c r="M1927" s="3">
        <v>7405</v>
      </c>
      <c r="N1927" s="3">
        <v>29620</v>
      </c>
      <c r="O1927" s="3">
        <v>29620</v>
      </c>
      <c r="P1927" s="3" t="s">
        <v>51</v>
      </c>
      <c r="Q1927" s="3">
        <v>0</v>
      </c>
      <c r="R1927" s="3" t="str">
        <f t="shared" si="30"/>
        <v>Not Cancelled</v>
      </c>
      <c r="S1927" s="3" t="s">
        <v>25</v>
      </c>
    </row>
    <row r="1928" spans="1:19" x14ac:dyDescent="0.35">
      <c r="A1928" s="3">
        <v>2927</v>
      </c>
      <c r="B1928" s="3" t="s">
        <v>946</v>
      </c>
      <c r="C1928" s="4">
        <v>45622</v>
      </c>
      <c r="D1928" s="3" t="s">
        <v>148</v>
      </c>
      <c r="E1928" s="4">
        <v>45669</v>
      </c>
      <c r="F1928" s="4">
        <v>45673</v>
      </c>
      <c r="G1928" s="3" t="s">
        <v>42</v>
      </c>
      <c r="H1928" s="3" t="s">
        <v>38</v>
      </c>
      <c r="I1928" s="3" t="s">
        <v>22</v>
      </c>
      <c r="J1928" s="3" t="s">
        <v>30</v>
      </c>
      <c r="K1928" s="3">
        <v>47</v>
      </c>
      <c r="L1928" s="3">
        <v>4</v>
      </c>
      <c r="M1928" s="3">
        <v>8776</v>
      </c>
      <c r="N1928" s="3">
        <v>35104</v>
      </c>
      <c r="O1928" s="3">
        <v>0</v>
      </c>
      <c r="P1928" s="3" t="s">
        <v>51</v>
      </c>
      <c r="Q1928" s="3">
        <v>1</v>
      </c>
      <c r="R1928" s="3" t="str">
        <f t="shared" si="30"/>
        <v>Cancelled</v>
      </c>
      <c r="S1928" s="3" t="s">
        <v>25</v>
      </c>
    </row>
    <row r="1929" spans="1:19" x14ac:dyDescent="0.35">
      <c r="A1929" s="3">
        <v>2928</v>
      </c>
      <c r="B1929" s="3" t="s">
        <v>933</v>
      </c>
      <c r="C1929" s="4">
        <v>45555</v>
      </c>
      <c r="D1929" s="3" t="s">
        <v>71</v>
      </c>
      <c r="E1929" s="4">
        <v>45572</v>
      </c>
      <c r="F1929" s="4">
        <v>45573</v>
      </c>
      <c r="G1929" s="3" t="s">
        <v>34</v>
      </c>
      <c r="H1929" s="3" t="s">
        <v>35</v>
      </c>
      <c r="I1929" s="3" t="s">
        <v>39</v>
      </c>
      <c r="J1929" s="3" t="s">
        <v>30</v>
      </c>
      <c r="K1929" s="3">
        <v>17</v>
      </c>
      <c r="L1929" s="3">
        <v>1</v>
      </c>
      <c r="M1929" s="3">
        <v>3588</v>
      </c>
      <c r="N1929" s="3">
        <v>3588</v>
      </c>
      <c r="O1929" s="3">
        <v>3588</v>
      </c>
      <c r="P1929" s="3" t="s">
        <v>24</v>
      </c>
      <c r="Q1929" s="3">
        <v>0</v>
      </c>
      <c r="R1929" s="3" t="str">
        <f t="shared" si="30"/>
        <v>Not Cancelled</v>
      </c>
      <c r="S1929" s="3" t="s">
        <v>25</v>
      </c>
    </row>
    <row r="1930" spans="1:19" x14ac:dyDescent="0.35">
      <c r="A1930" s="3">
        <v>2929</v>
      </c>
      <c r="B1930" s="3" t="s">
        <v>924</v>
      </c>
      <c r="C1930" s="4">
        <v>45516</v>
      </c>
      <c r="D1930" s="3" t="s">
        <v>71</v>
      </c>
      <c r="E1930" s="4">
        <v>45533</v>
      </c>
      <c r="F1930" s="4">
        <v>45537</v>
      </c>
      <c r="G1930" s="3" t="s">
        <v>42</v>
      </c>
      <c r="H1930" s="3" t="s">
        <v>35</v>
      </c>
      <c r="I1930" s="3" t="s">
        <v>22</v>
      </c>
      <c r="J1930" s="3" t="s">
        <v>23</v>
      </c>
      <c r="K1930" s="3">
        <v>17</v>
      </c>
      <c r="L1930" s="3">
        <v>4</v>
      </c>
      <c r="M1930" s="3">
        <v>6885</v>
      </c>
      <c r="N1930" s="3">
        <v>27540</v>
      </c>
      <c r="O1930" s="3">
        <v>0</v>
      </c>
      <c r="P1930" s="3" t="s">
        <v>24</v>
      </c>
      <c r="Q1930" s="3">
        <v>1</v>
      </c>
      <c r="R1930" s="3" t="str">
        <f t="shared" si="30"/>
        <v>Cancelled</v>
      </c>
      <c r="S1930" s="3" t="s">
        <v>25</v>
      </c>
    </row>
    <row r="1931" spans="1:19" x14ac:dyDescent="0.35">
      <c r="A1931" s="3">
        <v>2930</v>
      </c>
      <c r="B1931" s="3" t="s">
        <v>933</v>
      </c>
      <c r="C1931" s="4">
        <v>45508</v>
      </c>
      <c r="D1931" s="3" t="s">
        <v>117</v>
      </c>
      <c r="E1931" s="4">
        <v>45562</v>
      </c>
      <c r="F1931" s="4">
        <v>45566</v>
      </c>
      <c r="G1931" s="3" t="s">
        <v>42</v>
      </c>
      <c r="H1931" s="3" t="s">
        <v>21</v>
      </c>
      <c r="I1931" s="3" t="s">
        <v>22</v>
      </c>
      <c r="J1931" s="3" t="s">
        <v>46</v>
      </c>
      <c r="K1931" s="3">
        <v>54</v>
      </c>
      <c r="L1931" s="3">
        <v>4</v>
      </c>
      <c r="M1931" s="3">
        <v>7364</v>
      </c>
      <c r="N1931" s="3">
        <v>29456</v>
      </c>
      <c r="O1931" s="3">
        <v>0</v>
      </c>
      <c r="P1931" s="3" t="s">
        <v>51</v>
      </c>
      <c r="Q1931" s="3">
        <v>1</v>
      </c>
      <c r="R1931" s="3" t="str">
        <f t="shared" si="30"/>
        <v>Cancelled</v>
      </c>
      <c r="S1931" s="3" t="s">
        <v>31</v>
      </c>
    </row>
    <row r="1932" spans="1:19" x14ac:dyDescent="0.35">
      <c r="A1932" s="3">
        <v>2931</v>
      </c>
      <c r="B1932" s="3" t="s">
        <v>747</v>
      </c>
      <c r="C1932" s="4">
        <v>45336</v>
      </c>
      <c r="D1932" s="3" t="s">
        <v>98</v>
      </c>
      <c r="E1932" s="4">
        <v>45362</v>
      </c>
      <c r="F1932" s="4">
        <v>45364</v>
      </c>
      <c r="G1932" s="3" t="s">
        <v>28</v>
      </c>
      <c r="H1932" s="3" t="s">
        <v>35</v>
      </c>
      <c r="I1932" s="3" t="s">
        <v>39</v>
      </c>
      <c r="J1932" s="3" t="s">
        <v>46</v>
      </c>
      <c r="K1932" s="3">
        <v>26</v>
      </c>
      <c r="L1932" s="3">
        <v>2</v>
      </c>
      <c r="M1932" s="3">
        <v>5014</v>
      </c>
      <c r="N1932" s="3">
        <v>10028</v>
      </c>
      <c r="O1932" s="3">
        <v>10028</v>
      </c>
      <c r="P1932" s="3" t="s">
        <v>24</v>
      </c>
      <c r="Q1932" s="3">
        <v>0</v>
      </c>
      <c r="R1932" s="3" t="str">
        <f t="shared" si="30"/>
        <v>Not Cancelled</v>
      </c>
      <c r="S1932" s="3" t="s">
        <v>25</v>
      </c>
    </row>
    <row r="1933" spans="1:19" x14ac:dyDescent="0.35">
      <c r="A1933" s="3">
        <v>2932</v>
      </c>
      <c r="B1933" s="3" t="s">
        <v>1049</v>
      </c>
      <c r="C1933" s="4">
        <v>45505</v>
      </c>
      <c r="D1933" s="3" t="s">
        <v>44</v>
      </c>
      <c r="E1933" s="4">
        <v>45518</v>
      </c>
      <c r="F1933" s="4">
        <v>45521</v>
      </c>
      <c r="G1933" s="3" t="s">
        <v>20</v>
      </c>
      <c r="H1933" s="3" t="s">
        <v>35</v>
      </c>
      <c r="I1933" s="3" t="s">
        <v>22</v>
      </c>
      <c r="J1933" s="3" t="s">
        <v>46</v>
      </c>
      <c r="K1933" s="3">
        <v>13</v>
      </c>
      <c r="L1933" s="3">
        <v>3</v>
      </c>
      <c r="M1933" s="3">
        <v>6469</v>
      </c>
      <c r="N1933" s="3">
        <v>19407</v>
      </c>
      <c r="O1933" s="3">
        <v>0</v>
      </c>
      <c r="P1933" s="3" t="s">
        <v>24</v>
      </c>
      <c r="Q1933" s="3">
        <v>1</v>
      </c>
      <c r="R1933" s="3" t="str">
        <f t="shared" si="30"/>
        <v>Cancelled</v>
      </c>
      <c r="S1933" s="3" t="s">
        <v>25</v>
      </c>
    </row>
    <row r="1934" spans="1:19" x14ac:dyDescent="0.35">
      <c r="A1934" s="3">
        <v>2933</v>
      </c>
      <c r="B1934" s="3" t="s">
        <v>1156</v>
      </c>
      <c r="C1934" s="4">
        <v>45350</v>
      </c>
      <c r="D1934" s="3" t="s">
        <v>71</v>
      </c>
      <c r="E1934" s="4">
        <v>45367</v>
      </c>
      <c r="F1934" s="4">
        <v>45371</v>
      </c>
      <c r="G1934" s="3" t="s">
        <v>42</v>
      </c>
      <c r="H1934" s="3" t="s">
        <v>21</v>
      </c>
      <c r="I1934" s="3" t="s">
        <v>22</v>
      </c>
      <c r="J1934" s="3" t="s">
        <v>23</v>
      </c>
      <c r="K1934" s="3">
        <v>17</v>
      </c>
      <c r="L1934" s="3">
        <v>4</v>
      </c>
      <c r="M1934" s="3">
        <v>5784</v>
      </c>
      <c r="N1934" s="3">
        <v>23136</v>
      </c>
      <c r="O1934" s="3">
        <v>23136</v>
      </c>
      <c r="P1934" s="3" t="s">
        <v>51</v>
      </c>
      <c r="Q1934" s="3">
        <v>0</v>
      </c>
      <c r="R1934" s="3" t="str">
        <f t="shared" si="30"/>
        <v>Not Cancelled</v>
      </c>
      <c r="S1934" s="3" t="s">
        <v>31</v>
      </c>
    </row>
    <row r="1935" spans="1:19" x14ac:dyDescent="0.35">
      <c r="A1935" s="3">
        <v>2934</v>
      </c>
      <c r="B1935" s="3" t="s">
        <v>964</v>
      </c>
      <c r="C1935" s="4">
        <v>45423</v>
      </c>
      <c r="D1935" s="3" t="s">
        <v>115</v>
      </c>
      <c r="E1935" s="4">
        <v>45461</v>
      </c>
      <c r="F1935" s="4">
        <v>45466</v>
      </c>
      <c r="G1935" s="3" t="s">
        <v>45</v>
      </c>
      <c r="H1935" s="3" t="s">
        <v>60</v>
      </c>
      <c r="I1935" s="3" t="s">
        <v>39</v>
      </c>
      <c r="J1935" s="3" t="s">
        <v>23</v>
      </c>
      <c r="K1935" s="3">
        <v>38</v>
      </c>
      <c r="L1935" s="3">
        <v>5</v>
      </c>
      <c r="M1935" s="3">
        <v>7066</v>
      </c>
      <c r="N1935" s="3">
        <v>35330</v>
      </c>
      <c r="O1935" s="3">
        <v>0</v>
      </c>
      <c r="P1935" s="3" t="s">
        <v>24</v>
      </c>
      <c r="Q1935" s="3">
        <v>1</v>
      </c>
      <c r="R1935" s="3" t="str">
        <f t="shared" si="30"/>
        <v>Cancelled</v>
      </c>
      <c r="S1935" s="3" t="s">
        <v>31</v>
      </c>
    </row>
    <row r="1936" spans="1:19" x14ac:dyDescent="0.35">
      <c r="A1936" s="3">
        <v>2935</v>
      </c>
      <c r="B1936" s="3" t="s">
        <v>1119</v>
      </c>
      <c r="C1936" s="4">
        <v>45395</v>
      </c>
      <c r="D1936" s="3" t="s">
        <v>71</v>
      </c>
      <c r="E1936" s="4">
        <v>45412</v>
      </c>
      <c r="F1936" s="4">
        <v>45416</v>
      </c>
      <c r="G1936" s="3" t="s">
        <v>42</v>
      </c>
      <c r="H1936" s="3" t="s">
        <v>38</v>
      </c>
      <c r="I1936" s="3" t="s">
        <v>39</v>
      </c>
      <c r="J1936" s="3" t="s">
        <v>46</v>
      </c>
      <c r="K1936" s="3">
        <v>17</v>
      </c>
      <c r="L1936" s="3">
        <v>4</v>
      </c>
      <c r="M1936" s="3">
        <v>4696</v>
      </c>
      <c r="N1936" s="3">
        <v>18784</v>
      </c>
      <c r="O1936" s="3">
        <v>18784</v>
      </c>
      <c r="P1936" s="3" t="s">
        <v>51</v>
      </c>
      <c r="Q1936" s="3">
        <v>0</v>
      </c>
      <c r="R1936" s="3" t="str">
        <f t="shared" si="30"/>
        <v>Not Cancelled</v>
      </c>
      <c r="S1936" s="3" t="s">
        <v>25</v>
      </c>
    </row>
    <row r="1937" spans="1:19" x14ac:dyDescent="0.35">
      <c r="A1937" s="3">
        <v>2936</v>
      </c>
      <c r="B1937" s="3" t="s">
        <v>924</v>
      </c>
      <c r="C1937" s="4">
        <v>45486</v>
      </c>
      <c r="D1937" s="3" t="s">
        <v>73</v>
      </c>
      <c r="E1937" s="4">
        <v>45534</v>
      </c>
      <c r="F1937" s="4">
        <v>45535</v>
      </c>
      <c r="G1937" s="3" t="s">
        <v>34</v>
      </c>
      <c r="H1937" s="3" t="s">
        <v>38</v>
      </c>
      <c r="I1937" s="3" t="s">
        <v>22</v>
      </c>
      <c r="J1937" s="3" t="s">
        <v>46</v>
      </c>
      <c r="K1937" s="3">
        <v>48</v>
      </c>
      <c r="L1937" s="3">
        <v>1</v>
      </c>
      <c r="M1937" s="3">
        <v>6683</v>
      </c>
      <c r="N1937" s="3">
        <v>6683</v>
      </c>
      <c r="O1937" s="3">
        <v>0</v>
      </c>
      <c r="P1937" s="3" t="s">
        <v>24</v>
      </c>
      <c r="Q1937" s="3">
        <v>1</v>
      </c>
      <c r="R1937" s="3" t="str">
        <f t="shared" si="30"/>
        <v>Cancelled</v>
      </c>
      <c r="S1937" s="3" t="s">
        <v>31</v>
      </c>
    </row>
    <row r="1938" spans="1:19" x14ac:dyDescent="0.35">
      <c r="A1938" s="3">
        <v>2937</v>
      </c>
      <c r="B1938" s="3" t="s">
        <v>341</v>
      </c>
      <c r="C1938" s="4">
        <v>45448</v>
      </c>
      <c r="D1938" s="3" t="s">
        <v>33</v>
      </c>
      <c r="E1938" s="4">
        <v>45462</v>
      </c>
      <c r="F1938" s="4">
        <v>45463</v>
      </c>
      <c r="G1938" s="3" t="s">
        <v>34</v>
      </c>
      <c r="H1938" s="3" t="s">
        <v>35</v>
      </c>
      <c r="I1938" s="3" t="s">
        <v>22</v>
      </c>
      <c r="J1938" s="3" t="s">
        <v>23</v>
      </c>
      <c r="K1938" s="3">
        <v>14</v>
      </c>
      <c r="L1938" s="3">
        <v>1</v>
      </c>
      <c r="M1938" s="3">
        <v>3289</v>
      </c>
      <c r="N1938" s="3">
        <v>3289</v>
      </c>
      <c r="O1938" s="3">
        <v>0</v>
      </c>
      <c r="P1938" s="3" t="s">
        <v>51</v>
      </c>
      <c r="Q1938" s="3">
        <v>1</v>
      </c>
      <c r="R1938" s="3" t="str">
        <f t="shared" si="30"/>
        <v>Cancelled</v>
      </c>
      <c r="S1938" s="3" t="s">
        <v>31</v>
      </c>
    </row>
    <row r="1939" spans="1:19" x14ac:dyDescent="0.35">
      <c r="A1939" s="3">
        <v>2938</v>
      </c>
      <c r="B1939" s="3" t="s">
        <v>736</v>
      </c>
      <c r="C1939" s="4">
        <v>45389</v>
      </c>
      <c r="D1939" s="3" t="s">
        <v>64</v>
      </c>
      <c r="E1939" s="4">
        <v>45434</v>
      </c>
      <c r="F1939" s="4">
        <v>45435</v>
      </c>
      <c r="G1939" s="3" t="s">
        <v>34</v>
      </c>
      <c r="H1939" s="3" t="s">
        <v>38</v>
      </c>
      <c r="I1939" s="3" t="s">
        <v>22</v>
      </c>
      <c r="J1939" s="3" t="s">
        <v>46</v>
      </c>
      <c r="K1939" s="3">
        <v>45</v>
      </c>
      <c r="L1939" s="3">
        <v>1</v>
      </c>
      <c r="M1939" s="3">
        <v>5975</v>
      </c>
      <c r="N1939" s="3">
        <v>5975</v>
      </c>
      <c r="O1939" s="3">
        <v>0</v>
      </c>
      <c r="P1939" s="3" t="s">
        <v>24</v>
      </c>
      <c r="Q1939" s="3">
        <v>1</v>
      </c>
      <c r="R1939" s="3" t="str">
        <f t="shared" si="30"/>
        <v>Cancelled</v>
      </c>
      <c r="S1939" s="3" t="s">
        <v>31</v>
      </c>
    </row>
    <row r="1940" spans="1:19" x14ac:dyDescent="0.35">
      <c r="A1940" s="3">
        <v>2939</v>
      </c>
      <c r="B1940" s="3" t="s">
        <v>151</v>
      </c>
      <c r="C1940" s="4">
        <v>45517</v>
      </c>
      <c r="D1940" s="3" t="s">
        <v>55</v>
      </c>
      <c r="E1940" s="4">
        <v>45523</v>
      </c>
      <c r="F1940" s="4">
        <v>45527</v>
      </c>
      <c r="G1940" s="3" t="s">
        <v>42</v>
      </c>
      <c r="H1940" s="3" t="s">
        <v>60</v>
      </c>
      <c r="I1940" s="3" t="s">
        <v>22</v>
      </c>
      <c r="J1940" s="3" t="s">
        <v>30</v>
      </c>
      <c r="K1940" s="3">
        <v>6</v>
      </c>
      <c r="L1940" s="3">
        <v>4</v>
      </c>
      <c r="M1940" s="3">
        <v>5653</v>
      </c>
      <c r="N1940" s="3">
        <v>22612</v>
      </c>
      <c r="O1940" s="3">
        <v>22612</v>
      </c>
      <c r="P1940" s="3" t="s">
        <v>51</v>
      </c>
      <c r="Q1940" s="3">
        <v>0</v>
      </c>
      <c r="R1940" s="3" t="str">
        <f t="shared" si="30"/>
        <v>Not Cancelled</v>
      </c>
      <c r="S1940" s="3" t="s">
        <v>31</v>
      </c>
    </row>
    <row r="1941" spans="1:19" x14ac:dyDescent="0.35">
      <c r="A1941" s="3">
        <v>2940</v>
      </c>
      <c r="B1941" s="3" t="s">
        <v>85</v>
      </c>
      <c r="C1941" s="4">
        <v>45496</v>
      </c>
      <c r="D1941" s="3" t="s">
        <v>91</v>
      </c>
      <c r="E1941" s="4">
        <v>45531</v>
      </c>
      <c r="F1941" s="4">
        <v>45533</v>
      </c>
      <c r="G1941" s="3" t="s">
        <v>28</v>
      </c>
      <c r="H1941" s="3" t="s">
        <v>35</v>
      </c>
      <c r="I1941" s="3" t="s">
        <v>39</v>
      </c>
      <c r="J1941" s="3" t="s">
        <v>23</v>
      </c>
      <c r="K1941" s="3">
        <v>35</v>
      </c>
      <c r="L1941" s="3">
        <v>2</v>
      </c>
      <c r="M1941" s="3">
        <v>4164</v>
      </c>
      <c r="N1941" s="3">
        <v>8328</v>
      </c>
      <c r="O1941" s="3">
        <v>8328</v>
      </c>
      <c r="P1941" s="3" t="s">
        <v>24</v>
      </c>
      <c r="Q1941" s="3">
        <v>0</v>
      </c>
      <c r="R1941" s="3" t="str">
        <f t="shared" si="30"/>
        <v>Not Cancelled</v>
      </c>
      <c r="S1941" s="3" t="s">
        <v>31</v>
      </c>
    </row>
    <row r="1942" spans="1:19" x14ac:dyDescent="0.35">
      <c r="A1942" s="3">
        <v>2941</v>
      </c>
      <c r="B1942" s="3" t="s">
        <v>87</v>
      </c>
      <c r="C1942" s="4">
        <v>45370</v>
      </c>
      <c r="D1942" s="3" t="s">
        <v>41</v>
      </c>
      <c r="E1942" s="4">
        <v>45416</v>
      </c>
      <c r="F1942" s="4">
        <v>45421</v>
      </c>
      <c r="G1942" s="3" t="s">
        <v>45</v>
      </c>
      <c r="H1942" s="3" t="s">
        <v>38</v>
      </c>
      <c r="I1942" s="3" t="s">
        <v>22</v>
      </c>
      <c r="J1942" s="3" t="s">
        <v>46</v>
      </c>
      <c r="K1942" s="3">
        <v>46</v>
      </c>
      <c r="L1942" s="3">
        <v>5</v>
      </c>
      <c r="M1942" s="3">
        <v>3809</v>
      </c>
      <c r="N1942" s="3">
        <v>19045</v>
      </c>
      <c r="O1942" s="3">
        <v>19045</v>
      </c>
      <c r="P1942" s="3" t="s">
        <v>24</v>
      </c>
      <c r="Q1942" s="3">
        <v>0</v>
      </c>
      <c r="R1942" s="3" t="str">
        <f t="shared" si="30"/>
        <v>Not Cancelled</v>
      </c>
      <c r="S1942" s="3" t="s">
        <v>25</v>
      </c>
    </row>
    <row r="1943" spans="1:19" x14ac:dyDescent="0.35">
      <c r="A1943" s="3">
        <v>2942</v>
      </c>
      <c r="B1943" s="3" t="s">
        <v>1157</v>
      </c>
      <c r="C1943" s="4">
        <v>45415</v>
      </c>
      <c r="D1943" s="3" t="s">
        <v>33</v>
      </c>
      <c r="E1943" s="4">
        <v>45429</v>
      </c>
      <c r="F1943" s="4">
        <v>45433</v>
      </c>
      <c r="G1943" s="3" t="s">
        <v>42</v>
      </c>
      <c r="H1943" s="3" t="s">
        <v>29</v>
      </c>
      <c r="I1943" s="3" t="s">
        <v>22</v>
      </c>
      <c r="J1943" s="3" t="s">
        <v>30</v>
      </c>
      <c r="K1943" s="3">
        <v>14</v>
      </c>
      <c r="L1943" s="3">
        <v>4</v>
      </c>
      <c r="M1943" s="3">
        <v>3364</v>
      </c>
      <c r="N1943" s="3">
        <v>13456</v>
      </c>
      <c r="O1943" s="3">
        <v>13456</v>
      </c>
      <c r="P1943" s="3" t="s">
        <v>24</v>
      </c>
      <c r="Q1943" s="3">
        <v>0</v>
      </c>
      <c r="R1943" s="3" t="str">
        <f t="shared" si="30"/>
        <v>Not Cancelled</v>
      </c>
      <c r="S1943" s="3" t="s">
        <v>25</v>
      </c>
    </row>
    <row r="1944" spans="1:19" x14ac:dyDescent="0.35">
      <c r="A1944" s="3">
        <v>2943</v>
      </c>
      <c r="B1944" s="3" t="s">
        <v>624</v>
      </c>
      <c r="C1944" s="4">
        <v>45509</v>
      </c>
      <c r="D1944" s="3" t="s">
        <v>148</v>
      </c>
      <c r="E1944" s="4">
        <v>45556</v>
      </c>
      <c r="F1944" s="4">
        <v>45558</v>
      </c>
      <c r="G1944" s="3" t="s">
        <v>28</v>
      </c>
      <c r="H1944" s="3" t="s">
        <v>29</v>
      </c>
      <c r="I1944" s="3" t="s">
        <v>22</v>
      </c>
      <c r="J1944" s="3" t="s">
        <v>23</v>
      </c>
      <c r="K1944" s="3">
        <v>47</v>
      </c>
      <c r="L1944" s="3">
        <v>2</v>
      </c>
      <c r="M1944" s="3">
        <v>6363</v>
      </c>
      <c r="N1944" s="3">
        <v>12726</v>
      </c>
      <c r="O1944" s="3">
        <v>0</v>
      </c>
      <c r="P1944" s="3" t="s">
        <v>24</v>
      </c>
      <c r="Q1944" s="3">
        <v>1</v>
      </c>
      <c r="R1944" s="3" t="str">
        <f t="shared" si="30"/>
        <v>Cancelled</v>
      </c>
      <c r="S1944" s="3" t="s">
        <v>25</v>
      </c>
    </row>
    <row r="1945" spans="1:19" x14ac:dyDescent="0.35">
      <c r="A1945" s="3">
        <v>2944</v>
      </c>
      <c r="B1945" s="3" t="s">
        <v>1158</v>
      </c>
      <c r="C1945" s="4">
        <v>45295</v>
      </c>
      <c r="D1945" s="3" t="s">
        <v>59</v>
      </c>
      <c r="E1945" s="4">
        <v>45303</v>
      </c>
      <c r="F1945" s="4">
        <v>45305</v>
      </c>
      <c r="G1945" s="3" t="s">
        <v>28</v>
      </c>
      <c r="H1945" s="3" t="s">
        <v>29</v>
      </c>
      <c r="I1945" s="3" t="s">
        <v>22</v>
      </c>
      <c r="J1945" s="3" t="s">
        <v>23</v>
      </c>
      <c r="K1945" s="3">
        <v>8</v>
      </c>
      <c r="L1945" s="3">
        <v>2</v>
      </c>
      <c r="M1945" s="3">
        <v>7889</v>
      </c>
      <c r="N1945" s="3">
        <v>15778</v>
      </c>
      <c r="O1945" s="3">
        <v>0</v>
      </c>
      <c r="P1945" s="3" t="s">
        <v>24</v>
      </c>
      <c r="Q1945" s="3">
        <v>1</v>
      </c>
      <c r="R1945" s="3" t="str">
        <f t="shared" si="30"/>
        <v>Cancelled</v>
      </c>
      <c r="S1945" s="3" t="s">
        <v>25</v>
      </c>
    </row>
    <row r="1946" spans="1:19" x14ac:dyDescent="0.35">
      <c r="A1946" s="3">
        <v>2945</v>
      </c>
      <c r="B1946" s="3" t="s">
        <v>474</v>
      </c>
      <c r="C1946" s="4">
        <v>45381</v>
      </c>
      <c r="D1946" s="3" t="s">
        <v>277</v>
      </c>
      <c r="E1946" s="4">
        <v>45396</v>
      </c>
      <c r="F1946" s="4">
        <v>45400</v>
      </c>
      <c r="G1946" s="3" t="s">
        <v>42</v>
      </c>
      <c r="H1946" s="3" t="s">
        <v>29</v>
      </c>
      <c r="I1946" s="3" t="s">
        <v>39</v>
      </c>
      <c r="J1946" s="3" t="s">
        <v>30</v>
      </c>
      <c r="K1946" s="3">
        <v>15</v>
      </c>
      <c r="L1946" s="3">
        <v>4</v>
      </c>
      <c r="M1946" s="3">
        <v>5863</v>
      </c>
      <c r="N1946" s="3">
        <v>23452</v>
      </c>
      <c r="O1946" s="3">
        <v>0</v>
      </c>
      <c r="P1946" s="3" t="s">
        <v>51</v>
      </c>
      <c r="Q1946" s="3">
        <v>1</v>
      </c>
      <c r="R1946" s="3" t="str">
        <f t="shared" si="30"/>
        <v>Cancelled</v>
      </c>
      <c r="S1946" s="3" t="s">
        <v>25</v>
      </c>
    </row>
    <row r="1947" spans="1:19" x14ac:dyDescent="0.35">
      <c r="A1947" s="3">
        <v>2946</v>
      </c>
      <c r="B1947" s="3" t="s">
        <v>1159</v>
      </c>
      <c r="C1947" s="4">
        <v>45395</v>
      </c>
      <c r="D1947" s="3" t="s">
        <v>117</v>
      </c>
      <c r="E1947" s="4">
        <v>45449</v>
      </c>
      <c r="F1947" s="4">
        <v>45453</v>
      </c>
      <c r="G1947" s="3" t="s">
        <v>42</v>
      </c>
      <c r="H1947" s="3" t="s">
        <v>29</v>
      </c>
      <c r="I1947" s="3" t="s">
        <v>22</v>
      </c>
      <c r="J1947" s="3" t="s">
        <v>23</v>
      </c>
      <c r="K1947" s="3">
        <v>54</v>
      </c>
      <c r="L1947" s="3">
        <v>4</v>
      </c>
      <c r="M1947" s="3">
        <v>6024</v>
      </c>
      <c r="N1947" s="3">
        <v>24096</v>
      </c>
      <c r="O1947" s="3">
        <v>0</v>
      </c>
      <c r="P1947" s="3" t="s">
        <v>51</v>
      </c>
      <c r="Q1947" s="3">
        <v>1</v>
      </c>
      <c r="R1947" s="3" t="str">
        <f t="shared" si="30"/>
        <v>Cancelled</v>
      </c>
      <c r="S1947" s="3" t="s">
        <v>25</v>
      </c>
    </row>
    <row r="1948" spans="1:19" x14ac:dyDescent="0.35">
      <c r="A1948" s="3">
        <v>2947</v>
      </c>
      <c r="B1948" s="3" t="s">
        <v>1160</v>
      </c>
      <c r="C1948" s="4">
        <v>45410</v>
      </c>
      <c r="D1948" s="3" t="s">
        <v>185</v>
      </c>
      <c r="E1948" s="4">
        <v>45437</v>
      </c>
      <c r="F1948" s="4">
        <v>45439</v>
      </c>
      <c r="G1948" s="3" t="s">
        <v>28</v>
      </c>
      <c r="H1948" s="3" t="s">
        <v>35</v>
      </c>
      <c r="I1948" s="3" t="s">
        <v>39</v>
      </c>
      <c r="J1948" s="3" t="s">
        <v>46</v>
      </c>
      <c r="K1948" s="3">
        <v>27</v>
      </c>
      <c r="L1948" s="3">
        <v>2</v>
      </c>
      <c r="M1948" s="3">
        <v>6286</v>
      </c>
      <c r="N1948" s="3">
        <v>12572</v>
      </c>
      <c r="O1948" s="3">
        <v>0</v>
      </c>
      <c r="P1948" s="3" t="s">
        <v>51</v>
      </c>
      <c r="Q1948" s="3">
        <v>1</v>
      </c>
      <c r="R1948" s="3" t="str">
        <f t="shared" si="30"/>
        <v>Cancelled</v>
      </c>
      <c r="S1948" s="3" t="s">
        <v>25</v>
      </c>
    </row>
    <row r="1949" spans="1:19" x14ac:dyDescent="0.35">
      <c r="A1949" s="3">
        <v>2948</v>
      </c>
      <c r="B1949" s="3" t="s">
        <v>126</v>
      </c>
      <c r="C1949" s="4">
        <v>45424</v>
      </c>
      <c r="D1949" s="3" t="s">
        <v>44</v>
      </c>
      <c r="E1949" s="4">
        <v>45437</v>
      </c>
      <c r="F1949" s="4">
        <v>45439</v>
      </c>
      <c r="G1949" s="3" t="s">
        <v>28</v>
      </c>
      <c r="H1949" s="3" t="s">
        <v>21</v>
      </c>
      <c r="I1949" s="3" t="s">
        <v>39</v>
      </c>
      <c r="J1949" s="3" t="s">
        <v>23</v>
      </c>
      <c r="K1949" s="3">
        <v>13</v>
      </c>
      <c r="L1949" s="3">
        <v>2</v>
      </c>
      <c r="M1949" s="3">
        <v>2523</v>
      </c>
      <c r="N1949" s="3">
        <v>5046</v>
      </c>
      <c r="O1949" s="3">
        <v>0</v>
      </c>
      <c r="P1949" s="3" t="s">
        <v>24</v>
      </c>
      <c r="Q1949" s="3">
        <v>1</v>
      </c>
      <c r="R1949" s="3" t="str">
        <f t="shared" si="30"/>
        <v>Cancelled</v>
      </c>
      <c r="S1949" s="3" t="s">
        <v>31</v>
      </c>
    </row>
    <row r="1950" spans="1:19" x14ac:dyDescent="0.35">
      <c r="A1950" s="3">
        <v>2949</v>
      </c>
      <c r="B1950" s="3" t="s">
        <v>647</v>
      </c>
      <c r="C1950" s="4">
        <v>45603</v>
      </c>
      <c r="D1950" s="3" t="s">
        <v>211</v>
      </c>
      <c r="E1950" s="4">
        <v>45652</v>
      </c>
      <c r="F1950" s="4">
        <v>45654</v>
      </c>
      <c r="G1950" s="3" t="s">
        <v>28</v>
      </c>
      <c r="H1950" s="3" t="s">
        <v>21</v>
      </c>
      <c r="I1950" s="3" t="s">
        <v>39</v>
      </c>
      <c r="J1950" s="3" t="s">
        <v>46</v>
      </c>
      <c r="K1950" s="3">
        <v>49</v>
      </c>
      <c r="L1950" s="3">
        <v>2</v>
      </c>
      <c r="M1950" s="3">
        <v>5503</v>
      </c>
      <c r="N1950" s="3">
        <v>11006</v>
      </c>
      <c r="O1950" s="3">
        <v>0</v>
      </c>
      <c r="P1950" s="3" t="s">
        <v>51</v>
      </c>
      <c r="Q1950" s="3">
        <v>1</v>
      </c>
      <c r="R1950" s="3" t="str">
        <f t="shared" si="30"/>
        <v>Cancelled</v>
      </c>
      <c r="S1950" s="3" t="s">
        <v>25</v>
      </c>
    </row>
    <row r="1951" spans="1:19" x14ac:dyDescent="0.35">
      <c r="A1951" s="3">
        <v>2950</v>
      </c>
      <c r="B1951" s="3" t="s">
        <v>557</v>
      </c>
      <c r="C1951" s="4">
        <v>45387</v>
      </c>
      <c r="D1951" s="3" t="s">
        <v>48</v>
      </c>
      <c r="E1951" s="4">
        <v>45418</v>
      </c>
      <c r="F1951" s="4">
        <v>45422</v>
      </c>
      <c r="G1951" s="3" t="s">
        <v>42</v>
      </c>
      <c r="H1951" s="3" t="s">
        <v>35</v>
      </c>
      <c r="I1951" s="3" t="s">
        <v>39</v>
      </c>
      <c r="J1951" s="3" t="s">
        <v>30</v>
      </c>
      <c r="K1951" s="3">
        <v>31</v>
      </c>
      <c r="L1951" s="3">
        <v>4</v>
      </c>
      <c r="M1951" s="3">
        <v>8482</v>
      </c>
      <c r="N1951" s="3">
        <v>33928</v>
      </c>
      <c r="O1951" s="3">
        <v>33928</v>
      </c>
      <c r="P1951" s="3" t="s">
        <v>24</v>
      </c>
      <c r="Q1951" s="3">
        <v>0</v>
      </c>
      <c r="R1951" s="3" t="str">
        <f t="shared" si="30"/>
        <v>Not Cancelled</v>
      </c>
      <c r="S1951" s="3" t="s">
        <v>25</v>
      </c>
    </row>
    <row r="1952" spans="1:19" x14ac:dyDescent="0.35">
      <c r="A1952" s="3">
        <v>2951</v>
      </c>
      <c r="B1952" s="3" t="s">
        <v>905</v>
      </c>
      <c r="C1952" s="4">
        <v>45622</v>
      </c>
      <c r="D1952" s="3" t="s">
        <v>133</v>
      </c>
      <c r="E1952" s="4">
        <v>45675</v>
      </c>
      <c r="F1952" s="4">
        <v>45677</v>
      </c>
      <c r="G1952" s="3" t="s">
        <v>28</v>
      </c>
      <c r="H1952" s="3" t="s">
        <v>35</v>
      </c>
      <c r="I1952" s="3" t="s">
        <v>39</v>
      </c>
      <c r="J1952" s="3" t="s">
        <v>30</v>
      </c>
      <c r="K1952" s="3">
        <v>53</v>
      </c>
      <c r="L1952" s="3">
        <v>2</v>
      </c>
      <c r="M1952" s="3">
        <v>2810</v>
      </c>
      <c r="N1952" s="3">
        <v>5620</v>
      </c>
      <c r="O1952" s="3">
        <v>5620</v>
      </c>
      <c r="P1952" s="3" t="s">
        <v>24</v>
      </c>
      <c r="Q1952" s="3">
        <v>0</v>
      </c>
      <c r="R1952" s="3" t="str">
        <f t="shared" si="30"/>
        <v>Not Cancelled</v>
      </c>
      <c r="S1952" s="3" t="s">
        <v>25</v>
      </c>
    </row>
    <row r="1953" spans="1:19" x14ac:dyDescent="0.35">
      <c r="A1953" s="3">
        <v>2952</v>
      </c>
      <c r="B1953" s="3" t="s">
        <v>648</v>
      </c>
      <c r="C1953" s="4">
        <v>45434</v>
      </c>
      <c r="D1953" s="3" t="s">
        <v>94</v>
      </c>
      <c r="E1953" s="4">
        <v>45490</v>
      </c>
      <c r="F1953" s="4">
        <v>45491</v>
      </c>
      <c r="G1953" s="3" t="s">
        <v>34</v>
      </c>
      <c r="H1953" s="3" t="s">
        <v>60</v>
      </c>
      <c r="I1953" s="3" t="s">
        <v>22</v>
      </c>
      <c r="J1953" s="3" t="s">
        <v>23</v>
      </c>
      <c r="K1953" s="3">
        <v>56</v>
      </c>
      <c r="L1953" s="3">
        <v>1</v>
      </c>
      <c r="M1953" s="3">
        <v>8080</v>
      </c>
      <c r="N1953" s="3">
        <v>8080</v>
      </c>
      <c r="O1953" s="3">
        <v>0</v>
      </c>
      <c r="P1953" s="3" t="s">
        <v>51</v>
      </c>
      <c r="Q1953" s="3">
        <v>1</v>
      </c>
      <c r="R1953" s="3" t="str">
        <f t="shared" si="30"/>
        <v>Cancelled</v>
      </c>
      <c r="S1953" s="3" t="s">
        <v>31</v>
      </c>
    </row>
    <row r="1954" spans="1:19" x14ac:dyDescent="0.35">
      <c r="A1954" s="3">
        <v>2953</v>
      </c>
      <c r="B1954" s="3" t="s">
        <v>950</v>
      </c>
      <c r="C1954" s="4">
        <v>45579</v>
      </c>
      <c r="D1954" s="3" t="s">
        <v>91</v>
      </c>
      <c r="E1954" s="4">
        <v>45614</v>
      </c>
      <c r="F1954" s="4">
        <v>45618</v>
      </c>
      <c r="G1954" s="3" t="s">
        <v>42</v>
      </c>
      <c r="H1954" s="3" t="s">
        <v>21</v>
      </c>
      <c r="I1954" s="3" t="s">
        <v>39</v>
      </c>
      <c r="J1954" s="3" t="s">
        <v>30</v>
      </c>
      <c r="K1954" s="3">
        <v>35</v>
      </c>
      <c r="L1954" s="3">
        <v>4</v>
      </c>
      <c r="M1954" s="3">
        <v>3731</v>
      </c>
      <c r="N1954" s="3">
        <v>14924</v>
      </c>
      <c r="O1954" s="3">
        <v>14924</v>
      </c>
      <c r="P1954" s="3" t="s">
        <v>51</v>
      </c>
      <c r="Q1954" s="3">
        <v>0</v>
      </c>
      <c r="R1954" s="3" t="str">
        <f t="shared" si="30"/>
        <v>Not Cancelled</v>
      </c>
      <c r="S1954" s="3" t="s">
        <v>25</v>
      </c>
    </row>
    <row r="1955" spans="1:19" x14ac:dyDescent="0.35">
      <c r="A1955" s="3">
        <v>2954</v>
      </c>
      <c r="B1955" s="3" t="s">
        <v>671</v>
      </c>
      <c r="C1955" s="4">
        <v>45319</v>
      </c>
      <c r="D1955" s="3" t="s">
        <v>55</v>
      </c>
      <c r="E1955" s="4">
        <v>45325</v>
      </c>
      <c r="F1955" s="4">
        <v>45326</v>
      </c>
      <c r="G1955" s="3" t="s">
        <v>34</v>
      </c>
      <c r="H1955" s="3" t="s">
        <v>29</v>
      </c>
      <c r="I1955" s="3" t="s">
        <v>39</v>
      </c>
      <c r="J1955" s="3" t="s">
        <v>30</v>
      </c>
      <c r="K1955" s="3">
        <v>6</v>
      </c>
      <c r="L1955" s="3">
        <v>1</v>
      </c>
      <c r="M1955" s="3">
        <v>6288</v>
      </c>
      <c r="N1955" s="3">
        <v>6288</v>
      </c>
      <c r="O1955" s="3">
        <v>6288</v>
      </c>
      <c r="P1955" s="3" t="s">
        <v>24</v>
      </c>
      <c r="Q1955" s="3">
        <v>0</v>
      </c>
      <c r="R1955" s="3" t="str">
        <f t="shared" si="30"/>
        <v>Not Cancelled</v>
      </c>
      <c r="S1955" s="3" t="s">
        <v>25</v>
      </c>
    </row>
    <row r="1956" spans="1:19" x14ac:dyDescent="0.35">
      <c r="A1956" s="3">
        <v>2955</v>
      </c>
      <c r="B1956" s="3" t="s">
        <v>610</v>
      </c>
      <c r="C1956" s="4">
        <v>45569</v>
      </c>
      <c r="D1956" s="3" t="s">
        <v>45</v>
      </c>
      <c r="E1956" s="4">
        <v>45574</v>
      </c>
      <c r="F1956" s="4">
        <v>45577</v>
      </c>
      <c r="G1956" s="3" t="s">
        <v>20</v>
      </c>
      <c r="H1956" s="3" t="s">
        <v>35</v>
      </c>
      <c r="I1956" s="3" t="s">
        <v>39</v>
      </c>
      <c r="J1956" s="3" t="s">
        <v>23</v>
      </c>
      <c r="K1956" s="3">
        <v>5</v>
      </c>
      <c r="L1956" s="3">
        <v>3</v>
      </c>
      <c r="M1956" s="3">
        <v>5211</v>
      </c>
      <c r="N1956" s="3">
        <v>15633</v>
      </c>
      <c r="O1956" s="3">
        <v>15633</v>
      </c>
      <c r="P1956" s="3" t="s">
        <v>24</v>
      </c>
      <c r="Q1956" s="3">
        <v>0</v>
      </c>
      <c r="R1956" s="3" t="str">
        <f t="shared" si="30"/>
        <v>Not Cancelled</v>
      </c>
      <c r="S1956" s="3" t="s">
        <v>31</v>
      </c>
    </row>
    <row r="1957" spans="1:19" x14ac:dyDescent="0.35">
      <c r="A1957" s="3">
        <v>2956</v>
      </c>
      <c r="B1957" s="3" t="s">
        <v>248</v>
      </c>
      <c r="C1957" s="4">
        <v>45524</v>
      </c>
      <c r="D1957" s="3" t="s">
        <v>19</v>
      </c>
      <c r="E1957" s="4">
        <v>45546</v>
      </c>
      <c r="F1957" s="4">
        <v>45550</v>
      </c>
      <c r="G1957" s="3" t="s">
        <v>42</v>
      </c>
      <c r="H1957" s="3" t="s">
        <v>29</v>
      </c>
      <c r="I1957" s="3" t="s">
        <v>22</v>
      </c>
      <c r="J1957" s="3" t="s">
        <v>46</v>
      </c>
      <c r="K1957" s="3">
        <v>22</v>
      </c>
      <c r="L1957" s="3">
        <v>4</v>
      </c>
      <c r="M1957" s="3">
        <v>7301</v>
      </c>
      <c r="N1957" s="3">
        <v>29204</v>
      </c>
      <c r="O1957" s="3">
        <v>0</v>
      </c>
      <c r="P1957" s="3" t="s">
        <v>51</v>
      </c>
      <c r="Q1957" s="3">
        <v>1</v>
      </c>
      <c r="R1957" s="3" t="str">
        <f t="shared" si="30"/>
        <v>Cancelled</v>
      </c>
      <c r="S1957" s="3" t="s">
        <v>25</v>
      </c>
    </row>
    <row r="1958" spans="1:19" x14ac:dyDescent="0.35">
      <c r="A1958" s="3">
        <v>2957</v>
      </c>
      <c r="B1958" s="3" t="s">
        <v>49</v>
      </c>
      <c r="C1958" s="4">
        <v>45308</v>
      </c>
      <c r="D1958" s="3" t="s">
        <v>237</v>
      </c>
      <c r="E1958" s="4">
        <v>45366</v>
      </c>
      <c r="F1958" s="4">
        <v>45369</v>
      </c>
      <c r="G1958" s="3" t="s">
        <v>20</v>
      </c>
      <c r="H1958" s="3" t="s">
        <v>21</v>
      </c>
      <c r="I1958" s="3" t="s">
        <v>39</v>
      </c>
      <c r="J1958" s="3" t="s">
        <v>23</v>
      </c>
      <c r="K1958" s="3">
        <v>58</v>
      </c>
      <c r="L1958" s="3">
        <v>3</v>
      </c>
      <c r="M1958" s="3">
        <v>7955</v>
      </c>
      <c r="N1958" s="3">
        <v>23865</v>
      </c>
      <c r="O1958" s="3">
        <v>0</v>
      </c>
      <c r="P1958" s="3" t="s">
        <v>51</v>
      </c>
      <c r="Q1958" s="3">
        <v>1</v>
      </c>
      <c r="R1958" s="3" t="str">
        <f t="shared" si="30"/>
        <v>Cancelled</v>
      </c>
      <c r="S1958" s="3" t="s">
        <v>25</v>
      </c>
    </row>
    <row r="1959" spans="1:19" x14ac:dyDescent="0.35">
      <c r="A1959" s="3">
        <v>2958</v>
      </c>
      <c r="B1959" s="3" t="s">
        <v>1090</v>
      </c>
      <c r="C1959" s="4">
        <v>45350</v>
      </c>
      <c r="D1959" s="3" t="s">
        <v>211</v>
      </c>
      <c r="E1959" s="4">
        <v>45399</v>
      </c>
      <c r="F1959" s="4">
        <v>45401</v>
      </c>
      <c r="G1959" s="3" t="s">
        <v>28</v>
      </c>
      <c r="H1959" s="3" t="s">
        <v>38</v>
      </c>
      <c r="I1959" s="3" t="s">
        <v>22</v>
      </c>
      <c r="J1959" s="3" t="s">
        <v>23</v>
      </c>
      <c r="K1959" s="3">
        <v>49</v>
      </c>
      <c r="L1959" s="3">
        <v>2</v>
      </c>
      <c r="M1959" s="3">
        <v>2921</v>
      </c>
      <c r="N1959" s="3">
        <v>5842</v>
      </c>
      <c r="O1959" s="3">
        <v>0</v>
      </c>
      <c r="P1959" s="3" t="s">
        <v>24</v>
      </c>
      <c r="Q1959" s="3">
        <v>1</v>
      </c>
      <c r="R1959" s="3" t="str">
        <f t="shared" si="30"/>
        <v>Cancelled</v>
      </c>
      <c r="S1959" s="3" t="s">
        <v>31</v>
      </c>
    </row>
    <row r="1960" spans="1:19" x14ac:dyDescent="0.35">
      <c r="A1960" s="3">
        <v>2959</v>
      </c>
      <c r="B1960" s="3" t="s">
        <v>370</v>
      </c>
      <c r="C1960" s="4">
        <v>45381</v>
      </c>
      <c r="D1960" s="3" t="s">
        <v>111</v>
      </c>
      <c r="E1960" s="4">
        <v>45404</v>
      </c>
      <c r="F1960" s="4">
        <v>45406</v>
      </c>
      <c r="G1960" s="3" t="s">
        <v>28</v>
      </c>
      <c r="H1960" s="3" t="s">
        <v>38</v>
      </c>
      <c r="I1960" s="3" t="s">
        <v>39</v>
      </c>
      <c r="J1960" s="3" t="s">
        <v>46</v>
      </c>
      <c r="K1960" s="3">
        <v>23</v>
      </c>
      <c r="L1960" s="3">
        <v>2</v>
      </c>
      <c r="M1960" s="3">
        <v>4273</v>
      </c>
      <c r="N1960" s="3">
        <v>8546</v>
      </c>
      <c r="O1960" s="3">
        <v>0</v>
      </c>
      <c r="P1960" s="3" t="s">
        <v>24</v>
      </c>
      <c r="Q1960" s="3">
        <v>1</v>
      </c>
      <c r="R1960" s="3" t="str">
        <f t="shared" si="30"/>
        <v>Cancelled</v>
      </c>
      <c r="S1960" s="3" t="s">
        <v>25</v>
      </c>
    </row>
    <row r="1961" spans="1:19" x14ac:dyDescent="0.35">
      <c r="A1961" s="3">
        <v>2960</v>
      </c>
      <c r="B1961" s="3" t="s">
        <v>994</v>
      </c>
      <c r="C1961" s="4">
        <v>45490</v>
      </c>
      <c r="D1961" s="3" t="s">
        <v>107</v>
      </c>
      <c r="E1961" s="4">
        <v>45515</v>
      </c>
      <c r="F1961" s="4">
        <v>45520</v>
      </c>
      <c r="G1961" s="3" t="s">
        <v>45</v>
      </c>
      <c r="H1961" s="3" t="s">
        <v>35</v>
      </c>
      <c r="I1961" s="3" t="s">
        <v>39</v>
      </c>
      <c r="J1961" s="3" t="s">
        <v>46</v>
      </c>
      <c r="K1961" s="3">
        <v>25</v>
      </c>
      <c r="L1961" s="3">
        <v>5</v>
      </c>
      <c r="M1961" s="3">
        <v>8964</v>
      </c>
      <c r="N1961" s="3">
        <v>44820</v>
      </c>
      <c r="O1961" s="3">
        <v>44820</v>
      </c>
      <c r="P1961" s="3" t="s">
        <v>51</v>
      </c>
      <c r="Q1961" s="3">
        <v>0</v>
      </c>
      <c r="R1961" s="3" t="str">
        <f t="shared" si="30"/>
        <v>Not Cancelled</v>
      </c>
      <c r="S1961" s="3" t="s">
        <v>31</v>
      </c>
    </row>
    <row r="1962" spans="1:19" x14ac:dyDescent="0.35">
      <c r="A1962" s="3">
        <v>2961</v>
      </c>
      <c r="B1962" s="3" t="s">
        <v>425</v>
      </c>
      <c r="C1962" s="4">
        <v>45653</v>
      </c>
      <c r="D1962" s="3" t="s">
        <v>128</v>
      </c>
      <c r="E1962" s="4">
        <v>45687</v>
      </c>
      <c r="F1962" s="4">
        <v>45689</v>
      </c>
      <c r="G1962" s="3" t="s">
        <v>28</v>
      </c>
      <c r="H1962" s="3" t="s">
        <v>60</v>
      </c>
      <c r="I1962" s="3" t="s">
        <v>22</v>
      </c>
      <c r="J1962" s="3" t="s">
        <v>46</v>
      </c>
      <c r="K1962" s="3">
        <v>34</v>
      </c>
      <c r="L1962" s="3">
        <v>2</v>
      </c>
      <c r="M1962" s="3">
        <v>6068</v>
      </c>
      <c r="N1962" s="3">
        <v>12136</v>
      </c>
      <c r="O1962" s="3">
        <v>0</v>
      </c>
      <c r="P1962" s="3" t="s">
        <v>24</v>
      </c>
      <c r="Q1962" s="3">
        <v>1</v>
      </c>
      <c r="R1962" s="3" t="str">
        <f t="shared" si="30"/>
        <v>Cancelled</v>
      </c>
      <c r="S1962" s="3" t="s">
        <v>25</v>
      </c>
    </row>
    <row r="1963" spans="1:19" x14ac:dyDescent="0.35">
      <c r="A1963" s="3">
        <v>2962</v>
      </c>
      <c r="B1963" s="3" t="s">
        <v>1161</v>
      </c>
      <c r="C1963" s="4">
        <v>45317</v>
      </c>
      <c r="D1963" s="3" t="s">
        <v>98</v>
      </c>
      <c r="E1963" s="4">
        <v>45343</v>
      </c>
      <c r="F1963" s="4">
        <v>45346</v>
      </c>
      <c r="G1963" s="3" t="s">
        <v>20</v>
      </c>
      <c r="H1963" s="3" t="s">
        <v>29</v>
      </c>
      <c r="I1963" s="3" t="s">
        <v>22</v>
      </c>
      <c r="J1963" s="3" t="s">
        <v>23</v>
      </c>
      <c r="K1963" s="3">
        <v>26</v>
      </c>
      <c r="L1963" s="3">
        <v>3</v>
      </c>
      <c r="M1963" s="3">
        <v>3446</v>
      </c>
      <c r="N1963" s="3">
        <v>10338</v>
      </c>
      <c r="O1963" s="3">
        <v>0</v>
      </c>
      <c r="P1963" s="3" t="s">
        <v>24</v>
      </c>
      <c r="Q1963" s="3">
        <v>1</v>
      </c>
      <c r="R1963" s="3" t="str">
        <f t="shared" si="30"/>
        <v>Cancelled</v>
      </c>
      <c r="S1963" s="3" t="s">
        <v>25</v>
      </c>
    </row>
    <row r="1964" spans="1:19" x14ac:dyDescent="0.35">
      <c r="A1964" s="3">
        <v>2963</v>
      </c>
      <c r="B1964" s="3" t="s">
        <v>1162</v>
      </c>
      <c r="C1964" s="4">
        <v>45316</v>
      </c>
      <c r="D1964" s="3" t="s">
        <v>148</v>
      </c>
      <c r="E1964" s="4">
        <v>45363</v>
      </c>
      <c r="F1964" s="4">
        <v>45365</v>
      </c>
      <c r="G1964" s="3" t="s">
        <v>28</v>
      </c>
      <c r="H1964" s="3" t="s">
        <v>35</v>
      </c>
      <c r="I1964" s="3" t="s">
        <v>22</v>
      </c>
      <c r="J1964" s="3" t="s">
        <v>46</v>
      </c>
      <c r="K1964" s="3">
        <v>47</v>
      </c>
      <c r="L1964" s="3">
        <v>2</v>
      </c>
      <c r="M1964" s="3">
        <v>3686</v>
      </c>
      <c r="N1964" s="3">
        <v>7372</v>
      </c>
      <c r="O1964" s="3">
        <v>0</v>
      </c>
      <c r="P1964" s="3" t="s">
        <v>51</v>
      </c>
      <c r="Q1964" s="3">
        <v>1</v>
      </c>
      <c r="R1964" s="3" t="str">
        <f t="shared" si="30"/>
        <v>Cancelled</v>
      </c>
      <c r="S1964" s="3" t="s">
        <v>25</v>
      </c>
    </row>
    <row r="1965" spans="1:19" x14ac:dyDescent="0.35">
      <c r="A1965" s="3">
        <v>2964</v>
      </c>
      <c r="B1965" s="3" t="s">
        <v>1163</v>
      </c>
      <c r="C1965" s="4">
        <v>45592</v>
      </c>
      <c r="D1965" s="3" t="s">
        <v>45</v>
      </c>
      <c r="E1965" s="4">
        <v>45597</v>
      </c>
      <c r="F1965" s="4">
        <v>45601</v>
      </c>
      <c r="G1965" s="3" t="s">
        <v>42</v>
      </c>
      <c r="H1965" s="3" t="s">
        <v>60</v>
      </c>
      <c r="I1965" s="3" t="s">
        <v>39</v>
      </c>
      <c r="J1965" s="3" t="s">
        <v>30</v>
      </c>
      <c r="K1965" s="3">
        <v>5</v>
      </c>
      <c r="L1965" s="3">
        <v>4</v>
      </c>
      <c r="M1965" s="3">
        <v>4334</v>
      </c>
      <c r="N1965" s="3">
        <v>17336</v>
      </c>
      <c r="O1965" s="3">
        <v>17336</v>
      </c>
      <c r="P1965" s="3" t="s">
        <v>51</v>
      </c>
      <c r="Q1965" s="3">
        <v>0</v>
      </c>
      <c r="R1965" s="3" t="str">
        <f t="shared" si="30"/>
        <v>Not Cancelled</v>
      </c>
      <c r="S1965" s="3" t="s">
        <v>31</v>
      </c>
    </row>
    <row r="1966" spans="1:19" x14ac:dyDescent="0.35">
      <c r="A1966" s="3">
        <v>2965</v>
      </c>
      <c r="B1966" s="3" t="s">
        <v>1164</v>
      </c>
      <c r="C1966" s="4">
        <v>45630</v>
      </c>
      <c r="D1966" s="3" t="s">
        <v>98</v>
      </c>
      <c r="E1966" s="4">
        <v>45656</v>
      </c>
      <c r="F1966" s="4">
        <v>45658</v>
      </c>
      <c r="G1966" s="3" t="s">
        <v>28</v>
      </c>
      <c r="H1966" s="3" t="s">
        <v>29</v>
      </c>
      <c r="I1966" s="3" t="s">
        <v>22</v>
      </c>
      <c r="J1966" s="3" t="s">
        <v>46</v>
      </c>
      <c r="K1966" s="3">
        <v>26</v>
      </c>
      <c r="L1966" s="3">
        <v>2</v>
      </c>
      <c r="M1966" s="3">
        <v>4064</v>
      </c>
      <c r="N1966" s="3">
        <v>8128</v>
      </c>
      <c r="O1966" s="3">
        <v>0</v>
      </c>
      <c r="P1966" s="3" t="s">
        <v>24</v>
      </c>
      <c r="Q1966" s="3">
        <v>1</v>
      </c>
      <c r="R1966" s="3" t="str">
        <f t="shared" si="30"/>
        <v>Cancelled</v>
      </c>
      <c r="S1966" s="3" t="s">
        <v>31</v>
      </c>
    </row>
    <row r="1967" spans="1:19" x14ac:dyDescent="0.35">
      <c r="A1967" s="3">
        <v>2966</v>
      </c>
      <c r="B1967" s="3" t="s">
        <v>354</v>
      </c>
      <c r="C1967" s="4">
        <v>45558</v>
      </c>
      <c r="D1967" s="3" t="s">
        <v>157</v>
      </c>
      <c r="E1967" s="4">
        <v>45578</v>
      </c>
      <c r="F1967" s="4">
        <v>45583</v>
      </c>
      <c r="G1967" s="3" t="s">
        <v>45</v>
      </c>
      <c r="H1967" s="3" t="s">
        <v>21</v>
      </c>
      <c r="I1967" s="3" t="s">
        <v>22</v>
      </c>
      <c r="J1967" s="3" t="s">
        <v>30</v>
      </c>
      <c r="K1967" s="3">
        <v>20</v>
      </c>
      <c r="L1967" s="3">
        <v>5</v>
      </c>
      <c r="M1967" s="3">
        <v>7444</v>
      </c>
      <c r="N1967" s="3">
        <v>37220</v>
      </c>
      <c r="O1967" s="3">
        <v>37220</v>
      </c>
      <c r="P1967" s="3" t="s">
        <v>24</v>
      </c>
      <c r="Q1967" s="3">
        <v>0</v>
      </c>
      <c r="R1967" s="3" t="str">
        <f t="shared" si="30"/>
        <v>Not Cancelled</v>
      </c>
      <c r="S1967" s="3" t="s">
        <v>31</v>
      </c>
    </row>
    <row r="1968" spans="1:19" x14ac:dyDescent="0.35">
      <c r="A1968" s="3">
        <v>2967</v>
      </c>
      <c r="B1968" s="3" t="s">
        <v>809</v>
      </c>
      <c r="C1968" s="4">
        <v>45472</v>
      </c>
      <c r="D1968" s="3" t="s">
        <v>55</v>
      </c>
      <c r="E1968" s="4">
        <v>45478</v>
      </c>
      <c r="F1968" s="4">
        <v>45480</v>
      </c>
      <c r="G1968" s="3" t="s">
        <v>28</v>
      </c>
      <c r="H1968" s="3" t="s">
        <v>38</v>
      </c>
      <c r="I1968" s="3" t="s">
        <v>22</v>
      </c>
      <c r="J1968" s="3" t="s">
        <v>46</v>
      </c>
      <c r="K1968" s="3">
        <v>6</v>
      </c>
      <c r="L1968" s="3">
        <v>2</v>
      </c>
      <c r="M1968" s="3">
        <v>8185</v>
      </c>
      <c r="N1968" s="3">
        <v>16370</v>
      </c>
      <c r="O1968" s="3">
        <v>16370</v>
      </c>
      <c r="P1968" s="3" t="s">
        <v>51</v>
      </c>
      <c r="Q1968" s="3">
        <v>0</v>
      </c>
      <c r="R1968" s="3" t="str">
        <f t="shared" si="30"/>
        <v>Not Cancelled</v>
      </c>
      <c r="S1968" s="3" t="s">
        <v>25</v>
      </c>
    </row>
    <row r="1969" spans="1:19" x14ac:dyDescent="0.35">
      <c r="A1969" s="3">
        <v>2968</v>
      </c>
      <c r="B1969" s="3" t="s">
        <v>1165</v>
      </c>
      <c r="C1969" s="4">
        <v>45651</v>
      </c>
      <c r="D1969" s="3" t="s">
        <v>55</v>
      </c>
      <c r="E1969" s="4">
        <v>45657</v>
      </c>
      <c r="F1969" s="4">
        <v>45660</v>
      </c>
      <c r="G1969" s="3" t="s">
        <v>20</v>
      </c>
      <c r="H1969" s="3" t="s">
        <v>60</v>
      </c>
      <c r="I1969" s="3" t="s">
        <v>22</v>
      </c>
      <c r="J1969" s="3" t="s">
        <v>30</v>
      </c>
      <c r="K1969" s="3">
        <v>6</v>
      </c>
      <c r="L1969" s="3">
        <v>3</v>
      </c>
      <c r="M1969" s="3">
        <v>7914</v>
      </c>
      <c r="N1969" s="3">
        <v>23742</v>
      </c>
      <c r="O1969" s="3">
        <v>0</v>
      </c>
      <c r="P1969" s="3" t="s">
        <v>24</v>
      </c>
      <c r="Q1969" s="3">
        <v>1</v>
      </c>
      <c r="R1969" s="3" t="str">
        <f t="shared" si="30"/>
        <v>Cancelled</v>
      </c>
      <c r="S1969" s="3" t="s">
        <v>25</v>
      </c>
    </row>
    <row r="1970" spans="1:19" x14ac:dyDescent="0.35">
      <c r="A1970" s="3">
        <v>2969</v>
      </c>
      <c r="B1970" s="3" t="s">
        <v>1166</v>
      </c>
      <c r="C1970" s="4">
        <v>45359</v>
      </c>
      <c r="D1970" s="3" t="s">
        <v>96</v>
      </c>
      <c r="E1970" s="4">
        <v>45418</v>
      </c>
      <c r="F1970" s="4">
        <v>45421</v>
      </c>
      <c r="G1970" s="3" t="s">
        <v>20</v>
      </c>
      <c r="H1970" s="3" t="s">
        <v>29</v>
      </c>
      <c r="I1970" s="3" t="s">
        <v>22</v>
      </c>
      <c r="J1970" s="3" t="s">
        <v>30</v>
      </c>
      <c r="K1970" s="3">
        <v>59</v>
      </c>
      <c r="L1970" s="3">
        <v>3</v>
      </c>
      <c r="M1970" s="3">
        <v>8685</v>
      </c>
      <c r="N1970" s="3">
        <v>26055</v>
      </c>
      <c r="O1970" s="3">
        <v>0</v>
      </c>
      <c r="P1970" s="3" t="s">
        <v>51</v>
      </c>
      <c r="Q1970" s="3">
        <v>1</v>
      </c>
      <c r="R1970" s="3" t="str">
        <f t="shared" si="30"/>
        <v>Cancelled</v>
      </c>
      <c r="S1970" s="3" t="s">
        <v>31</v>
      </c>
    </row>
    <row r="1971" spans="1:19" x14ac:dyDescent="0.35">
      <c r="A1971" s="3">
        <v>2970</v>
      </c>
      <c r="B1971" s="3" t="s">
        <v>1167</v>
      </c>
      <c r="C1971" s="4">
        <v>45642</v>
      </c>
      <c r="D1971" s="3" t="s">
        <v>78</v>
      </c>
      <c r="E1971" s="4">
        <v>45692</v>
      </c>
      <c r="F1971" s="4">
        <v>45694</v>
      </c>
      <c r="G1971" s="3" t="s">
        <v>28</v>
      </c>
      <c r="H1971" s="3" t="s">
        <v>35</v>
      </c>
      <c r="I1971" s="3" t="s">
        <v>39</v>
      </c>
      <c r="J1971" s="3" t="s">
        <v>30</v>
      </c>
      <c r="K1971" s="3">
        <v>50</v>
      </c>
      <c r="L1971" s="3">
        <v>2</v>
      </c>
      <c r="M1971" s="3">
        <v>4447</v>
      </c>
      <c r="N1971" s="3">
        <v>8894</v>
      </c>
      <c r="O1971" s="3">
        <v>0</v>
      </c>
      <c r="P1971" s="3" t="s">
        <v>24</v>
      </c>
      <c r="Q1971" s="3">
        <v>1</v>
      </c>
      <c r="R1971" s="3" t="str">
        <f t="shared" si="30"/>
        <v>Cancelled</v>
      </c>
      <c r="S1971" s="3" t="s">
        <v>31</v>
      </c>
    </row>
    <row r="1972" spans="1:19" x14ac:dyDescent="0.35">
      <c r="A1972" s="3">
        <v>2971</v>
      </c>
      <c r="B1972" s="3" t="s">
        <v>562</v>
      </c>
      <c r="C1972" s="4">
        <v>45612</v>
      </c>
      <c r="D1972" s="3" t="s">
        <v>27</v>
      </c>
      <c r="E1972" s="4">
        <v>45630</v>
      </c>
      <c r="F1972" s="4">
        <v>45633</v>
      </c>
      <c r="G1972" s="3" t="s">
        <v>20</v>
      </c>
      <c r="H1972" s="3" t="s">
        <v>29</v>
      </c>
      <c r="I1972" s="3" t="s">
        <v>22</v>
      </c>
      <c r="J1972" s="3" t="s">
        <v>30</v>
      </c>
      <c r="K1972" s="3">
        <v>18</v>
      </c>
      <c r="L1972" s="3">
        <v>3</v>
      </c>
      <c r="M1972" s="3">
        <v>3808</v>
      </c>
      <c r="N1972" s="3">
        <v>11424</v>
      </c>
      <c r="O1972" s="3">
        <v>11424</v>
      </c>
      <c r="P1972" s="3" t="s">
        <v>51</v>
      </c>
      <c r="Q1972" s="3">
        <v>0</v>
      </c>
      <c r="R1972" s="3" t="str">
        <f t="shared" si="30"/>
        <v>Not Cancelled</v>
      </c>
      <c r="S1972" s="3" t="s">
        <v>25</v>
      </c>
    </row>
    <row r="1973" spans="1:19" x14ac:dyDescent="0.35">
      <c r="A1973" s="3">
        <v>2972</v>
      </c>
      <c r="B1973" s="3" t="s">
        <v>95</v>
      </c>
      <c r="C1973" s="4">
        <v>45340</v>
      </c>
      <c r="D1973" s="3" t="s">
        <v>42</v>
      </c>
      <c r="E1973" s="4">
        <v>45344</v>
      </c>
      <c r="F1973" s="4">
        <v>45347</v>
      </c>
      <c r="G1973" s="3" t="s">
        <v>20</v>
      </c>
      <c r="H1973" s="3" t="s">
        <v>35</v>
      </c>
      <c r="I1973" s="3" t="s">
        <v>39</v>
      </c>
      <c r="J1973" s="3" t="s">
        <v>30</v>
      </c>
      <c r="K1973" s="3">
        <v>4</v>
      </c>
      <c r="L1973" s="3">
        <v>3</v>
      </c>
      <c r="M1973" s="3">
        <v>5486</v>
      </c>
      <c r="N1973" s="3">
        <v>16458</v>
      </c>
      <c r="O1973" s="3">
        <v>0</v>
      </c>
      <c r="P1973" s="3" t="s">
        <v>24</v>
      </c>
      <c r="Q1973" s="3">
        <v>1</v>
      </c>
      <c r="R1973" s="3" t="str">
        <f t="shared" si="30"/>
        <v>Cancelled</v>
      </c>
      <c r="S1973" s="3" t="s">
        <v>25</v>
      </c>
    </row>
    <row r="1974" spans="1:19" x14ac:dyDescent="0.35">
      <c r="A1974" s="3">
        <v>2973</v>
      </c>
      <c r="B1974" s="3" t="s">
        <v>1168</v>
      </c>
      <c r="C1974" s="4">
        <v>45466</v>
      </c>
      <c r="D1974" s="3" t="s">
        <v>71</v>
      </c>
      <c r="E1974" s="4">
        <v>45483</v>
      </c>
      <c r="F1974" s="4">
        <v>45488</v>
      </c>
      <c r="G1974" s="3" t="s">
        <v>45</v>
      </c>
      <c r="H1974" s="3" t="s">
        <v>38</v>
      </c>
      <c r="I1974" s="3" t="s">
        <v>22</v>
      </c>
      <c r="J1974" s="3" t="s">
        <v>46</v>
      </c>
      <c r="K1974" s="3">
        <v>17</v>
      </c>
      <c r="L1974" s="3">
        <v>5</v>
      </c>
      <c r="M1974" s="3">
        <v>2886</v>
      </c>
      <c r="N1974" s="3">
        <v>14430</v>
      </c>
      <c r="O1974" s="3">
        <v>14430</v>
      </c>
      <c r="P1974" s="3" t="s">
        <v>24</v>
      </c>
      <c r="Q1974" s="3">
        <v>0</v>
      </c>
      <c r="R1974" s="3" t="str">
        <f t="shared" si="30"/>
        <v>Not Cancelled</v>
      </c>
      <c r="S1974" s="3" t="s">
        <v>25</v>
      </c>
    </row>
    <row r="1975" spans="1:19" x14ac:dyDescent="0.35">
      <c r="A1975" s="3">
        <v>2974</v>
      </c>
      <c r="B1975" s="3" t="s">
        <v>889</v>
      </c>
      <c r="C1975" s="4">
        <v>45343</v>
      </c>
      <c r="D1975" s="3" t="s">
        <v>100</v>
      </c>
      <c r="E1975" s="4">
        <v>45400</v>
      </c>
      <c r="F1975" s="4">
        <v>45404</v>
      </c>
      <c r="G1975" s="3" t="s">
        <v>42</v>
      </c>
      <c r="H1975" s="3" t="s">
        <v>38</v>
      </c>
      <c r="I1975" s="3" t="s">
        <v>22</v>
      </c>
      <c r="J1975" s="3" t="s">
        <v>23</v>
      </c>
      <c r="K1975" s="3">
        <v>57</v>
      </c>
      <c r="L1975" s="3">
        <v>4</v>
      </c>
      <c r="M1975" s="3">
        <v>8631</v>
      </c>
      <c r="N1975" s="3">
        <v>34524</v>
      </c>
      <c r="O1975" s="3">
        <v>0</v>
      </c>
      <c r="P1975" s="3" t="s">
        <v>24</v>
      </c>
      <c r="Q1975" s="3">
        <v>1</v>
      </c>
      <c r="R1975" s="3" t="str">
        <f t="shared" si="30"/>
        <v>Cancelled</v>
      </c>
      <c r="S1975" s="3" t="s">
        <v>25</v>
      </c>
    </row>
    <row r="1976" spans="1:19" x14ac:dyDescent="0.35">
      <c r="A1976" s="3">
        <v>2975</v>
      </c>
      <c r="B1976" s="3" t="s">
        <v>142</v>
      </c>
      <c r="C1976" s="4">
        <v>45393</v>
      </c>
      <c r="D1976" s="3" t="s">
        <v>33</v>
      </c>
      <c r="E1976" s="4">
        <v>45407</v>
      </c>
      <c r="F1976" s="4">
        <v>45412</v>
      </c>
      <c r="G1976" s="3" t="s">
        <v>45</v>
      </c>
      <c r="H1976" s="3" t="s">
        <v>29</v>
      </c>
      <c r="I1976" s="3" t="s">
        <v>39</v>
      </c>
      <c r="J1976" s="3" t="s">
        <v>23</v>
      </c>
      <c r="K1976" s="3">
        <v>14</v>
      </c>
      <c r="L1976" s="3">
        <v>5</v>
      </c>
      <c r="M1976" s="3">
        <v>3661</v>
      </c>
      <c r="N1976" s="3">
        <v>18305</v>
      </c>
      <c r="O1976" s="3">
        <v>18305</v>
      </c>
      <c r="P1976" s="3" t="s">
        <v>51</v>
      </c>
      <c r="Q1976" s="3">
        <v>0</v>
      </c>
      <c r="R1976" s="3" t="str">
        <f t="shared" si="30"/>
        <v>Not Cancelled</v>
      </c>
      <c r="S1976" s="3" t="s">
        <v>31</v>
      </c>
    </row>
    <row r="1977" spans="1:19" x14ac:dyDescent="0.35">
      <c r="A1977" s="3">
        <v>2976</v>
      </c>
      <c r="B1977" s="3" t="s">
        <v>569</v>
      </c>
      <c r="C1977" s="4">
        <v>45507</v>
      </c>
      <c r="D1977" s="3" t="s">
        <v>33</v>
      </c>
      <c r="E1977" s="4">
        <v>45521</v>
      </c>
      <c r="F1977" s="4">
        <v>45522</v>
      </c>
      <c r="G1977" s="3" t="s">
        <v>34</v>
      </c>
      <c r="H1977" s="3" t="s">
        <v>29</v>
      </c>
      <c r="I1977" s="3" t="s">
        <v>39</v>
      </c>
      <c r="J1977" s="3" t="s">
        <v>23</v>
      </c>
      <c r="K1977" s="3">
        <v>14</v>
      </c>
      <c r="L1977" s="3">
        <v>1</v>
      </c>
      <c r="M1977" s="3">
        <v>5758</v>
      </c>
      <c r="N1977" s="3">
        <v>5758</v>
      </c>
      <c r="O1977" s="3">
        <v>0</v>
      </c>
      <c r="P1977" s="3" t="s">
        <v>51</v>
      </c>
      <c r="Q1977" s="3">
        <v>1</v>
      </c>
      <c r="R1977" s="3" t="str">
        <f t="shared" si="30"/>
        <v>Cancelled</v>
      </c>
      <c r="S1977" s="3" t="s">
        <v>25</v>
      </c>
    </row>
    <row r="1978" spans="1:19" x14ac:dyDescent="0.35">
      <c r="A1978" s="3">
        <v>2977</v>
      </c>
      <c r="B1978" s="3" t="s">
        <v>753</v>
      </c>
      <c r="C1978" s="4">
        <v>45479</v>
      </c>
      <c r="D1978" s="3" t="s">
        <v>44</v>
      </c>
      <c r="E1978" s="4">
        <v>45492</v>
      </c>
      <c r="F1978" s="4">
        <v>45497</v>
      </c>
      <c r="G1978" s="3" t="s">
        <v>45</v>
      </c>
      <c r="H1978" s="3" t="s">
        <v>35</v>
      </c>
      <c r="I1978" s="3" t="s">
        <v>39</v>
      </c>
      <c r="J1978" s="3" t="s">
        <v>23</v>
      </c>
      <c r="K1978" s="3">
        <v>13</v>
      </c>
      <c r="L1978" s="3">
        <v>5</v>
      </c>
      <c r="M1978" s="3">
        <v>8621</v>
      </c>
      <c r="N1978" s="3">
        <v>43105</v>
      </c>
      <c r="O1978" s="3">
        <v>0</v>
      </c>
      <c r="P1978" s="3" t="s">
        <v>51</v>
      </c>
      <c r="Q1978" s="3">
        <v>1</v>
      </c>
      <c r="R1978" s="3" t="str">
        <f t="shared" si="30"/>
        <v>Cancelled</v>
      </c>
      <c r="S1978" s="3" t="s">
        <v>25</v>
      </c>
    </row>
    <row r="1979" spans="1:19" x14ac:dyDescent="0.35">
      <c r="A1979" s="3">
        <v>2978</v>
      </c>
      <c r="B1979" s="3" t="s">
        <v>719</v>
      </c>
      <c r="C1979" s="4">
        <v>45348</v>
      </c>
      <c r="D1979" s="3" t="s">
        <v>209</v>
      </c>
      <c r="E1979" s="4">
        <v>45355</v>
      </c>
      <c r="F1979" s="4">
        <v>45357</v>
      </c>
      <c r="G1979" s="3" t="s">
        <v>28</v>
      </c>
      <c r="H1979" s="3" t="s">
        <v>35</v>
      </c>
      <c r="I1979" s="3" t="s">
        <v>39</v>
      </c>
      <c r="J1979" s="3" t="s">
        <v>23</v>
      </c>
      <c r="K1979" s="3">
        <v>7</v>
      </c>
      <c r="L1979" s="3">
        <v>2</v>
      </c>
      <c r="M1979" s="3">
        <v>7311</v>
      </c>
      <c r="N1979" s="3">
        <v>14622</v>
      </c>
      <c r="O1979" s="3">
        <v>14622</v>
      </c>
      <c r="P1979" s="3" t="s">
        <v>24</v>
      </c>
      <c r="Q1979" s="3">
        <v>0</v>
      </c>
      <c r="R1979" s="3" t="str">
        <f t="shared" si="30"/>
        <v>Not Cancelled</v>
      </c>
      <c r="S1979" s="3" t="s">
        <v>25</v>
      </c>
    </row>
    <row r="1980" spans="1:19" x14ac:dyDescent="0.35">
      <c r="A1980" s="3">
        <v>2979</v>
      </c>
      <c r="B1980" s="3" t="s">
        <v>1091</v>
      </c>
      <c r="C1980" s="4">
        <v>45338</v>
      </c>
      <c r="D1980" s="3" t="s">
        <v>62</v>
      </c>
      <c r="E1980" s="4">
        <v>45382</v>
      </c>
      <c r="F1980" s="4">
        <v>45386</v>
      </c>
      <c r="G1980" s="3" t="s">
        <v>42</v>
      </c>
      <c r="H1980" s="3" t="s">
        <v>60</v>
      </c>
      <c r="I1980" s="3" t="s">
        <v>22</v>
      </c>
      <c r="J1980" s="3" t="s">
        <v>30</v>
      </c>
      <c r="K1980" s="3">
        <v>44</v>
      </c>
      <c r="L1980" s="3">
        <v>4</v>
      </c>
      <c r="M1980" s="3">
        <v>6433</v>
      </c>
      <c r="N1980" s="3">
        <v>25732</v>
      </c>
      <c r="O1980" s="3">
        <v>0</v>
      </c>
      <c r="P1980" s="3" t="s">
        <v>24</v>
      </c>
      <c r="Q1980" s="3">
        <v>1</v>
      </c>
      <c r="R1980" s="3" t="str">
        <f t="shared" si="30"/>
        <v>Cancelled</v>
      </c>
      <c r="S1980" s="3" t="s">
        <v>25</v>
      </c>
    </row>
    <row r="1981" spans="1:19" x14ac:dyDescent="0.35">
      <c r="A1981" s="3">
        <v>2980</v>
      </c>
      <c r="B1981" s="3" t="s">
        <v>423</v>
      </c>
      <c r="C1981" s="4">
        <v>45450</v>
      </c>
      <c r="D1981" s="3" t="s">
        <v>113</v>
      </c>
      <c r="E1981" s="4">
        <v>45505</v>
      </c>
      <c r="F1981" s="4">
        <v>45507</v>
      </c>
      <c r="G1981" s="3" t="s">
        <v>28</v>
      </c>
      <c r="H1981" s="3" t="s">
        <v>60</v>
      </c>
      <c r="I1981" s="3" t="s">
        <v>39</v>
      </c>
      <c r="J1981" s="3" t="s">
        <v>46</v>
      </c>
      <c r="K1981" s="3">
        <v>55</v>
      </c>
      <c r="L1981" s="3">
        <v>2</v>
      </c>
      <c r="M1981" s="3">
        <v>5347</v>
      </c>
      <c r="N1981" s="3">
        <v>10694</v>
      </c>
      <c r="O1981" s="3">
        <v>0</v>
      </c>
      <c r="P1981" s="3" t="s">
        <v>51</v>
      </c>
      <c r="Q1981" s="3">
        <v>1</v>
      </c>
      <c r="R1981" s="3" t="str">
        <f t="shared" si="30"/>
        <v>Cancelled</v>
      </c>
      <c r="S1981" s="3" t="s">
        <v>25</v>
      </c>
    </row>
    <row r="1982" spans="1:19" x14ac:dyDescent="0.35">
      <c r="A1982" s="3">
        <v>2981</v>
      </c>
      <c r="B1982" s="3" t="s">
        <v>1081</v>
      </c>
      <c r="C1982" s="4">
        <v>45465</v>
      </c>
      <c r="D1982" s="3" t="s">
        <v>277</v>
      </c>
      <c r="E1982" s="4">
        <v>45480</v>
      </c>
      <c r="F1982" s="4">
        <v>45481</v>
      </c>
      <c r="G1982" s="3" t="s">
        <v>34</v>
      </c>
      <c r="H1982" s="3" t="s">
        <v>60</v>
      </c>
      <c r="I1982" s="3" t="s">
        <v>22</v>
      </c>
      <c r="J1982" s="3" t="s">
        <v>30</v>
      </c>
      <c r="K1982" s="3">
        <v>15</v>
      </c>
      <c r="L1982" s="3">
        <v>1</v>
      </c>
      <c r="M1982" s="3">
        <v>7021</v>
      </c>
      <c r="N1982" s="3">
        <v>7021</v>
      </c>
      <c r="O1982" s="3">
        <v>0</v>
      </c>
      <c r="P1982" s="3" t="s">
        <v>51</v>
      </c>
      <c r="Q1982" s="3">
        <v>1</v>
      </c>
      <c r="R1982" s="3" t="str">
        <f t="shared" si="30"/>
        <v>Cancelled</v>
      </c>
      <c r="S1982" s="3" t="s">
        <v>25</v>
      </c>
    </row>
    <row r="1983" spans="1:19" x14ac:dyDescent="0.35">
      <c r="A1983" s="3">
        <v>2982</v>
      </c>
      <c r="B1983" s="3" t="s">
        <v>1169</v>
      </c>
      <c r="C1983" s="4">
        <v>45533</v>
      </c>
      <c r="D1983" s="3" t="s">
        <v>109</v>
      </c>
      <c r="E1983" s="4">
        <v>45552</v>
      </c>
      <c r="F1983" s="4">
        <v>45556</v>
      </c>
      <c r="G1983" s="3" t="s">
        <v>42</v>
      </c>
      <c r="H1983" s="3" t="s">
        <v>29</v>
      </c>
      <c r="I1983" s="3" t="s">
        <v>22</v>
      </c>
      <c r="J1983" s="3" t="s">
        <v>46</v>
      </c>
      <c r="K1983" s="3">
        <v>19</v>
      </c>
      <c r="L1983" s="3">
        <v>4</v>
      </c>
      <c r="M1983" s="3">
        <v>3939</v>
      </c>
      <c r="N1983" s="3">
        <v>15756</v>
      </c>
      <c r="O1983" s="3">
        <v>0</v>
      </c>
      <c r="P1983" s="3" t="s">
        <v>24</v>
      </c>
      <c r="Q1983" s="3">
        <v>1</v>
      </c>
      <c r="R1983" s="3" t="str">
        <f t="shared" si="30"/>
        <v>Cancelled</v>
      </c>
      <c r="S1983" s="3" t="s">
        <v>25</v>
      </c>
    </row>
    <row r="1984" spans="1:19" x14ac:dyDescent="0.35">
      <c r="A1984" s="3">
        <v>2983</v>
      </c>
      <c r="B1984" s="3" t="s">
        <v>1170</v>
      </c>
      <c r="C1984" s="4">
        <v>45573</v>
      </c>
      <c r="D1984" s="3" t="s">
        <v>66</v>
      </c>
      <c r="E1984" s="4">
        <v>45616</v>
      </c>
      <c r="F1984" s="4">
        <v>45619</v>
      </c>
      <c r="G1984" s="3" t="s">
        <v>20</v>
      </c>
      <c r="H1984" s="3" t="s">
        <v>60</v>
      </c>
      <c r="I1984" s="3" t="s">
        <v>22</v>
      </c>
      <c r="J1984" s="3" t="s">
        <v>46</v>
      </c>
      <c r="K1984" s="3">
        <v>43</v>
      </c>
      <c r="L1984" s="3">
        <v>3</v>
      </c>
      <c r="M1984" s="3">
        <v>8669</v>
      </c>
      <c r="N1984" s="3">
        <v>26007</v>
      </c>
      <c r="O1984" s="3">
        <v>0</v>
      </c>
      <c r="P1984" s="3" t="s">
        <v>24</v>
      </c>
      <c r="Q1984" s="3">
        <v>1</v>
      </c>
      <c r="R1984" s="3" t="str">
        <f t="shared" si="30"/>
        <v>Cancelled</v>
      </c>
      <c r="S1984" s="3" t="s">
        <v>31</v>
      </c>
    </row>
    <row r="1985" spans="1:19" x14ac:dyDescent="0.35">
      <c r="A1985" s="3">
        <v>2984</v>
      </c>
      <c r="B1985" s="3" t="s">
        <v>358</v>
      </c>
      <c r="C1985" s="4">
        <v>45532</v>
      </c>
      <c r="D1985" s="3" t="s">
        <v>148</v>
      </c>
      <c r="E1985" s="4">
        <v>45579</v>
      </c>
      <c r="F1985" s="4">
        <v>45584</v>
      </c>
      <c r="G1985" s="3" t="s">
        <v>45</v>
      </c>
      <c r="H1985" s="3" t="s">
        <v>29</v>
      </c>
      <c r="I1985" s="3" t="s">
        <v>39</v>
      </c>
      <c r="J1985" s="3" t="s">
        <v>46</v>
      </c>
      <c r="K1985" s="3">
        <v>47</v>
      </c>
      <c r="L1985" s="3">
        <v>5</v>
      </c>
      <c r="M1985" s="3">
        <v>5942</v>
      </c>
      <c r="N1985" s="3">
        <v>29710</v>
      </c>
      <c r="O1985" s="3">
        <v>29710</v>
      </c>
      <c r="P1985" s="3" t="s">
        <v>24</v>
      </c>
      <c r="Q1985" s="3">
        <v>0</v>
      </c>
      <c r="R1985" s="3" t="str">
        <f t="shared" si="30"/>
        <v>Not Cancelled</v>
      </c>
      <c r="S1985" s="3" t="s">
        <v>31</v>
      </c>
    </row>
    <row r="1986" spans="1:19" x14ac:dyDescent="0.35">
      <c r="A1986" s="3">
        <v>2985</v>
      </c>
      <c r="B1986" s="3" t="s">
        <v>1171</v>
      </c>
      <c r="C1986" s="4">
        <v>45296</v>
      </c>
      <c r="D1986" s="3" t="s">
        <v>62</v>
      </c>
      <c r="E1986" s="4">
        <v>45340</v>
      </c>
      <c r="F1986" s="4">
        <v>45342</v>
      </c>
      <c r="G1986" s="3" t="s">
        <v>28</v>
      </c>
      <c r="H1986" s="3" t="s">
        <v>38</v>
      </c>
      <c r="I1986" s="3" t="s">
        <v>39</v>
      </c>
      <c r="J1986" s="3" t="s">
        <v>46</v>
      </c>
      <c r="K1986" s="3">
        <v>44</v>
      </c>
      <c r="L1986" s="3">
        <v>2</v>
      </c>
      <c r="M1986" s="3">
        <v>6980</v>
      </c>
      <c r="N1986" s="3">
        <v>13960</v>
      </c>
      <c r="O1986" s="3">
        <v>13960</v>
      </c>
      <c r="P1986" s="3" t="s">
        <v>24</v>
      </c>
      <c r="Q1986" s="3">
        <v>0</v>
      </c>
      <c r="R1986" s="3" t="str">
        <f t="shared" si="30"/>
        <v>Not Cancelled</v>
      </c>
      <c r="S1986" s="3" t="s">
        <v>31</v>
      </c>
    </row>
    <row r="1987" spans="1:19" x14ac:dyDescent="0.35">
      <c r="A1987" s="3">
        <v>2986</v>
      </c>
      <c r="B1987" s="3" t="s">
        <v>342</v>
      </c>
      <c r="C1987" s="4">
        <v>45375</v>
      </c>
      <c r="D1987" s="3" t="s">
        <v>91</v>
      </c>
      <c r="E1987" s="4">
        <v>45410</v>
      </c>
      <c r="F1987" s="4">
        <v>45411</v>
      </c>
      <c r="G1987" s="3" t="s">
        <v>34</v>
      </c>
      <c r="H1987" s="3" t="s">
        <v>21</v>
      </c>
      <c r="I1987" s="3" t="s">
        <v>39</v>
      </c>
      <c r="J1987" s="3" t="s">
        <v>23</v>
      </c>
      <c r="K1987" s="3">
        <v>35</v>
      </c>
      <c r="L1987" s="3">
        <v>1</v>
      </c>
      <c r="M1987" s="3">
        <v>2555</v>
      </c>
      <c r="N1987" s="3">
        <v>2555</v>
      </c>
      <c r="O1987" s="3">
        <v>0</v>
      </c>
      <c r="P1987" s="3" t="s">
        <v>51</v>
      </c>
      <c r="Q1987" s="3">
        <v>1</v>
      </c>
      <c r="R1987" s="3" t="str">
        <f t="shared" ref="R1987:R2001" si="31">IF(Q1987=0,"Not Cancelled","Cancelled")</f>
        <v>Cancelled</v>
      </c>
      <c r="S1987" s="3" t="s">
        <v>25</v>
      </c>
    </row>
    <row r="1988" spans="1:19" x14ac:dyDescent="0.35">
      <c r="A1988" s="3">
        <v>2987</v>
      </c>
      <c r="B1988" s="3" t="s">
        <v>214</v>
      </c>
      <c r="C1988" s="4">
        <v>45599</v>
      </c>
      <c r="D1988" s="3" t="s">
        <v>71</v>
      </c>
      <c r="E1988" s="4">
        <v>45616</v>
      </c>
      <c r="F1988" s="4">
        <v>45619</v>
      </c>
      <c r="G1988" s="3" t="s">
        <v>20</v>
      </c>
      <c r="H1988" s="3" t="s">
        <v>38</v>
      </c>
      <c r="I1988" s="3" t="s">
        <v>22</v>
      </c>
      <c r="J1988" s="3" t="s">
        <v>46</v>
      </c>
      <c r="K1988" s="3">
        <v>17</v>
      </c>
      <c r="L1988" s="3">
        <v>3</v>
      </c>
      <c r="M1988" s="3">
        <v>5824</v>
      </c>
      <c r="N1988" s="3">
        <v>17472</v>
      </c>
      <c r="O1988" s="3">
        <v>17472</v>
      </c>
      <c r="P1988" s="3" t="s">
        <v>51</v>
      </c>
      <c r="Q1988" s="3">
        <v>0</v>
      </c>
      <c r="R1988" s="3" t="str">
        <f t="shared" si="31"/>
        <v>Not Cancelled</v>
      </c>
      <c r="S1988" s="3" t="s">
        <v>31</v>
      </c>
    </row>
    <row r="1989" spans="1:19" x14ac:dyDescent="0.35">
      <c r="A1989" s="3">
        <v>2988</v>
      </c>
      <c r="B1989" s="3" t="s">
        <v>517</v>
      </c>
      <c r="C1989" s="4">
        <v>45652</v>
      </c>
      <c r="D1989" s="3" t="s">
        <v>91</v>
      </c>
      <c r="E1989" s="4">
        <v>45687</v>
      </c>
      <c r="F1989" s="4">
        <v>45692</v>
      </c>
      <c r="G1989" s="3" t="s">
        <v>45</v>
      </c>
      <c r="H1989" s="3" t="s">
        <v>29</v>
      </c>
      <c r="I1989" s="3" t="s">
        <v>39</v>
      </c>
      <c r="J1989" s="3" t="s">
        <v>46</v>
      </c>
      <c r="K1989" s="3">
        <v>35</v>
      </c>
      <c r="L1989" s="3">
        <v>5</v>
      </c>
      <c r="M1989" s="3">
        <v>2605</v>
      </c>
      <c r="N1989" s="3">
        <v>13025</v>
      </c>
      <c r="O1989" s="3">
        <v>13025</v>
      </c>
      <c r="P1989" s="3" t="s">
        <v>24</v>
      </c>
      <c r="Q1989" s="3">
        <v>0</v>
      </c>
      <c r="R1989" s="3" t="str">
        <f t="shared" si="31"/>
        <v>Not Cancelled</v>
      </c>
      <c r="S1989" s="3" t="s">
        <v>25</v>
      </c>
    </row>
    <row r="1990" spans="1:19" x14ac:dyDescent="0.35">
      <c r="A1990" s="3">
        <v>2989</v>
      </c>
      <c r="B1990" s="3" t="s">
        <v>663</v>
      </c>
      <c r="C1990" s="4">
        <v>45539</v>
      </c>
      <c r="D1990" s="3" t="s">
        <v>109</v>
      </c>
      <c r="E1990" s="4">
        <v>45558</v>
      </c>
      <c r="F1990" s="4">
        <v>45561</v>
      </c>
      <c r="G1990" s="3" t="s">
        <v>20</v>
      </c>
      <c r="H1990" s="3" t="s">
        <v>29</v>
      </c>
      <c r="I1990" s="3" t="s">
        <v>39</v>
      </c>
      <c r="J1990" s="3" t="s">
        <v>23</v>
      </c>
      <c r="K1990" s="3">
        <v>19</v>
      </c>
      <c r="L1990" s="3">
        <v>3</v>
      </c>
      <c r="M1990" s="3">
        <v>5701</v>
      </c>
      <c r="N1990" s="3">
        <v>17103</v>
      </c>
      <c r="O1990" s="3">
        <v>0</v>
      </c>
      <c r="P1990" s="3" t="s">
        <v>24</v>
      </c>
      <c r="Q1990" s="3">
        <v>1</v>
      </c>
      <c r="R1990" s="3" t="str">
        <f t="shared" si="31"/>
        <v>Cancelled</v>
      </c>
      <c r="S1990" s="3" t="s">
        <v>25</v>
      </c>
    </row>
    <row r="1991" spans="1:19" x14ac:dyDescent="0.35">
      <c r="A1991" s="3">
        <v>2990</v>
      </c>
      <c r="B1991" s="3" t="s">
        <v>977</v>
      </c>
      <c r="C1991" s="4">
        <v>45345</v>
      </c>
      <c r="D1991" s="3" t="s">
        <v>157</v>
      </c>
      <c r="E1991" s="4">
        <v>45365</v>
      </c>
      <c r="F1991" s="4">
        <v>45370</v>
      </c>
      <c r="G1991" s="3" t="s">
        <v>45</v>
      </c>
      <c r="H1991" s="3" t="s">
        <v>21</v>
      </c>
      <c r="I1991" s="3" t="s">
        <v>22</v>
      </c>
      <c r="J1991" s="3" t="s">
        <v>30</v>
      </c>
      <c r="K1991" s="3">
        <v>20</v>
      </c>
      <c r="L1991" s="3">
        <v>5</v>
      </c>
      <c r="M1991" s="3">
        <v>3169</v>
      </c>
      <c r="N1991" s="3">
        <v>15845</v>
      </c>
      <c r="O1991" s="3">
        <v>15845</v>
      </c>
      <c r="P1991" s="3" t="s">
        <v>24</v>
      </c>
      <c r="Q1991" s="3">
        <v>0</v>
      </c>
      <c r="R1991" s="3" t="str">
        <f t="shared" si="31"/>
        <v>Not Cancelled</v>
      </c>
      <c r="S1991" s="3" t="s">
        <v>25</v>
      </c>
    </row>
    <row r="1992" spans="1:19" x14ac:dyDescent="0.35">
      <c r="A1992" s="3">
        <v>2991</v>
      </c>
      <c r="B1992" s="3" t="s">
        <v>1123</v>
      </c>
      <c r="C1992" s="4">
        <v>45452</v>
      </c>
      <c r="D1992" s="3" t="s">
        <v>146</v>
      </c>
      <c r="E1992" s="4">
        <v>45488</v>
      </c>
      <c r="F1992" s="4">
        <v>45492</v>
      </c>
      <c r="G1992" s="3" t="s">
        <v>42</v>
      </c>
      <c r="H1992" s="3" t="s">
        <v>35</v>
      </c>
      <c r="I1992" s="3" t="s">
        <v>39</v>
      </c>
      <c r="J1992" s="3" t="s">
        <v>30</v>
      </c>
      <c r="K1992" s="3">
        <v>36</v>
      </c>
      <c r="L1992" s="3">
        <v>4</v>
      </c>
      <c r="M1992" s="3">
        <v>6971</v>
      </c>
      <c r="N1992" s="3">
        <v>27884</v>
      </c>
      <c r="O1992" s="3">
        <v>0</v>
      </c>
      <c r="P1992" s="3" t="s">
        <v>51</v>
      </c>
      <c r="Q1992" s="3">
        <v>1</v>
      </c>
      <c r="R1992" s="3" t="str">
        <f t="shared" si="31"/>
        <v>Cancelled</v>
      </c>
      <c r="S1992" s="3" t="s">
        <v>25</v>
      </c>
    </row>
    <row r="1993" spans="1:19" x14ac:dyDescent="0.35">
      <c r="A1993" s="3">
        <v>2992</v>
      </c>
      <c r="B1993" s="3" t="s">
        <v>833</v>
      </c>
      <c r="C1993" s="4">
        <v>45517</v>
      </c>
      <c r="D1993" s="3" t="s">
        <v>91</v>
      </c>
      <c r="E1993" s="4">
        <v>45552</v>
      </c>
      <c r="F1993" s="4">
        <v>45555</v>
      </c>
      <c r="G1993" s="3" t="s">
        <v>20</v>
      </c>
      <c r="H1993" s="3" t="s">
        <v>35</v>
      </c>
      <c r="I1993" s="3" t="s">
        <v>22</v>
      </c>
      <c r="J1993" s="3" t="s">
        <v>30</v>
      </c>
      <c r="K1993" s="3">
        <v>35</v>
      </c>
      <c r="L1993" s="3">
        <v>3</v>
      </c>
      <c r="M1993" s="3">
        <v>3242</v>
      </c>
      <c r="N1993" s="3">
        <v>9726</v>
      </c>
      <c r="O1993" s="3">
        <v>9726</v>
      </c>
      <c r="P1993" s="3" t="s">
        <v>51</v>
      </c>
      <c r="Q1993" s="3">
        <v>0</v>
      </c>
      <c r="R1993" s="3" t="str">
        <f t="shared" si="31"/>
        <v>Not Cancelled</v>
      </c>
      <c r="S1993" s="3" t="s">
        <v>31</v>
      </c>
    </row>
    <row r="1994" spans="1:19" x14ac:dyDescent="0.35">
      <c r="A1994" s="3">
        <v>2993</v>
      </c>
      <c r="B1994" s="3" t="s">
        <v>80</v>
      </c>
      <c r="C1994" s="4">
        <v>45306</v>
      </c>
      <c r="D1994" s="3" t="s">
        <v>144</v>
      </c>
      <c r="E1994" s="4">
        <v>45338</v>
      </c>
      <c r="F1994" s="4">
        <v>45341</v>
      </c>
      <c r="G1994" s="3" t="s">
        <v>20</v>
      </c>
      <c r="H1994" s="3" t="s">
        <v>35</v>
      </c>
      <c r="I1994" s="3" t="s">
        <v>39</v>
      </c>
      <c r="J1994" s="3" t="s">
        <v>30</v>
      </c>
      <c r="K1994" s="3">
        <v>32</v>
      </c>
      <c r="L1994" s="3">
        <v>3</v>
      </c>
      <c r="M1994" s="3">
        <v>3466</v>
      </c>
      <c r="N1994" s="3">
        <v>10398</v>
      </c>
      <c r="O1994" s="3">
        <v>0</v>
      </c>
      <c r="P1994" s="3" t="s">
        <v>24</v>
      </c>
      <c r="Q1994" s="3">
        <v>1</v>
      </c>
      <c r="R1994" s="3" t="str">
        <f t="shared" si="31"/>
        <v>Cancelled</v>
      </c>
      <c r="S1994" s="3" t="s">
        <v>25</v>
      </c>
    </row>
    <row r="1995" spans="1:19" x14ac:dyDescent="0.35">
      <c r="A1995" s="3">
        <v>2994</v>
      </c>
      <c r="B1995" s="3" t="s">
        <v>343</v>
      </c>
      <c r="C1995" s="4">
        <v>45515</v>
      </c>
      <c r="D1995" s="3" t="s">
        <v>237</v>
      </c>
      <c r="E1995" s="4">
        <v>45573</v>
      </c>
      <c r="F1995" s="4">
        <v>45576</v>
      </c>
      <c r="G1995" s="3" t="s">
        <v>20</v>
      </c>
      <c r="H1995" s="3" t="s">
        <v>60</v>
      </c>
      <c r="I1995" s="3" t="s">
        <v>39</v>
      </c>
      <c r="J1995" s="3" t="s">
        <v>46</v>
      </c>
      <c r="K1995" s="3">
        <v>58</v>
      </c>
      <c r="L1995" s="3">
        <v>3</v>
      </c>
      <c r="M1995" s="3">
        <v>2807</v>
      </c>
      <c r="N1995" s="3">
        <v>8421</v>
      </c>
      <c r="O1995" s="3">
        <v>0</v>
      </c>
      <c r="P1995" s="3" t="s">
        <v>24</v>
      </c>
      <c r="Q1995" s="3">
        <v>1</v>
      </c>
      <c r="R1995" s="3" t="str">
        <f t="shared" si="31"/>
        <v>Cancelled</v>
      </c>
      <c r="S1995" s="3" t="s">
        <v>25</v>
      </c>
    </row>
    <row r="1996" spans="1:19" x14ac:dyDescent="0.35">
      <c r="A1996" s="3">
        <v>2995</v>
      </c>
      <c r="B1996" s="3" t="s">
        <v>823</v>
      </c>
      <c r="C1996" s="4">
        <v>45352</v>
      </c>
      <c r="D1996" s="3" t="s">
        <v>73</v>
      </c>
      <c r="E1996" s="4">
        <v>45400</v>
      </c>
      <c r="F1996" s="4">
        <v>45404</v>
      </c>
      <c r="G1996" s="3" t="s">
        <v>42</v>
      </c>
      <c r="H1996" s="3" t="s">
        <v>35</v>
      </c>
      <c r="I1996" s="3" t="s">
        <v>39</v>
      </c>
      <c r="J1996" s="3" t="s">
        <v>23</v>
      </c>
      <c r="K1996" s="3">
        <v>48</v>
      </c>
      <c r="L1996" s="3">
        <v>4</v>
      </c>
      <c r="M1996" s="3">
        <v>4638</v>
      </c>
      <c r="N1996" s="3">
        <v>18552</v>
      </c>
      <c r="O1996" s="3">
        <v>18552</v>
      </c>
      <c r="P1996" s="3" t="s">
        <v>24</v>
      </c>
      <c r="Q1996" s="3">
        <v>0</v>
      </c>
      <c r="R1996" s="3" t="str">
        <f t="shared" si="31"/>
        <v>Not Cancelled</v>
      </c>
      <c r="S1996" s="3" t="s">
        <v>31</v>
      </c>
    </row>
    <row r="1997" spans="1:19" x14ac:dyDescent="0.35">
      <c r="A1997" s="3">
        <v>2996</v>
      </c>
      <c r="B1997" s="3" t="s">
        <v>1172</v>
      </c>
      <c r="C1997" s="4">
        <v>45413</v>
      </c>
      <c r="D1997" s="3" t="s">
        <v>62</v>
      </c>
      <c r="E1997" s="4">
        <v>45457</v>
      </c>
      <c r="F1997" s="4">
        <v>45458</v>
      </c>
      <c r="G1997" s="3" t="s">
        <v>34</v>
      </c>
      <c r="H1997" s="3" t="s">
        <v>60</v>
      </c>
      <c r="I1997" s="3" t="s">
        <v>39</v>
      </c>
      <c r="J1997" s="3" t="s">
        <v>23</v>
      </c>
      <c r="K1997" s="3">
        <v>44</v>
      </c>
      <c r="L1997" s="3">
        <v>1</v>
      </c>
      <c r="M1997" s="3">
        <v>5964</v>
      </c>
      <c r="N1997" s="3">
        <v>5964</v>
      </c>
      <c r="O1997" s="3">
        <v>0</v>
      </c>
      <c r="P1997" s="3" t="s">
        <v>24</v>
      </c>
      <c r="Q1997" s="3">
        <v>1</v>
      </c>
      <c r="R1997" s="3" t="str">
        <f t="shared" si="31"/>
        <v>Cancelled</v>
      </c>
      <c r="S1997" s="3" t="s">
        <v>31</v>
      </c>
    </row>
    <row r="1998" spans="1:19" x14ac:dyDescent="0.35">
      <c r="A1998" s="3">
        <v>2997</v>
      </c>
      <c r="B1998" s="3" t="s">
        <v>873</v>
      </c>
      <c r="C1998" s="4">
        <v>45568</v>
      </c>
      <c r="D1998" s="3" t="s">
        <v>179</v>
      </c>
      <c r="E1998" s="4">
        <v>45608</v>
      </c>
      <c r="F1998" s="4">
        <v>45613</v>
      </c>
      <c r="G1998" s="3" t="s">
        <v>45</v>
      </c>
      <c r="H1998" s="3" t="s">
        <v>60</v>
      </c>
      <c r="I1998" s="3" t="s">
        <v>39</v>
      </c>
      <c r="J1998" s="3" t="s">
        <v>30</v>
      </c>
      <c r="K1998" s="3">
        <v>40</v>
      </c>
      <c r="L1998" s="3">
        <v>5</v>
      </c>
      <c r="M1998" s="3">
        <v>7397</v>
      </c>
      <c r="N1998" s="3">
        <v>36985</v>
      </c>
      <c r="O1998" s="3">
        <v>36985</v>
      </c>
      <c r="P1998" s="3" t="s">
        <v>24</v>
      </c>
      <c r="Q1998" s="3">
        <v>0</v>
      </c>
      <c r="R1998" s="3" t="str">
        <f t="shared" si="31"/>
        <v>Not Cancelled</v>
      </c>
      <c r="S1998" s="3" t="s">
        <v>31</v>
      </c>
    </row>
    <row r="1999" spans="1:19" x14ac:dyDescent="0.35">
      <c r="A1999" s="3">
        <v>2998</v>
      </c>
      <c r="B1999" s="3" t="s">
        <v>1173</v>
      </c>
      <c r="C1999" s="4">
        <v>45337</v>
      </c>
      <c r="D1999" s="3" t="s">
        <v>159</v>
      </c>
      <c r="E1999" s="4">
        <v>45361</v>
      </c>
      <c r="F1999" s="4">
        <v>45364</v>
      </c>
      <c r="G1999" s="3" t="s">
        <v>20</v>
      </c>
      <c r="H1999" s="3" t="s">
        <v>35</v>
      </c>
      <c r="I1999" s="3" t="s">
        <v>22</v>
      </c>
      <c r="J1999" s="3" t="s">
        <v>23</v>
      </c>
      <c r="K1999" s="3">
        <v>24</v>
      </c>
      <c r="L1999" s="3">
        <v>3</v>
      </c>
      <c r="M1999" s="3">
        <v>2609</v>
      </c>
      <c r="N1999" s="3">
        <v>7827</v>
      </c>
      <c r="O1999" s="3">
        <v>7827</v>
      </c>
      <c r="P1999" s="3" t="s">
        <v>24</v>
      </c>
      <c r="Q1999" s="3">
        <v>0</v>
      </c>
      <c r="R1999" s="3" t="str">
        <f t="shared" si="31"/>
        <v>Not Cancelled</v>
      </c>
      <c r="S1999" s="3" t="s">
        <v>25</v>
      </c>
    </row>
    <row r="2000" spans="1:19" x14ac:dyDescent="0.35">
      <c r="A2000" s="3">
        <v>2999</v>
      </c>
      <c r="B2000" s="3" t="s">
        <v>634</v>
      </c>
      <c r="C2000" s="4">
        <v>45585</v>
      </c>
      <c r="D2000" s="3" t="s">
        <v>71</v>
      </c>
      <c r="E2000" s="4">
        <v>45602</v>
      </c>
      <c r="F2000" s="4">
        <v>45606</v>
      </c>
      <c r="G2000" s="3" t="s">
        <v>42</v>
      </c>
      <c r="H2000" s="3" t="s">
        <v>35</v>
      </c>
      <c r="I2000" s="3" t="s">
        <v>39</v>
      </c>
      <c r="J2000" s="3" t="s">
        <v>46</v>
      </c>
      <c r="K2000" s="3">
        <v>17</v>
      </c>
      <c r="L2000" s="3">
        <v>4</v>
      </c>
      <c r="M2000" s="3">
        <v>6132</v>
      </c>
      <c r="N2000" s="3">
        <v>24528</v>
      </c>
      <c r="O2000" s="3">
        <v>0</v>
      </c>
      <c r="P2000" s="3" t="s">
        <v>51</v>
      </c>
      <c r="Q2000" s="3">
        <v>1</v>
      </c>
      <c r="R2000" s="3" t="str">
        <f t="shared" si="31"/>
        <v>Cancelled</v>
      </c>
      <c r="S2000" s="3" t="s">
        <v>31</v>
      </c>
    </row>
    <row r="2001" spans="1:19" x14ac:dyDescent="0.35">
      <c r="A2001" s="3">
        <v>3000</v>
      </c>
      <c r="B2001" s="3" t="s">
        <v>1019</v>
      </c>
      <c r="C2001" s="4">
        <v>45353</v>
      </c>
      <c r="D2001" s="3" t="s">
        <v>209</v>
      </c>
      <c r="E2001" s="4">
        <v>45360</v>
      </c>
      <c r="F2001" s="4">
        <v>45361</v>
      </c>
      <c r="G2001" s="3" t="s">
        <v>34</v>
      </c>
      <c r="H2001" s="3" t="s">
        <v>21</v>
      </c>
      <c r="I2001" s="3" t="s">
        <v>39</v>
      </c>
      <c r="J2001" s="3" t="s">
        <v>30</v>
      </c>
      <c r="K2001" s="3">
        <v>7</v>
      </c>
      <c r="L2001" s="3">
        <v>1</v>
      </c>
      <c r="M2001" s="3">
        <v>8260</v>
      </c>
      <c r="N2001" s="3">
        <v>8260</v>
      </c>
      <c r="O2001" s="3">
        <v>0</v>
      </c>
      <c r="P2001" s="3" t="s">
        <v>51</v>
      </c>
      <c r="Q2001" s="3">
        <v>1</v>
      </c>
      <c r="R2001" s="3" t="str">
        <f t="shared" si="31"/>
        <v>Cancelled</v>
      </c>
      <c r="S2001" s="3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EA9D-B3C5-4EEE-9FC2-A8C0E2767090}">
  <dimension ref="C1:L20"/>
  <sheetViews>
    <sheetView workbookViewId="0">
      <selection activeCell="G8" sqref="G8"/>
    </sheetView>
  </sheetViews>
  <sheetFormatPr defaultRowHeight="14.5" x14ac:dyDescent="0.35"/>
  <cols>
    <col min="5" max="5" width="10.36328125" bestFit="1" customWidth="1"/>
    <col min="6" max="6" width="18.1796875" bestFit="1" customWidth="1"/>
    <col min="7" max="7" width="8.54296875" customWidth="1"/>
    <col min="8" max="8" width="16.54296875" bestFit="1" customWidth="1"/>
    <col min="9" max="9" width="8.81640625" bestFit="1" customWidth="1"/>
    <col min="10" max="10" width="14" customWidth="1"/>
    <col min="11" max="11" width="7.81640625" bestFit="1" customWidth="1"/>
    <col min="12" max="12" width="17.453125" bestFit="1" customWidth="1"/>
    <col min="13" max="13" width="21.1796875" bestFit="1" customWidth="1"/>
    <col min="14" max="14" width="18.26953125" customWidth="1"/>
    <col min="15" max="15" width="25.7265625" bestFit="1" customWidth="1"/>
    <col min="16" max="16" width="45.6328125" bestFit="1" customWidth="1"/>
    <col min="17" max="17" width="26.7265625" bestFit="1" customWidth="1"/>
    <col min="18" max="585" width="4.81640625" bestFit="1" customWidth="1"/>
    <col min="586" max="1909" width="5.81640625" bestFit="1" customWidth="1"/>
    <col min="1910" max="1910" width="6.81640625" bestFit="1" customWidth="1"/>
    <col min="1911" max="1911" width="10.36328125" bestFit="1" customWidth="1"/>
  </cols>
  <sheetData>
    <row r="1" spans="3:12" ht="15" thickBot="1" x14ac:dyDescent="0.4"/>
    <row r="2" spans="3:12" ht="14.5" customHeight="1" x14ac:dyDescent="0.35">
      <c r="C2" s="22" t="s">
        <v>1205</v>
      </c>
      <c r="D2" s="23"/>
      <c r="E2" s="23"/>
      <c r="F2" s="23"/>
      <c r="G2" s="23"/>
      <c r="H2" s="23"/>
      <c r="I2" s="23"/>
      <c r="J2" s="23"/>
      <c r="K2" s="23"/>
      <c r="L2" s="24"/>
    </row>
    <row r="3" spans="3:12" ht="14.5" customHeight="1" x14ac:dyDescent="0.35">
      <c r="C3" s="25"/>
      <c r="D3" s="26"/>
      <c r="E3" s="26"/>
      <c r="F3" s="26"/>
      <c r="G3" s="26"/>
      <c r="H3" s="26"/>
      <c r="I3" s="26"/>
      <c r="J3" s="26"/>
      <c r="K3" s="26"/>
      <c r="L3" s="27"/>
    </row>
    <row r="4" spans="3:12" ht="15" customHeight="1" thickBot="1" x14ac:dyDescent="0.4">
      <c r="C4" s="28"/>
      <c r="D4" s="29"/>
      <c r="E4" s="29"/>
      <c r="F4" s="29"/>
      <c r="G4" s="29"/>
      <c r="H4" s="29"/>
      <c r="I4" s="29"/>
      <c r="J4" s="29"/>
      <c r="K4" s="29"/>
      <c r="L4" s="30"/>
    </row>
    <row r="5" spans="3:12" x14ac:dyDescent="0.35">
      <c r="C5" s="10"/>
      <c r="D5" s="6" t="s">
        <v>1213</v>
      </c>
      <c r="L5" s="11"/>
    </row>
    <row r="6" spans="3:12" x14ac:dyDescent="0.35">
      <c r="C6" s="10"/>
      <c r="D6" t="s">
        <v>1210</v>
      </c>
      <c r="F6" t="s">
        <v>1208</v>
      </c>
      <c r="H6" t="s">
        <v>1209</v>
      </c>
      <c r="J6" t="s">
        <v>1211</v>
      </c>
      <c r="K6" t="s">
        <v>1203</v>
      </c>
      <c r="L6" s="11" t="s">
        <v>1212</v>
      </c>
    </row>
    <row r="7" spans="3:12" x14ac:dyDescent="0.35">
      <c r="C7" s="12" t="s">
        <v>1202</v>
      </c>
      <c r="D7" t="s">
        <v>24</v>
      </c>
      <c r="E7" t="s">
        <v>51</v>
      </c>
      <c r="F7" t="s">
        <v>24</v>
      </c>
      <c r="G7" t="s">
        <v>51</v>
      </c>
      <c r="H7" t="s">
        <v>24</v>
      </c>
      <c r="I7" t="s">
        <v>51</v>
      </c>
      <c r="L7" s="11"/>
    </row>
    <row r="8" spans="3:12" x14ac:dyDescent="0.35">
      <c r="C8" s="13" t="s">
        <v>1190</v>
      </c>
      <c r="D8">
        <v>79</v>
      </c>
      <c r="E8">
        <v>92</v>
      </c>
      <c r="F8">
        <v>1266069</v>
      </c>
      <c r="G8">
        <v>1585971</v>
      </c>
      <c r="H8">
        <v>549241</v>
      </c>
      <c r="I8">
        <v>758195</v>
      </c>
      <c r="J8">
        <v>171</v>
      </c>
      <c r="K8">
        <v>2852040</v>
      </c>
      <c r="L8" s="11">
        <v>1307436</v>
      </c>
    </row>
    <row r="9" spans="3:12" x14ac:dyDescent="0.35">
      <c r="C9" s="13" t="s">
        <v>1191</v>
      </c>
      <c r="D9">
        <v>91</v>
      </c>
      <c r="E9">
        <v>60</v>
      </c>
      <c r="F9">
        <v>1755715</v>
      </c>
      <c r="G9">
        <v>1063185</v>
      </c>
      <c r="H9">
        <v>754178</v>
      </c>
      <c r="I9">
        <v>550456</v>
      </c>
      <c r="J9">
        <v>151</v>
      </c>
      <c r="K9">
        <v>2818900</v>
      </c>
      <c r="L9" s="11">
        <v>1304634</v>
      </c>
    </row>
    <row r="10" spans="3:12" x14ac:dyDescent="0.35">
      <c r="C10" s="13" t="s">
        <v>1192</v>
      </c>
      <c r="D10">
        <v>86</v>
      </c>
      <c r="E10">
        <v>82</v>
      </c>
      <c r="F10">
        <v>1357835</v>
      </c>
      <c r="G10">
        <v>1419550</v>
      </c>
      <c r="H10">
        <v>572830</v>
      </c>
      <c r="I10">
        <v>607129</v>
      </c>
      <c r="J10">
        <v>168</v>
      </c>
      <c r="K10">
        <v>2777385</v>
      </c>
      <c r="L10" s="11">
        <v>1179959</v>
      </c>
    </row>
    <row r="11" spans="3:12" x14ac:dyDescent="0.35">
      <c r="C11" s="13" t="s">
        <v>1193</v>
      </c>
      <c r="D11">
        <v>71</v>
      </c>
      <c r="E11">
        <v>106</v>
      </c>
      <c r="F11">
        <v>1263752</v>
      </c>
      <c r="G11">
        <v>1808371</v>
      </c>
      <c r="H11">
        <v>494244</v>
      </c>
      <c r="I11">
        <v>641179</v>
      </c>
      <c r="J11">
        <v>177</v>
      </c>
      <c r="K11">
        <v>3072123</v>
      </c>
      <c r="L11" s="11">
        <v>1135423</v>
      </c>
    </row>
    <row r="12" spans="3:12" x14ac:dyDescent="0.35">
      <c r="C12" s="13" t="s">
        <v>1194</v>
      </c>
      <c r="D12">
        <v>101</v>
      </c>
      <c r="E12">
        <v>91</v>
      </c>
      <c r="F12">
        <v>1809524</v>
      </c>
      <c r="G12">
        <v>1543632</v>
      </c>
      <c r="H12">
        <v>544897</v>
      </c>
      <c r="I12">
        <v>725701</v>
      </c>
      <c r="J12">
        <v>192</v>
      </c>
      <c r="K12">
        <v>3353156</v>
      </c>
      <c r="L12" s="11">
        <v>1270598</v>
      </c>
    </row>
    <row r="13" spans="3:12" x14ac:dyDescent="0.35">
      <c r="C13" s="13" t="s">
        <v>1195</v>
      </c>
      <c r="D13">
        <v>76</v>
      </c>
      <c r="E13">
        <v>98</v>
      </c>
      <c r="F13">
        <v>1300941</v>
      </c>
      <c r="G13">
        <v>1664639</v>
      </c>
      <c r="H13">
        <v>611344</v>
      </c>
      <c r="I13">
        <v>623542</v>
      </c>
      <c r="J13">
        <v>174</v>
      </c>
      <c r="K13">
        <v>2965580</v>
      </c>
      <c r="L13" s="11">
        <v>1234886</v>
      </c>
    </row>
    <row r="14" spans="3:12" x14ac:dyDescent="0.35">
      <c r="C14" s="13" t="s">
        <v>1196</v>
      </c>
      <c r="D14">
        <v>74</v>
      </c>
      <c r="E14">
        <v>72</v>
      </c>
      <c r="F14">
        <v>1227128</v>
      </c>
      <c r="G14">
        <v>1364594</v>
      </c>
      <c r="H14">
        <v>511613</v>
      </c>
      <c r="I14">
        <v>641700</v>
      </c>
      <c r="J14">
        <v>146</v>
      </c>
      <c r="K14">
        <v>2591722</v>
      </c>
      <c r="L14" s="11">
        <v>1153313</v>
      </c>
    </row>
    <row r="15" spans="3:12" x14ac:dyDescent="0.35">
      <c r="C15" s="13" t="s">
        <v>1197</v>
      </c>
      <c r="D15">
        <v>85</v>
      </c>
      <c r="E15">
        <v>80</v>
      </c>
      <c r="F15">
        <v>1515808</v>
      </c>
      <c r="G15">
        <v>1245986</v>
      </c>
      <c r="H15">
        <v>811593</v>
      </c>
      <c r="I15">
        <v>662299</v>
      </c>
      <c r="J15">
        <v>165</v>
      </c>
      <c r="K15">
        <v>2761794</v>
      </c>
      <c r="L15" s="11">
        <v>1473892</v>
      </c>
    </row>
    <row r="16" spans="3:12" x14ac:dyDescent="0.35">
      <c r="C16" s="13" t="s">
        <v>1198</v>
      </c>
      <c r="D16">
        <v>82</v>
      </c>
      <c r="E16">
        <v>83</v>
      </c>
      <c r="F16">
        <v>1348062</v>
      </c>
      <c r="G16">
        <v>1486943</v>
      </c>
      <c r="H16">
        <v>518926</v>
      </c>
      <c r="I16">
        <v>657564</v>
      </c>
      <c r="J16">
        <v>165</v>
      </c>
      <c r="K16">
        <v>2835005</v>
      </c>
      <c r="L16" s="11">
        <v>1176490</v>
      </c>
    </row>
    <row r="17" spans="3:12" x14ac:dyDescent="0.35">
      <c r="C17" s="13" t="s">
        <v>1199</v>
      </c>
      <c r="D17">
        <v>82</v>
      </c>
      <c r="E17">
        <v>95</v>
      </c>
      <c r="F17">
        <v>1428685</v>
      </c>
      <c r="G17">
        <v>1777281</v>
      </c>
      <c r="H17">
        <v>660596</v>
      </c>
      <c r="I17">
        <v>820732</v>
      </c>
      <c r="J17">
        <v>177</v>
      </c>
      <c r="K17">
        <v>3205966</v>
      </c>
      <c r="L17" s="11">
        <v>1481328</v>
      </c>
    </row>
    <row r="18" spans="3:12" x14ac:dyDescent="0.35">
      <c r="C18" s="13" t="s">
        <v>1200</v>
      </c>
      <c r="D18">
        <v>78</v>
      </c>
      <c r="E18">
        <v>73</v>
      </c>
      <c r="F18">
        <v>1317776</v>
      </c>
      <c r="G18">
        <v>1161720</v>
      </c>
      <c r="H18">
        <v>571661</v>
      </c>
      <c r="I18">
        <v>400694</v>
      </c>
      <c r="J18">
        <v>151</v>
      </c>
      <c r="K18">
        <v>2479496</v>
      </c>
      <c r="L18" s="11">
        <v>972355</v>
      </c>
    </row>
    <row r="19" spans="3:12" x14ac:dyDescent="0.35">
      <c r="C19" s="13" t="s">
        <v>1201</v>
      </c>
      <c r="D19">
        <v>84</v>
      </c>
      <c r="E19">
        <v>79</v>
      </c>
      <c r="F19">
        <v>1312777</v>
      </c>
      <c r="G19">
        <v>1290719</v>
      </c>
      <c r="H19">
        <v>549195</v>
      </c>
      <c r="I19">
        <v>648512</v>
      </c>
      <c r="J19">
        <v>163</v>
      </c>
      <c r="K19">
        <v>2603496</v>
      </c>
      <c r="L19" s="11">
        <v>1197707</v>
      </c>
    </row>
    <row r="20" spans="3:12" ht="15" thickBot="1" x14ac:dyDescent="0.4">
      <c r="C20" s="14" t="s">
        <v>1189</v>
      </c>
      <c r="D20" s="15">
        <v>989</v>
      </c>
      <c r="E20" s="15">
        <v>1011</v>
      </c>
      <c r="F20" s="15">
        <v>16904072</v>
      </c>
      <c r="G20" s="15">
        <v>17412591</v>
      </c>
      <c r="H20" s="15">
        <v>7150318</v>
      </c>
      <c r="I20" s="15">
        <v>7737703</v>
      </c>
      <c r="J20" s="15">
        <v>2000</v>
      </c>
      <c r="K20" s="15">
        <v>34316663</v>
      </c>
      <c r="L20" s="16">
        <v>14888021</v>
      </c>
    </row>
  </sheetData>
  <mergeCells count="1">
    <mergeCell ref="C2:L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60F4C-D747-447D-99A6-F565D9FE3679}">
  <dimension ref="B1:L36"/>
  <sheetViews>
    <sheetView topLeftCell="A3" workbookViewId="0">
      <selection activeCell="F40" sqref="F40"/>
    </sheetView>
  </sheetViews>
  <sheetFormatPr defaultRowHeight="14.5" x14ac:dyDescent="0.35"/>
  <cols>
    <col min="2" max="2" width="11.54296875" bestFit="1" customWidth="1"/>
    <col min="3" max="3" width="13.6328125" bestFit="1" customWidth="1"/>
    <col min="4" max="4" width="13.90625" bestFit="1" customWidth="1"/>
    <col min="5" max="5" width="11.81640625" customWidth="1"/>
    <col min="6" max="6" width="14" bestFit="1" customWidth="1"/>
    <col min="7" max="7" width="16.36328125" bestFit="1" customWidth="1"/>
    <col min="8" max="8" width="10.36328125" bestFit="1" customWidth="1"/>
    <col min="9" max="9" width="18" bestFit="1" customWidth="1"/>
    <col min="10" max="10" width="12.453125" bestFit="1" customWidth="1"/>
    <col min="11" max="11" width="17" bestFit="1" customWidth="1"/>
    <col min="12" max="12" width="14.90625" customWidth="1"/>
    <col min="13" max="13" width="37" bestFit="1" customWidth="1"/>
    <col min="14" max="14" width="12.1796875" customWidth="1"/>
    <col min="15" max="1088" width="6.08984375" bestFit="1" customWidth="1"/>
    <col min="1089" max="1089" width="10.36328125" bestFit="1" customWidth="1"/>
  </cols>
  <sheetData>
    <row r="1" spans="2:12" ht="15" thickBot="1" x14ac:dyDescent="0.4"/>
    <row r="2" spans="2:12" x14ac:dyDescent="0.35">
      <c r="B2" s="31" t="s">
        <v>1214</v>
      </c>
      <c r="C2" s="33"/>
      <c r="E2" s="31" t="s">
        <v>1218</v>
      </c>
      <c r="F2" s="33"/>
      <c r="H2" s="31" t="s">
        <v>1219</v>
      </c>
      <c r="I2" s="33"/>
      <c r="K2" s="31" t="s">
        <v>1237</v>
      </c>
      <c r="L2" s="33"/>
    </row>
    <row r="3" spans="2:12" ht="15" thickBot="1" x14ac:dyDescent="0.4">
      <c r="B3" s="34"/>
      <c r="C3" s="36"/>
      <c r="E3" s="34"/>
      <c r="F3" s="36"/>
      <c r="H3" s="34"/>
      <c r="I3" s="36"/>
      <c r="K3" s="34"/>
      <c r="L3" s="36"/>
    </row>
    <row r="4" spans="2:12" x14ac:dyDescent="0.35">
      <c r="B4" s="17" t="s">
        <v>1202</v>
      </c>
      <c r="C4" s="9" t="s">
        <v>1215</v>
      </c>
      <c r="E4" s="6" t="s">
        <v>1220</v>
      </c>
      <c r="F4" t="s">
        <v>1221</v>
      </c>
      <c r="H4" s="6" t="s">
        <v>1222</v>
      </c>
      <c r="I4" t="s">
        <v>1223</v>
      </c>
      <c r="K4" s="6" t="s">
        <v>1202</v>
      </c>
      <c r="L4" t="s">
        <v>1226</v>
      </c>
    </row>
    <row r="5" spans="2:12" x14ac:dyDescent="0.35">
      <c r="B5" s="7" t="s">
        <v>1190</v>
      </c>
      <c r="C5">
        <v>171</v>
      </c>
      <c r="E5" s="7" t="s">
        <v>1190</v>
      </c>
      <c r="F5">
        <v>169</v>
      </c>
      <c r="H5" s="7" t="s">
        <v>1190</v>
      </c>
      <c r="I5" s="18">
        <v>3.0355029585798818</v>
      </c>
      <c r="K5" s="7" t="s">
        <v>1190</v>
      </c>
      <c r="L5" s="21">
        <v>1453760</v>
      </c>
    </row>
    <row r="6" spans="2:12" x14ac:dyDescent="0.35">
      <c r="B6" s="7" t="s">
        <v>1191</v>
      </c>
      <c r="C6">
        <v>151</v>
      </c>
      <c r="E6" s="7" t="s">
        <v>1191</v>
      </c>
      <c r="F6">
        <v>146</v>
      </c>
      <c r="H6" s="7" t="s">
        <v>1191</v>
      </c>
      <c r="I6" s="18">
        <v>3.0273972602739727</v>
      </c>
      <c r="K6" s="7" t="s">
        <v>1191</v>
      </c>
      <c r="L6" s="21">
        <v>1044458</v>
      </c>
    </row>
    <row r="7" spans="2:12" x14ac:dyDescent="0.35">
      <c r="B7" s="7" t="s">
        <v>1192</v>
      </c>
      <c r="C7">
        <v>168</v>
      </c>
      <c r="E7" s="7" t="s">
        <v>1192</v>
      </c>
      <c r="F7">
        <v>177</v>
      </c>
      <c r="H7" s="7" t="s">
        <v>1192</v>
      </c>
      <c r="I7" s="18">
        <v>3.0847457627118646</v>
      </c>
      <c r="K7" s="7" t="s">
        <v>1192</v>
      </c>
      <c r="L7" s="21">
        <v>1578920</v>
      </c>
    </row>
    <row r="8" spans="2:12" x14ac:dyDescent="0.35">
      <c r="B8" s="7" t="s">
        <v>1193</v>
      </c>
      <c r="C8">
        <v>177</v>
      </c>
      <c r="E8" s="7" t="s">
        <v>1193</v>
      </c>
      <c r="F8">
        <v>152</v>
      </c>
      <c r="H8" s="7" t="s">
        <v>1193</v>
      </c>
      <c r="I8" s="18">
        <v>3.1184210526315788</v>
      </c>
      <c r="K8" s="7" t="s">
        <v>1193</v>
      </c>
      <c r="L8" s="21">
        <v>969452</v>
      </c>
    </row>
    <row r="9" spans="2:12" x14ac:dyDescent="0.35">
      <c r="B9" s="7" t="s">
        <v>1194</v>
      </c>
      <c r="C9">
        <v>192</v>
      </c>
      <c r="E9" s="7" t="s">
        <v>1194</v>
      </c>
      <c r="F9">
        <v>186</v>
      </c>
      <c r="H9" s="7" t="s">
        <v>1194</v>
      </c>
      <c r="I9" s="18">
        <v>3.0268817204301075</v>
      </c>
      <c r="K9" s="7" t="s">
        <v>1194</v>
      </c>
      <c r="L9" s="21">
        <v>1277324</v>
      </c>
    </row>
    <row r="10" spans="2:12" x14ac:dyDescent="0.35">
      <c r="B10" s="7" t="s">
        <v>1195</v>
      </c>
      <c r="C10">
        <v>174</v>
      </c>
      <c r="E10" s="7" t="s">
        <v>1195</v>
      </c>
      <c r="F10">
        <v>203</v>
      </c>
      <c r="H10" s="7" t="s">
        <v>1195</v>
      </c>
      <c r="I10" s="18">
        <v>3.0689655172413794</v>
      </c>
      <c r="K10" s="7" t="s">
        <v>1195</v>
      </c>
      <c r="L10" s="21">
        <v>1295089</v>
      </c>
    </row>
    <row r="11" spans="2:12" x14ac:dyDescent="0.35">
      <c r="B11" s="7" t="s">
        <v>1196</v>
      </c>
      <c r="C11">
        <v>146</v>
      </c>
      <c r="E11" s="7" t="s">
        <v>1196</v>
      </c>
      <c r="F11">
        <v>167</v>
      </c>
      <c r="H11" s="7" t="s">
        <v>1196</v>
      </c>
      <c r="I11" s="18">
        <v>2.9880239520958085</v>
      </c>
      <c r="K11" s="7" t="s">
        <v>1196</v>
      </c>
      <c r="L11" s="21">
        <v>1265056</v>
      </c>
    </row>
    <row r="12" spans="2:12" x14ac:dyDescent="0.35">
      <c r="B12" s="7" t="s">
        <v>1197</v>
      </c>
      <c r="C12">
        <v>165</v>
      </c>
      <c r="E12" s="7" t="s">
        <v>1197</v>
      </c>
      <c r="F12">
        <v>159</v>
      </c>
      <c r="H12" s="7" t="s">
        <v>1197</v>
      </c>
      <c r="I12" s="18">
        <v>2.7295597484276728</v>
      </c>
      <c r="K12" s="7" t="s">
        <v>1197</v>
      </c>
      <c r="L12" s="21">
        <v>1101895</v>
      </c>
    </row>
    <row r="13" spans="2:12" x14ac:dyDescent="0.35">
      <c r="B13" s="7" t="s">
        <v>1198</v>
      </c>
      <c r="C13">
        <v>165</v>
      </c>
      <c r="E13" s="7" t="s">
        <v>1198</v>
      </c>
      <c r="F13">
        <v>155</v>
      </c>
      <c r="H13" s="7" t="s">
        <v>1198</v>
      </c>
      <c r="I13" s="18">
        <v>3.1741935483870969</v>
      </c>
      <c r="K13" s="7" t="s">
        <v>1198</v>
      </c>
      <c r="L13" s="21">
        <v>1328862</v>
      </c>
    </row>
    <row r="14" spans="2:12" x14ac:dyDescent="0.35">
      <c r="B14" s="7" t="s">
        <v>1199</v>
      </c>
      <c r="C14">
        <v>177</v>
      </c>
      <c r="E14" s="7" t="s">
        <v>1199</v>
      </c>
      <c r="F14">
        <v>157</v>
      </c>
      <c r="H14" s="7" t="s">
        <v>1199</v>
      </c>
      <c r="I14" s="18">
        <v>2.8343949044585988</v>
      </c>
      <c r="K14" s="7" t="s">
        <v>1199</v>
      </c>
      <c r="L14" s="21">
        <v>1283414</v>
      </c>
    </row>
    <row r="15" spans="2:12" x14ac:dyDescent="0.35">
      <c r="B15" s="7" t="s">
        <v>1200</v>
      </c>
      <c r="C15">
        <v>151</v>
      </c>
      <c r="E15" s="7" t="s">
        <v>1200</v>
      </c>
      <c r="F15">
        <v>181</v>
      </c>
      <c r="H15" s="7" t="s">
        <v>1200</v>
      </c>
      <c r="I15" s="18">
        <v>3.1546961325966851</v>
      </c>
      <c r="K15" s="7" t="s">
        <v>1200</v>
      </c>
      <c r="L15" s="21">
        <v>1314439</v>
      </c>
    </row>
    <row r="16" spans="2:12" x14ac:dyDescent="0.35">
      <c r="B16" s="7" t="s">
        <v>1201</v>
      </c>
      <c r="C16">
        <v>163</v>
      </c>
      <c r="E16" s="7" t="s">
        <v>1201</v>
      </c>
      <c r="F16">
        <v>148</v>
      </c>
      <c r="H16" s="7" t="s">
        <v>1201</v>
      </c>
      <c r="I16" s="18">
        <v>2.9121621621621623</v>
      </c>
      <c r="K16" s="7" t="s">
        <v>1201</v>
      </c>
      <c r="L16" s="21">
        <v>975352</v>
      </c>
    </row>
    <row r="17" spans="2:12" x14ac:dyDescent="0.35">
      <c r="B17" s="7" t="s">
        <v>1189</v>
      </c>
      <c r="C17">
        <v>2000</v>
      </c>
      <c r="E17" s="7" t="s">
        <v>1189</v>
      </c>
      <c r="F17">
        <v>2000</v>
      </c>
      <c r="H17" s="7" t="s">
        <v>1189</v>
      </c>
      <c r="I17" s="18">
        <v>3.0165000000000002</v>
      </c>
      <c r="K17" s="7" t="s">
        <v>1189</v>
      </c>
      <c r="L17" s="21">
        <v>14888021</v>
      </c>
    </row>
    <row r="18" spans="2:12" ht="15" thickBot="1" x14ac:dyDescent="0.4"/>
    <row r="19" spans="2:12" x14ac:dyDescent="0.35">
      <c r="B19" s="31" t="s">
        <v>1227</v>
      </c>
      <c r="C19" s="32"/>
      <c r="D19" s="33"/>
      <c r="F19" s="31" t="s">
        <v>1230</v>
      </c>
      <c r="G19" s="33"/>
      <c r="I19" s="31" t="s">
        <v>1239</v>
      </c>
      <c r="J19" s="32"/>
      <c r="K19" s="33"/>
    </row>
    <row r="20" spans="2:12" ht="15" thickBot="1" x14ac:dyDescent="0.4">
      <c r="B20" s="34"/>
      <c r="C20" s="35"/>
      <c r="D20" s="36"/>
      <c r="F20" s="34"/>
      <c r="G20" s="36"/>
      <c r="I20" s="34"/>
      <c r="J20" s="35"/>
      <c r="K20" s="36"/>
    </row>
    <row r="21" spans="2:12" x14ac:dyDescent="0.35">
      <c r="B21" s="6" t="s">
        <v>1228</v>
      </c>
      <c r="C21" t="s">
        <v>1208</v>
      </c>
      <c r="D21" t="s">
        <v>1226</v>
      </c>
      <c r="F21" s="6" t="s">
        <v>1188</v>
      </c>
      <c r="G21" t="s">
        <v>1204</v>
      </c>
      <c r="I21" s="6" t="s">
        <v>1188</v>
      </c>
      <c r="J21" t="s">
        <v>1238</v>
      </c>
      <c r="K21" t="s">
        <v>1226</v>
      </c>
    </row>
    <row r="22" spans="2:12" x14ac:dyDescent="0.35">
      <c r="B22" s="7" t="s">
        <v>21</v>
      </c>
      <c r="C22" s="21">
        <v>7231831</v>
      </c>
      <c r="D22" s="21">
        <v>3491753</v>
      </c>
      <c r="F22" s="7" t="s">
        <v>1231</v>
      </c>
      <c r="G22">
        <v>1119</v>
      </c>
      <c r="I22" s="7" t="s">
        <v>25</v>
      </c>
      <c r="J22">
        <v>1043</v>
      </c>
      <c r="K22" s="21">
        <v>7240188</v>
      </c>
    </row>
    <row r="23" spans="2:12" x14ac:dyDescent="0.35">
      <c r="B23" s="7" t="s">
        <v>38</v>
      </c>
      <c r="C23" s="21">
        <v>6935673</v>
      </c>
      <c r="D23" s="21">
        <v>2856665</v>
      </c>
      <c r="F23" s="7" t="s">
        <v>1232</v>
      </c>
      <c r="G23">
        <v>881</v>
      </c>
      <c r="I23" s="7" t="s">
        <v>31</v>
      </c>
      <c r="J23">
        <v>957</v>
      </c>
      <c r="K23" s="21">
        <v>7647833</v>
      </c>
    </row>
    <row r="24" spans="2:12" x14ac:dyDescent="0.35">
      <c r="B24" s="7" t="s">
        <v>60</v>
      </c>
      <c r="C24" s="21">
        <v>6340271</v>
      </c>
      <c r="D24" s="21">
        <v>2444325</v>
      </c>
      <c r="F24" s="7" t="s">
        <v>1189</v>
      </c>
      <c r="G24">
        <v>2000</v>
      </c>
      <c r="I24" s="7" t="s">
        <v>1189</v>
      </c>
      <c r="J24">
        <v>2000</v>
      </c>
      <c r="K24" s="21">
        <v>14888021</v>
      </c>
    </row>
    <row r="25" spans="2:12" x14ac:dyDescent="0.35">
      <c r="B25" s="7" t="s">
        <v>29</v>
      </c>
      <c r="C25" s="21">
        <v>6672277</v>
      </c>
      <c r="D25" s="21">
        <v>3129011</v>
      </c>
    </row>
    <row r="26" spans="2:12" x14ac:dyDescent="0.35">
      <c r="B26" s="7" t="s">
        <v>35</v>
      </c>
      <c r="C26" s="21">
        <v>7136611</v>
      </c>
      <c r="D26" s="21">
        <v>2966267</v>
      </c>
    </row>
    <row r="27" spans="2:12" x14ac:dyDescent="0.35">
      <c r="B27" s="7" t="s">
        <v>1189</v>
      </c>
      <c r="C27" s="21">
        <v>34316663</v>
      </c>
      <c r="D27" s="21">
        <v>14888021</v>
      </c>
    </row>
    <row r="28" spans="2:12" ht="15" thickBot="1" x14ac:dyDescent="0.4"/>
    <row r="29" spans="2:12" x14ac:dyDescent="0.35">
      <c r="B29" s="31" t="s">
        <v>1224</v>
      </c>
      <c r="C29" s="32"/>
      <c r="D29" s="32"/>
      <c r="E29" s="33"/>
      <c r="G29" s="31" t="s">
        <v>1233</v>
      </c>
      <c r="H29" s="32"/>
      <c r="I29" s="33"/>
    </row>
    <row r="30" spans="2:12" ht="15" thickBot="1" x14ac:dyDescent="0.4">
      <c r="B30" s="34"/>
      <c r="C30" s="35"/>
      <c r="D30" s="35"/>
      <c r="E30" s="36"/>
      <c r="G30" s="34"/>
      <c r="H30" s="35"/>
      <c r="I30" s="36"/>
    </row>
    <row r="31" spans="2:12" x14ac:dyDescent="0.35">
      <c r="B31" s="6" t="s">
        <v>1229</v>
      </c>
      <c r="C31" t="s">
        <v>1208</v>
      </c>
      <c r="D31" t="s">
        <v>1209</v>
      </c>
      <c r="E31" s="8" t="s">
        <v>1225</v>
      </c>
      <c r="G31" s="6" t="s">
        <v>1234</v>
      </c>
      <c r="H31" t="s">
        <v>1235</v>
      </c>
      <c r="I31" t="s">
        <v>1236</v>
      </c>
    </row>
    <row r="32" spans="2:12" x14ac:dyDescent="0.35">
      <c r="B32" s="7" t="s">
        <v>1206</v>
      </c>
      <c r="C32" s="21">
        <v>8462224</v>
      </c>
      <c r="D32" s="21">
        <v>4077138</v>
      </c>
      <c r="E32" s="19">
        <f>GETPIVOTDATA("Projected Revenue",$B$31,"Quarters (Check_in_date)",1)-GETPIVOTDATA("Acutal Revenue. (Non-Cancelled bookings)",$B$31,"Quarters (Check_in_date)",1)</f>
        <v>4385086</v>
      </c>
      <c r="G32" s="7" t="s">
        <v>24</v>
      </c>
      <c r="H32">
        <v>989</v>
      </c>
      <c r="I32" s="21">
        <v>7150318</v>
      </c>
    </row>
    <row r="33" spans="2:9" x14ac:dyDescent="0.35">
      <c r="B33" s="7" t="s">
        <v>1207</v>
      </c>
      <c r="C33" s="21">
        <v>9401560</v>
      </c>
      <c r="D33" s="21">
        <v>3541865</v>
      </c>
      <c r="E33" s="19">
        <f>GETPIVOTDATA("Projected Revenue",$B$31,"Quarters (Check_in_date)",2)-GETPIVOTDATA("Acutal Revenue. (Non-Cancelled bookings)",$B$31,"Quarters (Check_in_date)",2)</f>
        <v>5859695</v>
      </c>
      <c r="G33" s="7" t="s">
        <v>51</v>
      </c>
      <c r="H33">
        <v>1011</v>
      </c>
      <c r="I33" s="21">
        <v>7737703</v>
      </c>
    </row>
    <row r="34" spans="2:9" x14ac:dyDescent="0.35">
      <c r="B34" s="7" t="s">
        <v>1216</v>
      </c>
      <c r="C34" s="21">
        <v>8196636</v>
      </c>
      <c r="D34" s="21">
        <v>3695813</v>
      </c>
      <c r="E34" s="19">
        <f>GETPIVOTDATA("Projected Revenue",$B$31,"Quarters (Check_in_date)",3)-GETPIVOTDATA("Acutal Revenue. (Non-Cancelled bookings)",$B$31,"Quarters (Check_in_date)",3)</f>
        <v>4500823</v>
      </c>
      <c r="G34" s="7" t="s">
        <v>1189</v>
      </c>
      <c r="H34">
        <v>2000</v>
      </c>
      <c r="I34" s="21">
        <v>14888021</v>
      </c>
    </row>
    <row r="35" spans="2:9" x14ac:dyDescent="0.35">
      <c r="B35" s="7" t="s">
        <v>1217</v>
      </c>
      <c r="C35" s="21">
        <v>8256243</v>
      </c>
      <c r="D35" s="21">
        <v>3573205</v>
      </c>
      <c r="E35" s="19">
        <f>GETPIVOTDATA("Projected Revenue",$B$31,"Quarters (Check_in_date)",4)-GETPIVOTDATA("Acutal Revenue. (Non-Cancelled bookings)",$B$31,"Quarters (Check_in_date)",4)</f>
        <v>4683038</v>
      </c>
    </row>
    <row r="36" spans="2:9" x14ac:dyDescent="0.35">
      <c r="B36" s="7" t="s">
        <v>1189</v>
      </c>
      <c r="C36" s="21">
        <v>34316663</v>
      </c>
      <c r="D36" s="21">
        <v>14888021</v>
      </c>
      <c r="E36" s="20">
        <f>GETPIVOTDATA("Projected Revenue",$B$31)-GETPIVOTDATA("Acutal Revenue. (Non-Cancelled bookings)",$B$31)</f>
        <v>19428642</v>
      </c>
    </row>
  </sheetData>
  <mergeCells count="9">
    <mergeCell ref="B19:D20"/>
    <mergeCell ref="F19:G20"/>
    <mergeCell ref="G29:I30"/>
    <mergeCell ref="K2:L3"/>
    <mergeCell ref="I19:K20"/>
    <mergeCell ref="B2:C3"/>
    <mergeCell ref="E2:F3"/>
    <mergeCell ref="H2:I3"/>
    <mergeCell ref="B29:E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Master Pivots</vt:lpstr>
      <vt:lpstr>Sub-Pivots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Subhojit Dutta</dc:creator>
  <cp:lastModifiedBy>Subhojit Dutta</cp:lastModifiedBy>
  <dcterms:created xsi:type="dcterms:W3CDTF">2026-05-03T08:52:35Z</dcterms:created>
  <dcterms:modified xsi:type="dcterms:W3CDTF">2026-05-03T12:37:29Z</dcterms:modified>
</cp:coreProperties>
</file>